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" sheetId="1" r:id="rId4"/>
    <sheet state="visible" name="Sheet1" sheetId="2" r:id="rId5"/>
  </sheets>
  <definedNames>
    <definedName hidden="1" localSheetId="0" name="_xlnm._FilterDatabase">clean!$A$1:$Z$15</definedName>
    <definedName hidden="1" localSheetId="1" name="_xlnm._FilterDatabase">Sheet1!$A$1:$Z$19</definedName>
  </definedNames>
  <calcPr/>
  <extLst>
    <ext uri="GoogleSheetsCustomDataVersion2">
      <go:sheetsCustomData xmlns:go="http://customooxmlschemas.google.com/" r:id="rId6" roundtripDataChecksum="FTWSK3y0TrTvfDzCvx5CH+E+h1vCRgVry2INhYfxcW8="/>
    </ext>
  </extLst>
</workbook>
</file>

<file path=xl/sharedStrings.xml><?xml version="1.0" encoding="utf-8"?>
<sst xmlns="http://schemas.openxmlformats.org/spreadsheetml/2006/main" count="429" uniqueCount="67">
  <si>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</si>
  <si>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</si>
  <si>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</si>
  <si>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</si>
  <si>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</si>
  <si>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</si>
  <si>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</si>
  <si>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</si>
  <si>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</si>
  <si>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Name_norm</t>
  </si>
  <si>
    <t>flag_name_multi_ric</t>
  </si>
  <si>
    <t>flag_ric_multi_name</t>
  </si>
  <si>
    <t>problem_flag</t>
  </si>
  <si>
    <t>Date</t>
  </si>
  <si>
    <t>Financial Period Absolute</t>
  </si>
  <si>
    <t>Calc Date</t>
  </si>
  <si>
    <t>ESG Score</t>
  </si>
  <si>
    <t>Environmental Pillar Score</t>
  </si>
  <si>
    <t>Social Pillar Score</t>
  </si>
  <si>
    <t>Governance Pillar Score</t>
  </si>
  <si>
    <t>ESG Combined Score Grade</t>
  </si>
  <si>
    <t>year_esg</t>
  </si>
  <si>
    <t>lag_year</t>
  </si>
  <si>
    <t>type1_flag</t>
  </si>
  <si>
    <t>type2_flag</t>
  </si>
  <si>
    <t>type3_flag</t>
  </si>
  <si>
    <t>EEM</t>
  </si>
  <si>
    <t>2015-12-31</t>
  </si>
  <si>
    <t>2628.HK</t>
  </si>
  <si>
    <t>CHINA LIFE INSURANCE CO LTD ORD</t>
  </si>
  <si>
    <t>CHINA</t>
  </si>
  <si>
    <t>CHINA LIFE INSURANCE CO LTD</t>
  </si>
  <si>
    <t>FY2014</t>
  </si>
  <si>
    <t>C+</t>
  </si>
  <si>
    <t>TW0002823002.TRE^F21</t>
  </si>
  <si>
    <t>TAIWAN</t>
  </si>
  <si>
    <t>C-</t>
  </si>
  <si>
    <t>2016-12-31</t>
  </si>
  <si>
    <t>FY2015</t>
  </si>
  <si>
    <t>C</t>
  </si>
  <si>
    <t>2017-12-31</t>
  </si>
  <si>
    <t>FY2016</t>
  </si>
  <si>
    <t>B</t>
  </si>
  <si>
    <t>2018-12-31</t>
  </si>
  <si>
    <t>FY2017</t>
  </si>
  <si>
    <t>B-</t>
  </si>
  <si>
    <t>2019-12-31</t>
  </si>
  <si>
    <r>
      <rPr>
        <rFont val="Calibri"/>
        <color theme="1"/>
      </rPr>
      <t xml:space="preserve">2628.HK | </t>
    </r>
    <r>
      <rPr>
        <rFont val="Calibri"/>
        <color rgb="FF000000"/>
      </rPr>
      <t>601628.SS</t>
    </r>
  </si>
  <si>
    <t>FY2018</t>
  </si>
  <si>
    <t>2020-12-31</t>
  </si>
  <si>
    <r>
      <rPr>
        <rFont val="Calibri"/>
        <color theme="1"/>
      </rPr>
      <t xml:space="preserve">2628.HK | </t>
    </r>
    <r>
      <rPr>
        <rFont val="Calibri"/>
        <color rgb="FF000000"/>
      </rPr>
      <t>601628.SS</t>
    </r>
  </si>
  <si>
    <t>FY2019</t>
  </si>
  <si>
    <t>2021-12-31</t>
  </si>
  <si>
    <r>
      <rPr>
        <rFont val="Calibri"/>
        <color theme="1"/>
      </rPr>
      <t xml:space="preserve">2628.HK | </t>
    </r>
    <r>
      <rPr>
        <rFont val="Calibri"/>
        <color rgb="FF000000"/>
      </rPr>
      <t>601628.SS</t>
    </r>
  </si>
  <si>
    <t>FY2020</t>
  </si>
  <si>
    <t>2022-12-31</t>
  </si>
  <si>
    <r>
      <rPr>
        <rFont val="Calibri"/>
        <color theme="1"/>
      </rPr>
      <t xml:space="preserve">2628.HK | </t>
    </r>
    <r>
      <rPr>
        <rFont val="Calibri"/>
        <color rgb="FF000000"/>
      </rPr>
      <t>601628.SS</t>
    </r>
  </si>
  <si>
    <t>FY2021</t>
  </si>
  <si>
    <t>1288.HK</t>
  </si>
  <si>
    <t>AGRICULTURAL BANK OF CHINA LTD ORD</t>
  </si>
  <si>
    <t>1288.HK | 601288.SS</t>
  </si>
  <si>
    <t>AGRICULTURAL BANK OF CHINA LTD</t>
  </si>
  <si>
    <t>AXIA3.SA</t>
  </si>
  <si>
    <t>CENTRAIS ELETRICAS BRASILEIRAS SA - ELETROBRAS</t>
  </si>
  <si>
    <t>BRAZIL</t>
  </si>
  <si>
    <t>CENTRAIS ELETRICAS BRASILEIRAS SA ELETROBRAS</t>
  </si>
  <si>
    <t>601628.SS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</si>
</sst>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0.86"/>
    <col customWidth="1" min="3" max="3" width="22.29"/>
    <col customWidth="1" min="4" max="4" width="31.71"/>
    <col customWidth="1" min="5" max="5" width="11.0"/>
    <col customWidth="1" min="6" max="6" width="10.29"/>
    <col customWidth="1" min="7" max="7" width="13.29"/>
    <col customWidth="1" min="8" max="8" width="22.29"/>
    <col customWidth="1" min="9" max="9" width="7.86"/>
    <col customWidth="1" min="10" max="10" width="27.43"/>
    <col customWidth="1" min="11" max="12" width="22.0"/>
    <col customWidth="1" min="13" max="13" width="15.57"/>
    <col customWidth="1" min="14" max="14" width="18.86"/>
    <col customWidth="1" min="15" max="15" width="26.0"/>
    <col customWidth="1" min="16" max="16" width="18.86"/>
    <col customWidth="1" min="17" max="17" width="12.57"/>
    <col customWidth="1" min="18" max="18" width="26.86"/>
    <col customWidth="1" min="19" max="19" width="19.14"/>
    <col customWidth="1" min="20" max="20" width="24.57"/>
    <col customWidth="1" min="21" max="21" width="27.57"/>
    <col customWidth="1" min="22" max="22" width="11.71"/>
    <col customWidth="1" min="23" max="23" width="11.43"/>
    <col customWidth="1" min="24" max="26" width="13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3">
        <v>0.0069599999999999</v>
      </c>
      <c r="G2" s="3">
        <v>4.6361E7</v>
      </c>
      <c r="H2" s="2" t="s">
        <v>28</v>
      </c>
      <c r="I2" s="3">
        <v>2015.0</v>
      </c>
      <c r="J2" s="2" t="s">
        <v>31</v>
      </c>
      <c r="K2" s="4" t="b">
        <v>1</v>
      </c>
      <c r="L2" s="4" t="b">
        <v>0</v>
      </c>
      <c r="M2" s="4" t="b">
        <v>1</v>
      </c>
      <c r="N2" s="5">
        <v>42004.0</v>
      </c>
      <c r="O2" s="2" t="s">
        <v>32</v>
      </c>
      <c r="P2" s="5">
        <v>42369.0</v>
      </c>
      <c r="Q2" s="3">
        <v>43.1133371456325</v>
      </c>
      <c r="R2" s="3">
        <v>27.2628954865797</v>
      </c>
      <c r="S2" s="3">
        <v>39.8468859155764</v>
      </c>
      <c r="T2" s="3">
        <v>58.5234669407331</v>
      </c>
      <c r="U2" s="2" t="s">
        <v>33</v>
      </c>
      <c r="V2" s="3">
        <v>2014.0</v>
      </c>
      <c r="W2" s="3">
        <v>2015.0</v>
      </c>
      <c r="X2" s="2"/>
      <c r="Y2" s="2"/>
      <c r="Z2" s="2"/>
    </row>
    <row r="3">
      <c r="A3" s="2" t="s">
        <v>26</v>
      </c>
      <c r="B3" s="2" t="s">
        <v>27</v>
      </c>
      <c r="C3" s="2" t="s">
        <v>34</v>
      </c>
      <c r="D3" s="2" t="s">
        <v>29</v>
      </c>
      <c r="E3" s="2" t="s">
        <v>35</v>
      </c>
      <c r="F3" s="3">
        <v>7.049999999999E-4</v>
      </c>
      <c r="G3" s="3">
        <v>1.9741983E7</v>
      </c>
      <c r="H3" s="2" t="s">
        <v>34</v>
      </c>
      <c r="I3" s="3">
        <v>2015.0</v>
      </c>
      <c r="J3" s="2" t="s">
        <v>31</v>
      </c>
      <c r="K3" s="4" t="b">
        <v>1</v>
      </c>
      <c r="L3" s="4" t="b">
        <v>0</v>
      </c>
      <c r="M3" s="4" t="b">
        <v>1</v>
      </c>
      <c r="N3" s="5">
        <v>42004.0</v>
      </c>
      <c r="O3" s="2" t="s">
        <v>32</v>
      </c>
      <c r="P3" s="5">
        <v>43465.0</v>
      </c>
      <c r="Q3" s="3">
        <v>29.7456622325044</v>
      </c>
      <c r="R3" s="3">
        <v>27.5050607287449</v>
      </c>
      <c r="S3" s="3">
        <v>18.2236842105263</v>
      </c>
      <c r="T3" s="3">
        <v>50.2506265664161</v>
      </c>
      <c r="U3" s="2" t="s">
        <v>36</v>
      </c>
      <c r="V3" s="3">
        <v>2014.0</v>
      </c>
      <c r="W3" s="3">
        <v>2015.0</v>
      </c>
      <c r="X3" s="2"/>
      <c r="Y3" s="2"/>
      <c r="Z3" s="2"/>
    </row>
    <row r="4">
      <c r="A4" s="2" t="s">
        <v>26</v>
      </c>
      <c r="B4" s="2" t="s">
        <v>37</v>
      </c>
      <c r="C4" s="2" t="s">
        <v>28</v>
      </c>
      <c r="D4" s="2" t="s">
        <v>29</v>
      </c>
      <c r="E4" s="2" t="s">
        <v>30</v>
      </c>
      <c r="F4" s="3">
        <v>0.004906</v>
      </c>
      <c r="G4" s="3">
        <v>4.9022E7</v>
      </c>
      <c r="H4" s="2" t="s">
        <v>28</v>
      </c>
      <c r="I4" s="3">
        <v>2016.0</v>
      </c>
      <c r="J4" s="2" t="s">
        <v>31</v>
      </c>
      <c r="K4" s="4" t="b">
        <v>1</v>
      </c>
      <c r="L4" s="4" t="b">
        <v>0</v>
      </c>
      <c r="M4" s="4" t="b">
        <v>1</v>
      </c>
      <c r="N4" s="5">
        <v>42369.0</v>
      </c>
      <c r="O4" s="2" t="s">
        <v>38</v>
      </c>
      <c r="P4" s="5">
        <v>42735.0</v>
      </c>
      <c r="Q4" s="3">
        <v>40.8138764098928</v>
      </c>
      <c r="R4" s="3">
        <v>30.5645783958622</v>
      </c>
      <c r="S4" s="3">
        <v>39.7220977388283</v>
      </c>
      <c r="T4" s="3">
        <v>52.1122379986477</v>
      </c>
      <c r="U4" s="2" t="s">
        <v>39</v>
      </c>
      <c r="V4" s="3">
        <v>2015.0</v>
      </c>
      <c r="W4" s="3">
        <v>2016.0</v>
      </c>
      <c r="X4" s="2"/>
      <c r="Y4" s="2"/>
      <c r="Z4" s="2"/>
    </row>
    <row r="5">
      <c r="A5" s="2" t="s">
        <v>26</v>
      </c>
      <c r="B5" s="2" t="s">
        <v>37</v>
      </c>
      <c r="C5" s="2" t="s">
        <v>34</v>
      </c>
      <c r="D5" s="2" t="s">
        <v>29</v>
      </c>
      <c r="E5" s="2" t="s">
        <v>35</v>
      </c>
      <c r="F5" s="3">
        <v>8.78E-4</v>
      </c>
      <c r="G5" s="3">
        <v>2.2977822E7</v>
      </c>
      <c r="H5" s="2" t="s">
        <v>34</v>
      </c>
      <c r="I5" s="3">
        <v>2016.0</v>
      </c>
      <c r="J5" s="2" t="s">
        <v>31</v>
      </c>
      <c r="K5" s="4" t="b">
        <v>1</v>
      </c>
      <c r="L5" s="4" t="b">
        <v>0</v>
      </c>
      <c r="M5" s="4" t="b">
        <v>1</v>
      </c>
      <c r="N5" s="5">
        <v>42369.0</v>
      </c>
      <c r="O5" s="2" t="s">
        <v>38</v>
      </c>
      <c r="P5" s="5">
        <v>43830.0</v>
      </c>
      <c r="Q5" s="3">
        <v>43.1556490118638</v>
      </c>
      <c r="R5" s="3">
        <v>70.6923191581332</v>
      </c>
      <c r="S5" s="3">
        <v>40.1957786297974</v>
      </c>
      <c r="T5" s="3">
        <v>48.5954986476091</v>
      </c>
      <c r="U5" s="2" t="s">
        <v>33</v>
      </c>
      <c r="V5" s="3">
        <v>2015.0</v>
      </c>
      <c r="W5" s="3">
        <v>2016.0</v>
      </c>
      <c r="X5" s="2"/>
      <c r="Y5" s="2"/>
      <c r="Z5" s="2"/>
    </row>
    <row r="6">
      <c r="A6" s="2" t="s">
        <v>26</v>
      </c>
      <c r="B6" s="2" t="s">
        <v>40</v>
      </c>
      <c r="C6" s="2" t="s">
        <v>28</v>
      </c>
      <c r="D6" s="2" t="s">
        <v>29</v>
      </c>
      <c r="E6" s="2" t="s">
        <v>30</v>
      </c>
      <c r="F6" s="3">
        <v>0.004302</v>
      </c>
      <c r="G6" s="3">
        <v>5.3898E7</v>
      </c>
      <c r="H6" s="2" t="s">
        <v>28</v>
      </c>
      <c r="I6" s="3">
        <v>2017.0</v>
      </c>
      <c r="J6" s="2" t="s">
        <v>31</v>
      </c>
      <c r="K6" s="4" t="b">
        <v>1</v>
      </c>
      <c r="L6" s="4" t="b">
        <v>0</v>
      </c>
      <c r="M6" s="4" t="b">
        <v>1</v>
      </c>
      <c r="N6" s="5">
        <v>42735.0</v>
      </c>
      <c r="O6" s="2" t="s">
        <v>41</v>
      </c>
      <c r="P6" s="5">
        <v>43100.0</v>
      </c>
      <c r="Q6" s="3">
        <v>42.1123189288688</v>
      </c>
      <c r="R6" s="3">
        <v>36.6146769052449</v>
      </c>
      <c r="S6" s="3">
        <v>48.4655696467876</v>
      </c>
      <c r="T6" s="3">
        <v>43.3307699891551</v>
      </c>
      <c r="U6" s="2" t="s">
        <v>33</v>
      </c>
      <c r="V6" s="3">
        <v>2016.0</v>
      </c>
      <c r="W6" s="3">
        <v>2017.0</v>
      </c>
      <c r="X6" s="2"/>
      <c r="Y6" s="2"/>
      <c r="Z6" s="2"/>
    </row>
    <row r="7">
      <c r="A7" s="2" t="s">
        <v>26</v>
      </c>
      <c r="B7" s="2" t="s">
        <v>40</v>
      </c>
      <c r="C7" s="2" t="s">
        <v>34</v>
      </c>
      <c r="D7" s="2" t="s">
        <v>29</v>
      </c>
      <c r="E7" s="2" t="s">
        <v>35</v>
      </c>
      <c r="F7" s="3">
        <v>5.82E-4</v>
      </c>
      <c r="G7" s="3">
        <v>2.2747285E7</v>
      </c>
      <c r="H7" s="2" t="s">
        <v>34</v>
      </c>
      <c r="I7" s="3">
        <v>2017.0</v>
      </c>
      <c r="J7" s="2" t="s">
        <v>31</v>
      </c>
      <c r="K7" s="4" t="b">
        <v>1</v>
      </c>
      <c r="L7" s="4" t="b">
        <v>0</v>
      </c>
      <c r="M7" s="4" t="b">
        <v>1</v>
      </c>
      <c r="N7" s="5">
        <v>42735.0</v>
      </c>
      <c r="O7" s="2" t="s">
        <v>41</v>
      </c>
      <c r="P7" s="5">
        <v>44196.0</v>
      </c>
      <c r="Q7" s="3">
        <v>58.5000884354193</v>
      </c>
      <c r="R7" s="3">
        <v>74.6541582150101</v>
      </c>
      <c r="S7" s="3">
        <v>76.2496870072596</v>
      </c>
      <c r="T7" s="3">
        <v>44.1210613598673</v>
      </c>
      <c r="U7" s="2" t="s">
        <v>42</v>
      </c>
      <c r="V7" s="3">
        <v>2016.0</v>
      </c>
      <c r="W7" s="3">
        <v>2017.0</v>
      </c>
      <c r="X7" s="2"/>
      <c r="Y7" s="2"/>
      <c r="Z7" s="2"/>
    </row>
    <row r="8">
      <c r="A8" s="2" t="s">
        <v>26</v>
      </c>
      <c r="B8" s="2" t="s">
        <v>43</v>
      </c>
      <c r="C8" s="2" t="s">
        <v>28</v>
      </c>
      <c r="D8" s="2" t="s">
        <v>29</v>
      </c>
      <c r="E8" s="2" t="s">
        <v>30</v>
      </c>
      <c r="F8" s="3">
        <v>0.00329</v>
      </c>
      <c r="G8" s="3">
        <v>4.5385E7</v>
      </c>
      <c r="H8" s="2" t="s">
        <v>28</v>
      </c>
      <c r="I8" s="3">
        <v>2018.0</v>
      </c>
      <c r="J8" s="2" t="s">
        <v>31</v>
      </c>
      <c r="K8" s="4" t="b">
        <v>1</v>
      </c>
      <c r="L8" s="4" t="b">
        <v>0</v>
      </c>
      <c r="M8" s="4" t="b">
        <v>1</v>
      </c>
      <c r="N8" s="5">
        <v>43100.0</v>
      </c>
      <c r="O8" s="2" t="s">
        <v>44</v>
      </c>
      <c r="P8" s="5">
        <v>43465.0</v>
      </c>
      <c r="Q8" s="3">
        <v>56.6695287014505</v>
      </c>
      <c r="R8" s="3">
        <v>42.468615361759</v>
      </c>
      <c r="S8" s="3">
        <v>65.6943701273698</v>
      </c>
      <c r="T8" s="3">
        <v>57.1005999121148</v>
      </c>
      <c r="U8" s="2" t="s">
        <v>45</v>
      </c>
      <c r="V8" s="3">
        <v>2017.0</v>
      </c>
      <c r="W8" s="3">
        <v>2018.0</v>
      </c>
      <c r="X8" s="2"/>
      <c r="Y8" s="2"/>
      <c r="Z8" s="2"/>
    </row>
    <row r="9">
      <c r="A9" s="2" t="s">
        <v>26</v>
      </c>
      <c r="B9" s="2" t="s">
        <v>43</v>
      </c>
      <c r="C9" s="2" t="s">
        <v>34</v>
      </c>
      <c r="D9" s="2" t="s">
        <v>29</v>
      </c>
      <c r="E9" s="2" t="s">
        <v>35</v>
      </c>
      <c r="F9" s="3">
        <v>4.93E-4</v>
      </c>
      <c r="G9" s="3">
        <v>1.5951002E7</v>
      </c>
      <c r="H9" s="2" t="s">
        <v>34</v>
      </c>
      <c r="I9" s="3">
        <v>2018.0</v>
      </c>
      <c r="J9" s="2" t="s">
        <v>31</v>
      </c>
      <c r="K9" s="4" t="b">
        <v>1</v>
      </c>
      <c r="L9" s="4" t="b">
        <v>0</v>
      </c>
      <c r="M9" s="4" t="b">
        <v>1</v>
      </c>
      <c r="N9" s="6"/>
      <c r="O9" s="2"/>
      <c r="P9" s="6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26</v>
      </c>
      <c r="B10" s="2" t="s">
        <v>46</v>
      </c>
      <c r="C10" s="2" t="s">
        <v>28</v>
      </c>
      <c r="D10" s="2" t="s">
        <v>29</v>
      </c>
      <c r="E10" s="2" t="s">
        <v>30</v>
      </c>
      <c r="F10" s="3">
        <f> 0.0033139999999999+0.000137</f>
        <v>0.003451</v>
      </c>
      <c r="G10" s="3">
        <f> 35743000+817599</f>
        <v>36560599</v>
      </c>
      <c r="H10" s="7" t="s">
        <v>47</v>
      </c>
      <c r="I10" s="3">
        <v>2019.0</v>
      </c>
      <c r="J10" s="2" t="s">
        <v>31</v>
      </c>
      <c r="K10" s="4" t="b">
        <v>1</v>
      </c>
      <c r="L10" s="4" t="b">
        <v>0</v>
      </c>
      <c r="M10" s="4" t="b">
        <v>1</v>
      </c>
      <c r="N10" s="5">
        <v>43465.0</v>
      </c>
      <c r="O10" s="2" t="s">
        <v>48</v>
      </c>
      <c r="P10" s="5">
        <v>43830.0</v>
      </c>
      <c r="Q10" s="3">
        <v>60.4082545107056</v>
      </c>
      <c r="R10" s="3">
        <v>42.9245492494893</v>
      </c>
      <c r="S10" s="3">
        <v>71.0910397975616</v>
      </c>
      <c r="T10" s="3">
        <v>59.6062400964457</v>
      </c>
      <c r="U10" s="2" t="s">
        <v>42</v>
      </c>
      <c r="V10" s="3">
        <v>2018.0</v>
      </c>
      <c r="W10" s="3">
        <v>2019.0</v>
      </c>
      <c r="X10" s="2"/>
      <c r="Y10" s="2"/>
      <c r="Z10" s="2"/>
    </row>
    <row r="11">
      <c r="A11" s="2" t="s">
        <v>26</v>
      </c>
      <c r="B11" s="2" t="s">
        <v>46</v>
      </c>
      <c r="C11" s="2" t="s">
        <v>34</v>
      </c>
      <c r="D11" s="2" t="s">
        <v>29</v>
      </c>
      <c r="E11" s="2" t="s">
        <v>35</v>
      </c>
      <c r="F11" s="3">
        <v>3.72E-4</v>
      </c>
      <c r="G11" s="3">
        <v>1.304649E7</v>
      </c>
      <c r="H11" s="2" t="s">
        <v>34</v>
      </c>
      <c r="I11" s="3">
        <v>2019.0</v>
      </c>
      <c r="J11" s="2" t="s">
        <v>31</v>
      </c>
      <c r="K11" s="4" t="b">
        <v>1</v>
      </c>
      <c r="L11" s="4" t="b">
        <v>0</v>
      </c>
      <c r="M11" s="4" t="b">
        <v>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26</v>
      </c>
      <c r="B12" s="2" t="s">
        <v>49</v>
      </c>
      <c r="C12" s="2" t="s">
        <v>28</v>
      </c>
      <c r="D12" s="2" t="s">
        <v>29</v>
      </c>
      <c r="E12" s="2" t="s">
        <v>30</v>
      </c>
      <c r="F12" s="3">
        <f>0.002033+0.000141</f>
        <v>0.002174</v>
      </c>
      <c r="G12" s="3">
        <f>26093000+674012</f>
        <v>26767012</v>
      </c>
      <c r="H12" s="7" t="s">
        <v>50</v>
      </c>
      <c r="I12" s="3">
        <v>2020.0</v>
      </c>
      <c r="J12" s="2" t="s">
        <v>31</v>
      </c>
      <c r="K12" s="4" t="b">
        <v>1</v>
      </c>
      <c r="L12" s="4" t="b">
        <v>0</v>
      </c>
      <c r="M12" s="4" t="b">
        <v>1</v>
      </c>
      <c r="N12" s="5">
        <v>43830.0</v>
      </c>
      <c r="O12" s="2" t="s">
        <v>51</v>
      </c>
      <c r="P12" s="5">
        <v>44196.0</v>
      </c>
      <c r="Q12" s="3">
        <v>61.238315792312</v>
      </c>
      <c r="R12" s="3">
        <v>59.9937177204007</v>
      </c>
      <c r="S12" s="3">
        <v>72.315503019404</v>
      </c>
      <c r="T12" s="3">
        <v>59.6461828449949</v>
      </c>
      <c r="U12" s="2" t="s">
        <v>42</v>
      </c>
      <c r="V12" s="3">
        <v>2019.0</v>
      </c>
      <c r="W12" s="3">
        <v>2020.0</v>
      </c>
      <c r="X12" s="2"/>
      <c r="Y12" s="2"/>
      <c r="Z12" s="2"/>
    </row>
    <row r="13">
      <c r="A13" s="2" t="s">
        <v>26</v>
      </c>
      <c r="B13" s="2" t="s">
        <v>49</v>
      </c>
      <c r="C13" s="2" t="s">
        <v>34</v>
      </c>
      <c r="D13" s="2" t="s">
        <v>29</v>
      </c>
      <c r="E13" s="2" t="s">
        <v>35</v>
      </c>
      <c r="F13" s="3">
        <v>2.98E-4</v>
      </c>
      <c r="G13" s="3">
        <v>1.0691679E7</v>
      </c>
      <c r="H13" s="2" t="s">
        <v>34</v>
      </c>
      <c r="I13" s="3">
        <v>2020.0</v>
      </c>
      <c r="J13" s="2" t="s">
        <v>31</v>
      </c>
      <c r="K13" s="4" t="b">
        <v>1</v>
      </c>
      <c r="L13" s="4" t="b">
        <v>0</v>
      </c>
      <c r="M13" s="4" t="b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26</v>
      </c>
      <c r="B14" s="2" t="s">
        <v>52</v>
      </c>
      <c r="C14" s="2" t="s">
        <v>28</v>
      </c>
      <c r="D14" s="2" t="s">
        <v>29</v>
      </c>
      <c r="E14" s="2" t="s">
        <v>30</v>
      </c>
      <c r="F14" s="3">
        <f>0.0015179999999999+0.000125</f>
        <v>0.001643</v>
      </c>
      <c r="G14" s="3">
        <f>26614000+770212</f>
        <v>27384212</v>
      </c>
      <c r="H14" s="7" t="s">
        <v>53</v>
      </c>
      <c r="I14" s="3">
        <v>2021.0</v>
      </c>
      <c r="J14" s="2" t="s">
        <v>31</v>
      </c>
      <c r="K14" s="4" t="b">
        <v>1</v>
      </c>
      <c r="L14" s="4" t="b">
        <v>0</v>
      </c>
      <c r="M14" s="4" t="b">
        <v>1</v>
      </c>
      <c r="N14" s="5">
        <v>44196.0</v>
      </c>
      <c r="O14" s="2" t="s">
        <v>54</v>
      </c>
      <c r="P14" s="5">
        <v>44561.0</v>
      </c>
      <c r="Q14" s="3">
        <v>51.8357712984663</v>
      </c>
      <c r="R14" s="3">
        <v>25.7625479842775</v>
      </c>
      <c r="S14" s="3">
        <v>67.3116648584965</v>
      </c>
      <c r="T14" s="3">
        <v>42.4716365831607</v>
      </c>
      <c r="U14" s="2" t="s">
        <v>45</v>
      </c>
      <c r="V14" s="3">
        <v>2020.0</v>
      </c>
      <c r="W14" s="3">
        <v>2021.0</v>
      </c>
      <c r="X14" s="2"/>
      <c r="Y14" s="2"/>
      <c r="Z14" s="2"/>
    </row>
    <row r="15">
      <c r="A15" s="2" t="s">
        <v>26</v>
      </c>
      <c r="B15" s="2" t="s">
        <v>55</v>
      </c>
      <c r="C15" s="2" t="s">
        <v>28</v>
      </c>
      <c r="D15" s="2" t="s">
        <v>29</v>
      </c>
      <c r="E15" s="2" t="s">
        <v>30</v>
      </c>
      <c r="F15" s="3">
        <f>0.001957+0.000197</f>
        <v>0.002154</v>
      </c>
      <c r="G15" s="3">
        <f>26166000+842212</f>
        <v>27008212</v>
      </c>
      <c r="H15" s="7" t="s">
        <v>56</v>
      </c>
      <c r="I15" s="3">
        <v>2022.0</v>
      </c>
      <c r="J15" s="2" t="s">
        <v>31</v>
      </c>
      <c r="K15" s="4" t="b">
        <v>1</v>
      </c>
      <c r="L15" s="4" t="b">
        <v>0</v>
      </c>
      <c r="M15" s="4" t="b">
        <v>1</v>
      </c>
      <c r="N15" s="5">
        <v>44561.0</v>
      </c>
      <c r="O15" s="2" t="s">
        <v>57</v>
      </c>
      <c r="P15" s="5">
        <v>44926.0</v>
      </c>
      <c r="Q15" s="3">
        <v>55.1113689703621</v>
      </c>
      <c r="R15" s="3">
        <v>20.6415341431817</v>
      </c>
      <c r="S15" s="3">
        <v>62.6014795349683</v>
      </c>
      <c r="T15" s="3">
        <v>57.8628515873814</v>
      </c>
      <c r="U15" s="2" t="s">
        <v>45</v>
      </c>
      <c r="V15" s="3">
        <v>2021.0</v>
      </c>
      <c r="W15" s="3">
        <v>2022.0</v>
      </c>
      <c r="X15" s="2"/>
      <c r="Y15" s="2"/>
      <c r="Z15" s="2"/>
    </row>
    <row r="16">
      <c r="A16" s="2" t="s">
        <v>26</v>
      </c>
      <c r="B16" s="2" t="s">
        <v>43</v>
      </c>
      <c r="C16" s="2" t="s">
        <v>58</v>
      </c>
      <c r="D16" s="2" t="s">
        <v>59</v>
      </c>
      <c r="E16" s="2" t="s">
        <v>30</v>
      </c>
      <c r="F16" s="3">
        <f>0.0025779999999999+0.000219</f>
        <v>0.002797</v>
      </c>
      <c r="G16" s="3">
        <f>172490000+12233500</f>
        <v>184723500</v>
      </c>
      <c r="H16" s="2" t="s">
        <v>60</v>
      </c>
      <c r="I16" s="3">
        <v>2018.0</v>
      </c>
      <c r="J16" s="2" t="s">
        <v>61</v>
      </c>
      <c r="K16" s="4" t="b">
        <v>1</v>
      </c>
      <c r="L16" s="4" t="b">
        <v>0</v>
      </c>
      <c r="M16" s="4" t="b">
        <v>1</v>
      </c>
      <c r="N16" s="5">
        <v>43100.0</v>
      </c>
      <c r="O16" s="2" t="s">
        <v>44</v>
      </c>
      <c r="P16" s="5">
        <v>43100.0</v>
      </c>
      <c r="Q16" s="3">
        <v>55.4462057476102</v>
      </c>
      <c r="R16" s="3">
        <v>72.5003637559715</v>
      </c>
      <c r="S16" s="3">
        <v>38.9011371547923</v>
      </c>
      <c r="T16" s="3">
        <v>79.4585984218872</v>
      </c>
      <c r="U16" s="2" t="s">
        <v>45</v>
      </c>
      <c r="V16" s="3">
        <v>2017.0</v>
      </c>
      <c r="W16" s="3">
        <v>2018.0</v>
      </c>
      <c r="X16" s="2"/>
      <c r="Y16" s="2"/>
      <c r="Z16" s="2"/>
    </row>
    <row r="17" ht="15.75" customHeight="1">
      <c r="A17" s="2" t="s">
        <v>26</v>
      </c>
      <c r="B17" s="2" t="s">
        <v>46</v>
      </c>
      <c r="C17" s="2" t="s">
        <v>58</v>
      </c>
      <c r="D17" s="2" t="s">
        <v>59</v>
      </c>
      <c r="E17" s="2" t="s">
        <v>30</v>
      </c>
      <c r="F17" s="3">
        <f>0.00195+0.000396</f>
        <v>0.002346</v>
      </c>
      <c r="G17" s="3">
        <f>132775000+22396300</f>
        <v>155171300</v>
      </c>
      <c r="H17" s="2" t="s">
        <v>60</v>
      </c>
      <c r="I17" s="3">
        <v>2019.0</v>
      </c>
      <c r="J17" s="2" t="s">
        <v>61</v>
      </c>
      <c r="K17" s="4" t="b">
        <v>1</v>
      </c>
      <c r="L17" s="4" t="b">
        <v>0</v>
      </c>
      <c r="M17" s="4" t="b">
        <v>1</v>
      </c>
      <c r="N17" s="5">
        <v>43465.0</v>
      </c>
      <c r="O17" s="2" t="s">
        <v>48</v>
      </c>
      <c r="P17" s="5">
        <v>43465.0</v>
      </c>
      <c r="Q17" s="3">
        <v>47.9118801990417</v>
      </c>
      <c r="R17" s="3">
        <v>71.0740441578354</v>
      </c>
      <c r="S17" s="3">
        <v>32.729306172909</v>
      </c>
      <c r="T17" s="3">
        <v>67.9201362945637</v>
      </c>
      <c r="U17" s="2" t="s">
        <v>33</v>
      </c>
      <c r="V17" s="3">
        <v>2018.0</v>
      </c>
      <c r="W17" s="3">
        <v>2019.0</v>
      </c>
      <c r="X17" s="2"/>
      <c r="Y17" s="2"/>
      <c r="Z17" s="2"/>
    </row>
    <row r="18" ht="15.75" customHeight="1">
      <c r="A18" s="2" t="s">
        <v>26</v>
      </c>
      <c r="B18" s="2" t="s">
        <v>49</v>
      </c>
      <c r="C18" s="2" t="s">
        <v>58</v>
      </c>
      <c r="D18" s="2" t="s">
        <v>59</v>
      </c>
      <c r="E18" s="2" t="s">
        <v>30</v>
      </c>
      <c r="F18" s="3">
        <f>0.00127+0.000298</f>
        <v>0.001568</v>
      </c>
      <c r="G18" s="3">
        <f>98157000+17465400</f>
        <v>115622400</v>
      </c>
      <c r="H18" s="2" t="s">
        <v>60</v>
      </c>
      <c r="I18" s="3">
        <v>2020.0</v>
      </c>
      <c r="J18" s="2" t="s">
        <v>61</v>
      </c>
      <c r="K18" s="4" t="b">
        <v>1</v>
      </c>
      <c r="L18" s="4" t="b">
        <v>0</v>
      </c>
      <c r="M18" s="4" t="b">
        <v>1</v>
      </c>
      <c r="N18" s="5">
        <v>43830.0</v>
      </c>
      <c r="O18" s="2" t="s">
        <v>51</v>
      </c>
      <c r="P18" s="5">
        <v>43830.0</v>
      </c>
      <c r="Q18" s="3">
        <v>52.6273925105829</v>
      </c>
      <c r="R18" s="3">
        <v>74.0587813548064</v>
      </c>
      <c r="S18" s="3">
        <v>33.1773919668555</v>
      </c>
      <c r="T18" s="3">
        <v>78.6571137390876</v>
      </c>
      <c r="U18" s="2" t="s">
        <v>45</v>
      </c>
      <c r="V18" s="3">
        <v>2019.0</v>
      </c>
      <c r="W18" s="3">
        <v>2020.0</v>
      </c>
      <c r="X18" s="2"/>
      <c r="Y18" s="2"/>
      <c r="Z18" s="2"/>
    </row>
    <row r="19" ht="15.75" customHeight="1">
      <c r="A19" s="2" t="s">
        <v>26</v>
      </c>
      <c r="B19" s="2" t="s">
        <v>52</v>
      </c>
      <c r="C19" s="2" t="s">
        <v>58</v>
      </c>
      <c r="D19" s="2" t="s">
        <v>59</v>
      </c>
      <c r="E19" s="2" t="s">
        <v>30</v>
      </c>
      <c r="F19" s="3">
        <f>0.001093+0.000285</f>
        <v>0.001378</v>
      </c>
      <c r="G19" s="3">
        <v>9.2384E7</v>
      </c>
      <c r="H19" s="2" t="s">
        <v>60</v>
      </c>
      <c r="I19" s="3">
        <v>2021.0</v>
      </c>
      <c r="J19" s="2" t="s">
        <v>61</v>
      </c>
      <c r="K19" s="4" t="b">
        <v>1</v>
      </c>
      <c r="L19" s="4" t="b">
        <v>0</v>
      </c>
      <c r="M19" s="4" t="b">
        <v>1</v>
      </c>
      <c r="N19" s="5">
        <v>44196.0</v>
      </c>
      <c r="O19" s="2" t="s">
        <v>54</v>
      </c>
      <c r="P19" s="5">
        <v>44196.0</v>
      </c>
      <c r="Q19" s="3">
        <v>45.8357805005773</v>
      </c>
      <c r="R19" s="3">
        <v>48.3775469137082</v>
      </c>
      <c r="S19" s="3">
        <v>35.6031341971922</v>
      </c>
      <c r="T19" s="3">
        <v>58.9173866199888</v>
      </c>
      <c r="U19" s="2" t="s">
        <v>33</v>
      </c>
      <c r="V19" s="3">
        <v>2020.0</v>
      </c>
      <c r="W19" s="3">
        <v>2021.0</v>
      </c>
      <c r="X19" s="2"/>
      <c r="Y19" s="2"/>
      <c r="Z19" s="2"/>
    </row>
    <row r="20" ht="15.75" customHeight="1">
      <c r="A20" s="2" t="s">
        <v>26</v>
      </c>
      <c r="B20" s="2" t="s">
        <v>55</v>
      </c>
      <c r="C20" s="2" t="s">
        <v>58</v>
      </c>
      <c r="D20" s="2" t="s">
        <v>59</v>
      </c>
      <c r="E20" s="2" t="s">
        <v>30</v>
      </c>
      <c r="F20" s="3">
        <f>0.0015429999999999+0.000368</f>
        <v>0.001911</v>
      </c>
      <c r="G20" s="3">
        <f>103188000+20086800</f>
        <v>123274800</v>
      </c>
      <c r="H20" s="2" t="s">
        <v>60</v>
      </c>
      <c r="I20" s="3">
        <v>2022.0</v>
      </c>
      <c r="J20" s="2" t="s">
        <v>61</v>
      </c>
      <c r="K20" s="4" t="b">
        <v>1</v>
      </c>
      <c r="L20" s="4" t="b">
        <v>0</v>
      </c>
      <c r="M20" s="4" t="b">
        <v>1</v>
      </c>
      <c r="N20" s="5">
        <v>44561.0</v>
      </c>
      <c r="O20" s="2" t="s">
        <v>57</v>
      </c>
      <c r="P20" s="5">
        <v>44561.0</v>
      </c>
      <c r="Q20" s="3">
        <v>52.0691280499622</v>
      </c>
      <c r="R20" s="3">
        <v>53.1513836194826</v>
      </c>
      <c r="S20" s="3">
        <v>40.3223726745408</v>
      </c>
      <c r="T20" s="3">
        <v>67.8206443394012</v>
      </c>
      <c r="U20" s="2" t="s">
        <v>45</v>
      </c>
      <c r="V20" s="3">
        <v>2021.0</v>
      </c>
      <c r="W20" s="3">
        <v>2022.0</v>
      </c>
      <c r="X20" s="2"/>
      <c r="Y20" s="2"/>
      <c r="Z20" s="2"/>
    </row>
    <row r="21" ht="15.75" customHeight="1">
      <c r="A21" s="2" t="s">
        <v>26</v>
      </c>
      <c r="B21" s="2" t="s">
        <v>27</v>
      </c>
      <c r="C21" s="2" t="s">
        <v>62</v>
      </c>
      <c r="D21" s="2" t="s">
        <v>63</v>
      </c>
      <c r="E21" s="2" t="s">
        <v>64</v>
      </c>
      <c r="F21" s="3">
        <v>1.84E-4</v>
      </c>
      <c r="G21" s="3">
        <v>1497337.0</v>
      </c>
      <c r="H21" s="2" t="s">
        <v>62</v>
      </c>
      <c r="I21" s="3">
        <v>2015.0</v>
      </c>
      <c r="J21" s="2" t="s">
        <v>65</v>
      </c>
      <c r="K21" s="4" t="b">
        <v>1</v>
      </c>
      <c r="L21" s="4" t="b">
        <v>0</v>
      </c>
      <c r="M21" s="4" t="b">
        <v>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26</v>
      </c>
      <c r="B22" s="2" t="s">
        <v>37</v>
      </c>
      <c r="C22" s="2" t="s">
        <v>62</v>
      </c>
      <c r="D22" s="2" t="s">
        <v>63</v>
      </c>
      <c r="E22" s="2" t="s">
        <v>64</v>
      </c>
      <c r="F22" s="3">
        <v>0.001157</v>
      </c>
      <c r="G22" s="3">
        <v>4080137.0</v>
      </c>
      <c r="H22" s="2" t="s">
        <v>62</v>
      </c>
      <c r="I22" s="3">
        <v>2016.0</v>
      </c>
      <c r="J22" s="2" t="s">
        <v>65</v>
      </c>
      <c r="K22" s="4" t="b">
        <v>1</v>
      </c>
      <c r="L22" s="4" t="b">
        <v>0</v>
      </c>
      <c r="M22" s="4" t="b">
        <v>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26</v>
      </c>
      <c r="B23" s="2" t="s">
        <v>40</v>
      </c>
      <c r="C23" s="2" t="s">
        <v>62</v>
      </c>
      <c r="D23" s="2" t="s">
        <v>63</v>
      </c>
      <c r="E23" s="2" t="s">
        <v>64</v>
      </c>
      <c r="F23" s="3">
        <v>7.35E-4</v>
      </c>
      <c r="G23" s="3">
        <v>4649637.0</v>
      </c>
      <c r="H23" s="2" t="s">
        <v>62</v>
      </c>
      <c r="I23" s="3">
        <v>2017.0</v>
      </c>
      <c r="J23" s="2" t="s">
        <v>65</v>
      </c>
      <c r="K23" s="4" t="b">
        <v>1</v>
      </c>
      <c r="L23" s="4" t="b">
        <v>0</v>
      </c>
      <c r="M23" s="4" t="b">
        <v>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26</v>
      </c>
      <c r="B24" s="2" t="s">
        <v>43</v>
      </c>
      <c r="C24" s="2" t="s">
        <v>62</v>
      </c>
      <c r="D24" s="2" t="s">
        <v>63</v>
      </c>
      <c r="E24" s="2" t="s">
        <v>64</v>
      </c>
      <c r="F24" s="3">
        <v>8.96E-4</v>
      </c>
      <c r="G24" s="3">
        <v>3965337.0</v>
      </c>
      <c r="H24" s="2" t="s">
        <v>62</v>
      </c>
      <c r="I24" s="3">
        <v>2018.0</v>
      </c>
      <c r="J24" s="2" t="s">
        <v>65</v>
      </c>
      <c r="K24" s="4" t="b">
        <v>1</v>
      </c>
      <c r="L24" s="4" t="b">
        <v>0</v>
      </c>
      <c r="M24" s="4" t="b">
        <v>1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26</v>
      </c>
      <c r="B25" s="2" t="s">
        <v>46</v>
      </c>
      <c r="C25" s="2" t="s">
        <v>62</v>
      </c>
      <c r="D25" s="2" t="s">
        <v>63</v>
      </c>
      <c r="E25" s="2" t="s">
        <v>64</v>
      </c>
      <c r="F25" s="3">
        <v>0.0010119999999999001</v>
      </c>
      <c r="G25" s="3">
        <v>3212437.0</v>
      </c>
      <c r="H25" s="2" t="s">
        <v>62</v>
      </c>
      <c r="I25" s="3">
        <v>2019.0</v>
      </c>
      <c r="J25" s="2" t="s">
        <v>65</v>
      </c>
      <c r="K25" s="4" t="b">
        <v>1</v>
      </c>
      <c r="L25" s="4" t="b">
        <v>0</v>
      </c>
      <c r="M25" s="4" t="b">
        <v>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26</v>
      </c>
      <c r="B26" s="2" t="s">
        <v>49</v>
      </c>
      <c r="C26" s="2" t="s">
        <v>62</v>
      </c>
      <c r="D26" s="2" t="s">
        <v>63</v>
      </c>
      <c r="E26" s="2" t="s">
        <v>64</v>
      </c>
      <c r="F26" s="3">
        <v>8.09E-4</v>
      </c>
      <c r="G26" s="3">
        <v>3236383.0</v>
      </c>
      <c r="H26" s="2" t="s">
        <v>62</v>
      </c>
      <c r="I26" s="3">
        <v>2020.0</v>
      </c>
      <c r="J26" s="2" t="s">
        <v>65</v>
      </c>
      <c r="K26" s="4" t="b">
        <v>1</v>
      </c>
      <c r="L26" s="4" t="b">
        <v>0</v>
      </c>
      <c r="M26" s="4" t="b">
        <v>1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26</v>
      </c>
      <c r="B27" s="2" t="s">
        <v>52</v>
      </c>
      <c r="C27" s="2" t="s">
        <v>62</v>
      </c>
      <c r="D27" s="2" t="s">
        <v>63</v>
      </c>
      <c r="E27" s="2" t="s">
        <v>64</v>
      </c>
      <c r="F27" s="3">
        <v>6.760000000000001E-4</v>
      </c>
      <c r="G27" s="3">
        <v>3280040.0</v>
      </c>
      <c r="H27" s="2" t="s">
        <v>62</v>
      </c>
      <c r="I27" s="3">
        <v>2021.0</v>
      </c>
      <c r="J27" s="2" t="s">
        <v>65</v>
      </c>
      <c r="K27" s="4" t="b">
        <v>1</v>
      </c>
      <c r="L27" s="4" t="b">
        <v>0</v>
      </c>
      <c r="M27" s="4" t="b">
        <v>1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26</v>
      </c>
      <c r="B28" s="2" t="s">
        <v>55</v>
      </c>
      <c r="C28" s="2" t="s">
        <v>62</v>
      </c>
      <c r="D28" s="2" t="s">
        <v>63</v>
      </c>
      <c r="E28" s="2" t="s">
        <v>64</v>
      </c>
      <c r="F28" s="3">
        <v>0.003325</v>
      </c>
      <c r="G28" s="3">
        <v>9538460.0</v>
      </c>
      <c r="H28" s="2" t="s">
        <v>62</v>
      </c>
      <c r="I28" s="3">
        <v>2022.0</v>
      </c>
      <c r="J28" s="2" t="s">
        <v>65</v>
      </c>
      <c r="K28" s="4" t="b">
        <v>1</v>
      </c>
      <c r="L28" s="4" t="b">
        <v>0</v>
      </c>
      <c r="M28" s="4" t="b">
        <v>1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Z$15">
    <sortState ref="A1:Z15">
      <sortCondition ref="B1:B15"/>
      <sortCondition ref="D1:D15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2.29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3">
        <v>0.0069599999999999</v>
      </c>
      <c r="G2" s="3">
        <v>4.6361E7</v>
      </c>
      <c r="H2" s="2" t="s">
        <v>28</v>
      </c>
      <c r="I2" s="3">
        <v>2015.0</v>
      </c>
      <c r="J2" s="2" t="s">
        <v>31</v>
      </c>
      <c r="K2" s="4" t="b">
        <v>1</v>
      </c>
      <c r="L2" s="4" t="b">
        <v>0</v>
      </c>
      <c r="M2" s="4" t="b">
        <v>1</v>
      </c>
      <c r="N2" s="5">
        <v>42004.0</v>
      </c>
      <c r="O2" s="2" t="s">
        <v>32</v>
      </c>
      <c r="P2" s="5">
        <v>42369.0</v>
      </c>
      <c r="Q2" s="3">
        <v>43.1133371456325</v>
      </c>
      <c r="R2" s="3">
        <v>27.2628954865797</v>
      </c>
      <c r="S2" s="3">
        <v>39.8468859155764</v>
      </c>
      <c r="T2" s="3">
        <v>58.5234669407331</v>
      </c>
      <c r="U2" s="2" t="s">
        <v>33</v>
      </c>
      <c r="V2" s="3">
        <v>2014.0</v>
      </c>
      <c r="W2" s="3">
        <v>2015.0</v>
      </c>
      <c r="X2" s="2"/>
      <c r="Y2" s="2"/>
      <c r="Z2" s="2"/>
    </row>
    <row r="3">
      <c r="A3" s="2" t="s">
        <v>26</v>
      </c>
      <c r="B3" s="2" t="s">
        <v>27</v>
      </c>
      <c r="C3" s="2" t="s">
        <v>34</v>
      </c>
      <c r="D3" s="2" t="s">
        <v>29</v>
      </c>
      <c r="E3" s="2" t="s">
        <v>35</v>
      </c>
      <c r="F3" s="3">
        <v>7.049999999999E-4</v>
      </c>
      <c r="G3" s="3">
        <v>1.9741983E7</v>
      </c>
      <c r="H3" s="2" t="s">
        <v>34</v>
      </c>
      <c r="I3" s="3">
        <v>2015.0</v>
      </c>
      <c r="J3" s="2" t="s">
        <v>31</v>
      </c>
      <c r="K3" s="4" t="b">
        <v>1</v>
      </c>
      <c r="L3" s="4" t="b">
        <v>0</v>
      </c>
      <c r="M3" s="4" t="b">
        <v>1</v>
      </c>
      <c r="N3" s="5">
        <v>42004.0</v>
      </c>
      <c r="O3" s="2" t="s">
        <v>32</v>
      </c>
      <c r="P3" s="5">
        <v>43465.0</v>
      </c>
      <c r="Q3" s="3">
        <v>29.7456622325044</v>
      </c>
      <c r="R3" s="3">
        <v>27.5050607287449</v>
      </c>
      <c r="S3" s="3">
        <v>18.2236842105263</v>
      </c>
      <c r="T3" s="3">
        <v>50.2506265664161</v>
      </c>
      <c r="U3" s="2" t="s">
        <v>36</v>
      </c>
      <c r="V3" s="3">
        <v>2014.0</v>
      </c>
      <c r="W3" s="3">
        <v>2015.0</v>
      </c>
      <c r="X3" s="2"/>
      <c r="Y3" s="2"/>
      <c r="Z3" s="2"/>
    </row>
    <row r="4">
      <c r="A4" s="2" t="s">
        <v>26</v>
      </c>
      <c r="B4" s="2" t="s">
        <v>37</v>
      </c>
      <c r="C4" s="2" t="s">
        <v>28</v>
      </c>
      <c r="D4" s="2" t="s">
        <v>29</v>
      </c>
      <c r="E4" s="2" t="s">
        <v>30</v>
      </c>
      <c r="F4" s="3">
        <v>0.004906</v>
      </c>
      <c r="G4" s="3">
        <v>4.9022E7</v>
      </c>
      <c r="H4" s="2" t="s">
        <v>28</v>
      </c>
      <c r="I4" s="3">
        <v>2016.0</v>
      </c>
      <c r="J4" s="2" t="s">
        <v>31</v>
      </c>
      <c r="K4" s="4" t="b">
        <v>1</v>
      </c>
      <c r="L4" s="4" t="b">
        <v>0</v>
      </c>
      <c r="M4" s="4" t="b">
        <v>1</v>
      </c>
      <c r="N4" s="5">
        <v>42369.0</v>
      </c>
      <c r="O4" s="2" t="s">
        <v>38</v>
      </c>
      <c r="P4" s="5">
        <v>42735.0</v>
      </c>
      <c r="Q4" s="3">
        <v>40.8138764098928</v>
      </c>
      <c r="R4" s="3">
        <v>30.5645783958622</v>
      </c>
      <c r="S4" s="3">
        <v>39.7220977388283</v>
      </c>
      <c r="T4" s="3">
        <v>52.1122379986477</v>
      </c>
      <c r="U4" s="2" t="s">
        <v>39</v>
      </c>
      <c r="V4" s="3">
        <v>2015.0</v>
      </c>
      <c r="W4" s="3">
        <v>2016.0</v>
      </c>
      <c r="X4" s="2"/>
      <c r="Y4" s="2"/>
      <c r="Z4" s="2"/>
    </row>
    <row r="5">
      <c r="A5" s="2" t="s">
        <v>26</v>
      </c>
      <c r="B5" s="2" t="s">
        <v>37</v>
      </c>
      <c r="C5" s="2" t="s">
        <v>34</v>
      </c>
      <c r="D5" s="2" t="s">
        <v>29</v>
      </c>
      <c r="E5" s="2" t="s">
        <v>35</v>
      </c>
      <c r="F5" s="3">
        <v>8.78E-4</v>
      </c>
      <c r="G5" s="3">
        <v>2.2977822E7</v>
      </c>
      <c r="H5" s="2" t="s">
        <v>34</v>
      </c>
      <c r="I5" s="3">
        <v>2016.0</v>
      </c>
      <c r="J5" s="2" t="s">
        <v>31</v>
      </c>
      <c r="K5" s="4" t="b">
        <v>1</v>
      </c>
      <c r="L5" s="4" t="b">
        <v>0</v>
      </c>
      <c r="M5" s="4" t="b">
        <v>1</v>
      </c>
      <c r="N5" s="5">
        <v>42369.0</v>
      </c>
      <c r="O5" s="2" t="s">
        <v>38</v>
      </c>
      <c r="P5" s="5">
        <v>43830.0</v>
      </c>
      <c r="Q5" s="3">
        <v>43.1556490118638</v>
      </c>
      <c r="R5" s="3">
        <v>70.6923191581332</v>
      </c>
      <c r="S5" s="3">
        <v>40.1957786297974</v>
      </c>
      <c r="T5" s="3">
        <v>48.5954986476091</v>
      </c>
      <c r="U5" s="2" t="s">
        <v>33</v>
      </c>
      <c r="V5" s="3">
        <v>2015.0</v>
      </c>
      <c r="W5" s="3">
        <v>2016.0</v>
      </c>
      <c r="X5" s="2"/>
      <c r="Y5" s="2"/>
      <c r="Z5" s="2"/>
    </row>
    <row r="6">
      <c r="A6" s="2" t="s">
        <v>26</v>
      </c>
      <c r="B6" s="2" t="s">
        <v>40</v>
      </c>
      <c r="C6" s="2" t="s">
        <v>28</v>
      </c>
      <c r="D6" s="2" t="s">
        <v>29</v>
      </c>
      <c r="E6" s="2" t="s">
        <v>30</v>
      </c>
      <c r="F6" s="3">
        <v>0.004302</v>
      </c>
      <c r="G6" s="3">
        <v>5.3898E7</v>
      </c>
      <c r="H6" s="2" t="s">
        <v>28</v>
      </c>
      <c r="I6" s="3">
        <v>2017.0</v>
      </c>
      <c r="J6" s="2" t="s">
        <v>31</v>
      </c>
      <c r="K6" s="4" t="b">
        <v>1</v>
      </c>
      <c r="L6" s="4" t="b">
        <v>0</v>
      </c>
      <c r="M6" s="4" t="b">
        <v>1</v>
      </c>
      <c r="N6" s="5">
        <v>42735.0</v>
      </c>
      <c r="O6" s="2" t="s">
        <v>41</v>
      </c>
      <c r="P6" s="5">
        <v>43100.0</v>
      </c>
      <c r="Q6" s="3">
        <v>42.1123189288688</v>
      </c>
      <c r="R6" s="3">
        <v>36.6146769052449</v>
      </c>
      <c r="S6" s="3">
        <v>48.4655696467876</v>
      </c>
      <c r="T6" s="3">
        <v>43.3307699891551</v>
      </c>
      <c r="U6" s="2" t="s">
        <v>33</v>
      </c>
      <c r="V6" s="3">
        <v>2016.0</v>
      </c>
      <c r="W6" s="3">
        <v>2017.0</v>
      </c>
      <c r="X6" s="2"/>
      <c r="Y6" s="2"/>
      <c r="Z6" s="2"/>
    </row>
    <row r="7">
      <c r="A7" s="2" t="s">
        <v>26</v>
      </c>
      <c r="B7" s="2" t="s">
        <v>40</v>
      </c>
      <c r="C7" s="2" t="s">
        <v>34</v>
      </c>
      <c r="D7" s="2" t="s">
        <v>29</v>
      </c>
      <c r="E7" s="2" t="s">
        <v>35</v>
      </c>
      <c r="F7" s="3">
        <v>5.82E-4</v>
      </c>
      <c r="G7" s="3">
        <v>2.2747285E7</v>
      </c>
      <c r="H7" s="2" t="s">
        <v>34</v>
      </c>
      <c r="I7" s="3">
        <v>2017.0</v>
      </c>
      <c r="J7" s="2" t="s">
        <v>31</v>
      </c>
      <c r="K7" s="4" t="b">
        <v>1</v>
      </c>
      <c r="L7" s="4" t="b">
        <v>0</v>
      </c>
      <c r="M7" s="4" t="b">
        <v>1</v>
      </c>
      <c r="N7" s="5">
        <v>42735.0</v>
      </c>
      <c r="O7" s="2" t="s">
        <v>41</v>
      </c>
      <c r="P7" s="5">
        <v>44196.0</v>
      </c>
      <c r="Q7" s="3">
        <v>58.5000884354193</v>
      </c>
      <c r="R7" s="3">
        <v>74.6541582150101</v>
      </c>
      <c r="S7" s="3">
        <v>76.2496870072596</v>
      </c>
      <c r="T7" s="3">
        <v>44.1210613598673</v>
      </c>
      <c r="U7" s="2" t="s">
        <v>42</v>
      </c>
      <c r="V7" s="3">
        <v>2016.0</v>
      </c>
      <c r="W7" s="3">
        <v>2017.0</v>
      </c>
      <c r="X7" s="2"/>
      <c r="Y7" s="2"/>
      <c r="Z7" s="2"/>
    </row>
    <row r="8">
      <c r="A8" s="2" t="s">
        <v>26</v>
      </c>
      <c r="B8" s="2" t="s">
        <v>43</v>
      </c>
      <c r="C8" s="2" t="s">
        <v>28</v>
      </c>
      <c r="D8" s="2" t="s">
        <v>29</v>
      </c>
      <c r="E8" s="2" t="s">
        <v>30</v>
      </c>
      <c r="F8" s="3">
        <v>0.00329</v>
      </c>
      <c r="G8" s="3">
        <v>4.5385E7</v>
      </c>
      <c r="H8" s="2" t="s">
        <v>28</v>
      </c>
      <c r="I8" s="3">
        <v>2018.0</v>
      </c>
      <c r="J8" s="2" t="s">
        <v>31</v>
      </c>
      <c r="K8" s="4" t="b">
        <v>1</v>
      </c>
      <c r="L8" s="4" t="b">
        <v>0</v>
      </c>
      <c r="M8" s="4" t="b">
        <v>1</v>
      </c>
      <c r="N8" s="5">
        <v>43100.0</v>
      </c>
      <c r="O8" s="2" t="s">
        <v>44</v>
      </c>
      <c r="P8" s="5">
        <v>43465.0</v>
      </c>
      <c r="Q8" s="3">
        <v>56.6695287014505</v>
      </c>
      <c r="R8" s="3">
        <v>42.468615361759</v>
      </c>
      <c r="S8" s="3">
        <v>65.6943701273698</v>
      </c>
      <c r="T8" s="3">
        <v>57.1005999121148</v>
      </c>
      <c r="U8" s="2" t="s">
        <v>45</v>
      </c>
      <c r="V8" s="3">
        <v>2017.0</v>
      </c>
      <c r="W8" s="3">
        <v>2018.0</v>
      </c>
      <c r="X8" s="2"/>
      <c r="Y8" s="2"/>
      <c r="Z8" s="2"/>
    </row>
    <row r="9">
      <c r="A9" s="2" t="s">
        <v>26</v>
      </c>
      <c r="B9" s="2" t="s">
        <v>43</v>
      </c>
      <c r="C9" s="2" t="s">
        <v>34</v>
      </c>
      <c r="D9" s="2" t="s">
        <v>29</v>
      </c>
      <c r="E9" s="2" t="s">
        <v>35</v>
      </c>
      <c r="F9" s="3">
        <v>4.93E-4</v>
      </c>
      <c r="G9" s="3">
        <v>1.5951002E7</v>
      </c>
      <c r="H9" s="2" t="s">
        <v>34</v>
      </c>
      <c r="I9" s="3">
        <v>2018.0</v>
      </c>
      <c r="J9" s="2" t="s">
        <v>31</v>
      </c>
      <c r="K9" s="4" t="b">
        <v>1</v>
      </c>
      <c r="L9" s="4" t="b">
        <v>0</v>
      </c>
      <c r="M9" s="4" t="b">
        <v>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26</v>
      </c>
      <c r="B10" s="2" t="s">
        <v>46</v>
      </c>
      <c r="C10" s="2" t="s">
        <v>28</v>
      </c>
      <c r="D10" s="2" t="s">
        <v>29</v>
      </c>
      <c r="E10" s="2" t="s">
        <v>30</v>
      </c>
      <c r="F10" s="3">
        <v>0.0033139999999999</v>
      </c>
      <c r="G10" s="3">
        <v>3.5743E7</v>
      </c>
      <c r="H10" s="2" t="s">
        <v>28</v>
      </c>
      <c r="I10" s="3">
        <v>2019.0</v>
      </c>
      <c r="J10" s="2" t="s">
        <v>31</v>
      </c>
      <c r="K10" s="4" t="b">
        <v>1</v>
      </c>
      <c r="L10" s="4" t="b">
        <v>0</v>
      </c>
      <c r="M10" s="4" t="b">
        <v>1</v>
      </c>
      <c r="N10" s="5">
        <v>43465.0</v>
      </c>
      <c r="O10" s="2" t="s">
        <v>48</v>
      </c>
      <c r="P10" s="5">
        <v>43830.0</v>
      </c>
      <c r="Q10" s="3">
        <v>60.4082545107056</v>
      </c>
      <c r="R10" s="3">
        <v>42.9245492494893</v>
      </c>
      <c r="S10" s="3">
        <v>71.0910397975616</v>
      </c>
      <c r="T10" s="3">
        <v>59.6062400964457</v>
      </c>
      <c r="U10" s="2" t="s">
        <v>42</v>
      </c>
      <c r="V10" s="3">
        <v>2018.0</v>
      </c>
      <c r="W10" s="3">
        <v>2019.0</v>
      </c>
      <c r="X10" s="2"/>
      <c r="Y10" s="2"/>
      <c r="Z10" s="2"/>
    </row>
    <row r="11">
      <c r="A11" s="2" t="s">
        <v>26</v>
      </c>
      <c r="B11" s="2" t="s">
        <v>46</v>
      </c>
      <c r="C11" s="2" t="s">
        <v>66</v>
      </c>
      <c r="D11" s="2" t="s">
        <v>29</v>
      </c>
      <c r="E11" s="2" t="s">
        <v>30</v>
      </c>
      <c r="F11" s="3">
        <v>1.37E-4</v>
      </c>
      <c r="G11" s="3">
        <v>817599.0</v>
      </c>
      <c r="H11" s="2" t="s">
        <v>66</v>
      </c>
      <c r="I11" s="3">
        <v>2019.0</v>
      </c>
      <c r="J11" s="2" t="s">
        <v>31</v>
      </c>
      <c r="K11" s="4" t="b">
        <v>1</v>
      </c>
      <c r="L11" s="4" t="b">
        <v>0</v>
      </c>
      <c r="M11" s="4" t="b">
        <v>1</v>
      </c>
      <c r="N11" s="5">
        <v>43465.0</v>
      </c>
      <c r="O11" s="2" t="s">
        <v>48</v>
      </c>
      <c r="P11" s="5">
        <v>43830.0</v>
      </c>
      <c r="Q11" s="3">
        <v>60.4082545107056</v>
      </c>
      <c r="R11" s="3">
        <v>42.9245492494893</v>
      </c>
      <c r="S11" s="3">
        <v>71.0910397975616</v>
      </c>
      <c r="T11" s="3">
        <v>59.6062400964457</v>
      </c>
      <c r="U11" s="2" t="s">
        <v>42</v>
      </c>
      <c r="V11" s="3">
        <v>2018.0</v>
      </c>
      <c r="W11" s="3">
        <v>2019.0</v>
      </c>
      <c r="X11" s="2"/>
      <c r="Y11" s="2"/>
      <c r="Z11" s="2"/>
    </row>
    <row r="12" ht="15.75" customHeight="1">
      <c r="A12" s="2" t="s">
        <v>26</v>
      </c>
      <c r="B12" s="2" t="s">
        <v>46</v>
      </c>
      <c r="C12" s="2" t="s">
        <v>34</v>
      </c>
      <c r="D12" s="2" t="s">
        <v>29</v>
      </c>
      <c r="E12" s="2" t="s">
        <v>35</v>
      </c>
      <c r="F12" s="3">
        <v>3.72E-4</v>
      </c>
      <c r="G12" s="3">
        <v>1.304649E7</v>
      </c>
      <c r="H12" s="2" t="s">
        <v>34</v>
      </c>
      <c r="I12" s="3">
        <v>2019.0</v>
      </c>
      <c r="J12" s="2" t="s">
        <v>31</v>
      </c>
      <c r="K12" s="4" t="b">
        <v>1</v>
      </c>
      <c r="L12" s="4" t="b">
        <v>0</v>
      </c>
      <c r="M12" s="4" t="b">
        <v>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26</v>
      </c>
      <c r="B13" s="2" t="s">
        <v>49</v>
      </c>
      <c r="C13" s="2" t="s">
        <v>28</v>
      </c>
      <c r="D13" s="2" t="s">
        <v>29</v>
      </c>
      <c r="E13" s="2" t="s">
        <v>30</v>
      </c>
      <c r="F13" s="3">
        <v>0.002033</v>
      </c>
      <c r="G13" s="3">
        <v>2.6093E7</v>
      </c>
      <c r="H13" s="2" t="s">
        <v>28</v>
      </c>
      <c r="I13" s="3">
        <v>2020.0</v>
      </c>
      <c r="J13" s="2" t="s">
        <v>31</v>
      </c>
      <c r="K13" s="4" t="b">
        <v>1</v>
      </c>
      <c r="L13" s="4" t="b">
        <v>0</v>
      </c>
      <c r="M13" s="4" t="b">
        <v>1</v>
      </c>
      <c r="N13" s="5">
        <v>43830.0</v>
      </c>
      <c r="O13" s="2" t="s">
        <v>51</v>
      </c>
      <c r="P13" s="5">
        <v>44196.0</v>
      </c>
      <c r="Q13" s="3">
        <v>61.238315792312</v>
      </c>
      <c r="R13" s="3">
        <v>59.9937177204007</v>
      </c>
      <c r="S13" s="3">
        <v>72.315503019404</v>
      </c>
      <c r="T13" s="3">
        <v>59.6461828449949</v>
      </c>
      <c r="U13" s="2" t="s">
        <v>42</v>
      </c>
      <c r="V13" s="3">
        <v>2019.0</v>
      </c>
      <c r="W13" s="3">
        <v>2020.0</v>
      </c>
      <c r="X13" s="2"/>
      <c r="Y13" s="2"/>
      <c r="Z13" s="2"/>
    </row>
    <row r="14" ht="15.75" customHeight="1">
      <c r="A14" s="2" t="s">
        <v>26</v>
      </c>
      <c r="B14" s="2" t="s">
        <v>49</v>
      </c>
      <c r="C14" s="2" t="s">
        <v>66</v>
      </c>
      <c r="D14" s="2" t="s">
        <v>29</v>
      </c>
      <c r="E14" s="2" t="s">
        <v>30</v>
      </c>
      <c r="F14" s="3">
        <v>1.409999999999E-4</v>
      </c>
      <c r="G14" s="3">
        <v>674012.0</v>
      </c>
      <c r="H14" s="2" t="s">
        <v>66</v>
      </c>
      <c r="I14" s="3">
        <v>2020.0</v>
      </c>
      <c r="J14" s="2" t="s">
        <v>31</v>
      </c>
      <c r="K14" s="4" t="b">
        <v>1</v>
      </c>
      <c r="L14" s="4" t="b">
        <v>0</v>
      </c>
      <c r="M14" s="4" t="b">
        <v>1</v>
      </c>
      <c r="N14" s="5">
        <v>43830.0</v>
      </c>
      <c r="O14" s="2" t="s">
        <v>51</v>
      </c>
      <c r="P14" s="5">
        <v>44196.0</v>
      </c>
      <c r="Q14" s="3">
        <v>61.238315792312</v>
      </c>
      <c r="R14" s="3">
        <v>59.9937177204007</v>
      </c>
      <c r="S14" s="3">
        <v>72.315503019404</v>
      </c>
      <c r="T14" s="3">
        <v>59.6461828449949</v>
      </c>
      <c r="U14" s="2" t="s">
        <v>42</v>
      </c>
      <c r="V14" s="3">
        <v>2019.0</v>
      </c>
      <c r="W14" s="3">
        <v>2020.0</v>
      </c>
      <c r="X14" s="2"/>
      <c r="Y14" s="2"/>
      <c r="Z14" s="2"/>
    </row>
    <row r="15" ht="15.75" customHeight="1">
      <c r="A15" s="2" t="s">
        <v>26</v>
      </c>
      <c r="B15" s="2" t="s">
        <v>49</v>
      </c>
      <c r="C15" s="2" t="s">
        <v>34</v>
      </c>
      <c r="D15" s="2" t="s">
        <v>29</v>
      </c>
      <c r="E15" s="2" t="s">
        <v>35</v>
      </c>
      <c r="F15" s="3">
        <v>2.98E-4</v>
      </c>
      <c r="G15" s="3">
        <v>1.0691679E7</v>
      </c>
      <c r="H15" s="2" t="s">
        <v>34</v>
      </c>
      <c r="I15" s="3">
        <v>2020.0</v>
      </c>
      <c r="J15" s="2" t="s">
        <v>31</v>
      </c>
      <c r="K15" s="4" t="b">
        <v>1</v>
      </c>
      <c r="L15" s="4" t="b">
        <v>0</v>
      </c>
      <c r="M15" s="4" t="b">
        <v>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26</v>
      </c>
      <c r="B16" s="2" t="s">
        <v>52</v>
      </c>
      <c r="C16" s="2" t="s">
        <v>28</v>
      </c>
      <c r="D16" s="2" t="s">
        <v>29</v>
      </c>
      <c r="E16" s="2" t="s">
        <v>30</v>
      </c>
      <c r="F16" s="3">
        <v>0.0015179999999999</v>
      </c>
      <c r="G16" s="3">
        <v>2.6614E7</v>
      </c>
      <c r="H16" s="2" t="s">
        <v>28</v>
      </c>
      <c r="I16" s="3">
        <v>2021.0</v>
      </c>
      <c r="J16" s="2" t="s">
        <v>31</v>
      </c>
      <c r="K16" s="4" t="b">
        <v>1</v>
      </c>
      <c r="L16" s="4" t="b">
        <v>0</v>
      </c>
      <c r="M16" s="4" t="b">
        <v>1</v>
      </c>
      <c r="N16" s="5">
        <v>44196.0</v>
      </c>
      <c r="O16" s="2" t="s">
        <v>54</v>
      </c>
      <c r="P16" s="5">
        <v>44561.0</v>
      </c>
      <c r="Q16" s="3">
        <v>51.8357712984663</v>
      </c>
      <c r="R16" s="3">
        <v>25.7625479842775</v>
      </c>
      <c r="S16" s="3">
        <v>67.3116648584965</v>
      </c>
      <c r="T16" s="3">
        <v>42.4716365831607</v>
      </c>
      <c r="U16" s="2" t="s">
        <v>45</v>
      </c>
      <c r="V16" s="3">
        <v>2020.0</v>
      </c>
      <c r="W16" s="3">
        <v>2021.0</v>
      </c>
      <c r="X16" s="2"/>
      <c r="Y16" s="2"/>
      <c r="Z16" s="2"/>
    </row>
    <row r="17" ht="15.75" customHeight="1">
      <c r="A17" s="2" t="s">
        <v>26</v>
      </c>
      <c r="B17" s="2" t="s">
        <v>52</v>
      </c>
      <c r="C17" s="2" t="s">
        <v>66</v>
      </c>
      <c r="D17" s="2" t="s">
        <v>29</v>
      </c>
      <c r="E17" s="2" t="s">
        <v>30</v>
      </c>
      <c r="F17" s="3">
        <v>1.25E-4</v>
      </c>
      <c r="G17" s="3">
        <v>770212.0</v>
      </c>
      <c r="H17" s="2" t="s">
        <v>66</v>
      </c>
      <c r="I17" s="3">
        <v>2021.0</v>
      </c>
      <c r="J17" s="2" t="s">
        <v>31</v>
      </c>
      <c r="K17" s="4" t="b">
        <v>1</v>
      </c>
      <c r="L17" s="4" t="b">
        <v>0</v>
      </c>
      <c r="M17" s="4" t="b">
        <v>1</v>
      </c>
      <c r="N17" s="5">
        <v>44196.0</v>
      </c>
      <c r="O17" s="2" t="s">
        <v>54</v>
      </c>
      <c r="P17" s="5">
        <v>44561.0</v>
      </c>
      <c r="Q17" s="3">
        <v>51.8357712984663</v>
      </c>
      <c r="R17" s="3">
        <v>25.7625479842775</v>
      </c>
      <c r="S17" s="3">
        <v>67.3116648584965</v>
      </c>
      <c r="T17" s="3">
        <v>42.4716365831607</v>
      </c>
      <c r="U17" s="2" t="s">
        <v>45</v>
      </c>
      <c r="V17" s="3">
        <v>2020.0</v>
      </c>
      <c r="W17" s="3">
        <v>2021.0</v>
      </c>
      <c r="X17" s="2"/>
      <c r="Y17" s="2"/>
      <c r="Z17" s="2"/>
    </row>
    <row r="18" ht="15.75" customHeight="1">
      <c r="A18" s="2" t="s">
        <v>26</v>
      </c>
      <c r="B18" s="2" t="s">
        <v>55</v>
      </c>
      <c r="C18" s="2" t="s">
        <v>28</v>
      </c>
      <c r="D18" s="2" t="s">
        <v>29</v>
      </c>
      <c r="E18" s="2" t="s">
        <v>30</v>
      </c>
      <c r="F18" s="3">
        <v>0.001957</v>
      </c>
      <c r="G18" s="3">
        <v>2.6166E7</v>
      </c>
      <c r="H18" s="2" t="s">
        <v>28</v>
      </c>
      <c r="I18" s="3">
        <v>2022.0</v>
      </c>
      <c r="J18" s="2" t="s">
        <v>31</v>
      </c>
      <c r="K18" s="4" t="b">
        <v>1</v>
      </c>
      <c r="L18" s="4" t="b">
        <v>0</v>
      </c>
      <c r="M18" s="4" t="b">
        <v>1</v>
      </c>
      <c r="N18" s="5">
        <v>44561.0</v>
      </c>
      <c r="O18" s="2" t="s">
        <v>57</v>
      </c>
      <c r="P18" s="5">
        <v>44926.0</v>
      </c>
      <c r="Q18" s="3">
        <v>55.1113689703621</v>
      </c>
      <c r="R18" s="3">
        <v>20.6415341431817</v>
      </c>
      <c r="S18" s="3">
        <v>62.6014795349683</v>
      </c>
      <c r="T18" s="3">
        <v>57.8628515873814</v>
      </c>
      <c r="U18" s="2" t="s">
        <v>45</v>
      </c>
      <c r="V18" s="3">
        <v>2021.0</v>
      </c>
      <c r="W18" s="3">
        <v>2022.0</v>
      </c>
      <c r="X18" s="2"/>
      <c r="Y18" s="2"/>
      <c r="Z18" s="2"/>
    </row>
    <row r="19" ht="15.75" customHeight="1">
      <c r="A19" s="2" t="s">
        <v>26</v>
      </c>
      <c r="B19" s="2" t="s">
        <v>55</v>
      </c>
      <c r="C19" s="2" t="s">
        <v>66</v>
      </c>
      <c r="D19" s="2" t="s">
        <v>29</v>
      </c>
      <c r="E19" s="2" t="s">
        <v>30</v>
      </c>
      <c r="F19" s="3">
        <v>1.97E-4</v>
      </c>
      <c r="G19" s="3">
        <v>842212.0</v>
      </c>
      <c r="H19" s="2" t="s">
        <v>66</v>
      </c>
      <c r="I19" s="3">
        <v>2022.0</v>
      </c>
      <c r="J19" s="2" t="s">
        <v>31</v>
      </c>
      <c r="K19" s="4" t="b">
        <v>1</v>
      </c>
      <c r="L19" s="4" t="b">
        <v>0</v>
      </c>
      <c r="M19" s="4" t="b">
        <v>1</v>
      </c>
      <c r="N19" s="5">
        <v>44561.0</v>
      </c>
      <c r="O19" s="2" t="s">
        <v>57</v>
      </c>
      <c r="P19" s="5">
        <v>44926.0</v>
      </c>
      <c r="Q19" s="3">
        <v>55.1113689703621</v>
      </c>
      <c r="R19" s="3">
        <v>20.6415341431817</v>
      </c>
      <c r="S19" s="3">
        <v>62.6014795349683</v>
      </c>
      <c r="T19" s="3">
        <v>57.8628515873814</v>
      </c>
      <c r="U19" s="2" t="s">
        <v>45</v>
      </c>
      <c r="V19" s="3">
        <v>2021.0</v>
      </c>
      <c r="W19" s="3">
        <v>2022.0</v>
      </c>
      <c r="X19" s="2"/>
      <c r="Y19" s="2"/>
      <c r="Z19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A$1:$Z$19">
    <sortState ref="A1:Z19">
      <sortCondition ref="B1:B19"/>
      <sortCondition ref="C1:C19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2026-04-22T20:19:51Z</dcterms:created>
  <dc:creator>openpyxl</dc:creator>
</cp:coreProperties>
</file>