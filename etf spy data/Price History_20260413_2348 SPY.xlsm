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</sheets>
  <definedNames>
    <definedName name="statPriceTableData">#REF!</definedName>
    <definedName name="chartTableData">#REF!</definedName>
    <definedName name="chartTableName">#REF!</definedName>
    <definedName name="sheetHeader">#REF!</definedName>
    <definedName name="statUpDownTableData">#REF!</definedName>
    <definedName name="PCC">#REF!</definedName>
    <definedName name="chartTableHeader">#REF!</definedName>
    <definedName name="phTableName">#REF!</definedName>
    <definedName name="phTableHeader">#REF!</definedName>
    <definedName name="statVolumeTableHeader">#REF!</definedName>
    <definedName name="NET">#REF!</definedName>
    <definedName name="statVolumeTableData">#REF!</definedName>
    <definedName name="DAT">#REF!</definedName>
    <definedName name="CLS">#REF!</definedName>
    <definedName name="phTableData">#REF!</definedName>
    <definedName name="statUpDownTableHeader">#REF!</definedName>
    <definedName name="statPriceChangeTableHeader">#REF!</definedName>
    <definedName name="statTableName">#REF!</definedName>
    <definedName name="statTurnoverTableHeader">#REF!</definedName>
    <definedName name="statTurnoverTableData">#REF!</definedName>
    <definedName name="chartTableTotal">#REF!</definedName>
    <definedName name="LOW">#REF!</definedName>
    <definedName name="statPriceChangeTableData">#REF!</definedName>
    <definedName name="VOL">#REF!</definedName>
    <definedName name="TRNOVR_UNS">#REF!</definedName>
    <definedName name="OPN">#REF!</definedName>
    <definedName name="filterValues">#REF!</definedName>
    <definedName name="HIG">#REF!</definedName>
    <definedName name="statPriceTableHeader">#REF!</definedName>
  </definedNames>
  <calcPr/>
  <extLst>
    <ext uri="GoogleSheetsCustomDataVersion2">
      <go:sheetsCustomData xmlns:go="http://customooxmlschemas.google.com/" r:id="rId5" roundtripDataChecksum="ginSp3gYxOZgmn2R+nbJDPSl38T0KkkhmVY/nVCKTuA="/>
    </ext>
  </extLst>
</workbook>
</file>

<file path=xl/sharedStrings.xml><?xml version="1.0" encoding="utf-8"?>
<sst xmlns="http://schemas.openxmlformats.org/spreadsheetml/2006/main" count="2317" uniqueCount="11">
  <si>
    <t>ETF</t>
  </si>
  <si>
    <t>date</t>
  </si>
  <si>
    <t>Close</t>
  </si>
  <si>
    <t>Net</t>
  </si>
  <si>
    <t>%Chg</t>
  </si>
  <si>
    <t>Open</t>
  </si>
  <si>
    <t>Low</t>
  </si>
  <si>
    <t>High</t>
  </si>
  <si>
    <t>Volume</t>
  </si>
  <si>
    <t>Turnover - USD</t>
  </si>
  <si>
    <t>SPY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</si>
</sst>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dd-MMM-yyyy"/>
    <numFmt numFmtId="165" formatCode="#,##0.00;-#,##0.00;#,##0.00;&quot;--&quot;"/>
    <numFmt numFmtId="166" formatCode="+#,##0.00;-#,##0.00;#,##0.00;&quot;--&quot;"/>
    <numFmt numFmtId="167" formatCode="+#,##0.00%;-#,##0.00%;#,##0.00%;&quot;--&quot;"/>
    <numFmt numFmtId="168" formatCode="#,##0;-#,##0;#,##0;&quot;--&quot;"/>
  </numFmts>
  <fonts count="5">
    <font>
      <sz val="11.0"/>
      <color rgb="FF000000"/>
      <name val="Calibri"/>
      <scheme val="minor"/>
    </font>
    <font>
      <b/>
      <sz val="10.0"/>
      <color rgb="FF000000"/>
      <name val="Calibri"/>
    </font>
    <font>
      <b/>
      <color rgb="FF000000"/>
      <name val="Calibri"/>
    </font>
    <font>
      <sz val="10.0"/>
      <color rgb="FF000000"/>
      <name val="Calibri"/>
    </font>
    <font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A6A6A6"/>
        <bgColor rgb="FFA6A6A6"/>
      </patternFill>
    </fill>
  </fills>
  <borders count="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right" readingOrder="0" shrinkToFit="0" vertical="bottom" wrapText="0"/>
    </xf>
    <xf borderId="2" fillId="2" fontId="2" numFmtId="0" xfId="0" applyAlignment="1" applyBorder="1" applyFont="1">
      <alignment horizontal="right" readingOrder="0" shrinkToFit="0" vertical="bottom" wrapText="0"/>
    </xf>
    <xf borderId="1" fillId="2" fontId="2" numFmtId="0" xfId="0" applyAlignment="1" applyBorder="1" applyFont="1">
      <alignment horizontal="right" readingOrder="0" shrinkToFit="0" vertical="bottom" wrapText="0"/>
    </xf>
    <xf borderId="1" fillId="0" fontId="3" numFmtId="0" xfId="0" applyAlignment="1" applyBorder="1" applyFont="1">
      <alignment readingOrder="0" shrinkToFit="0" vertical="bottom" wrapText="0"/>
    </xf>
    <xf borderId="1" fillId="0" fontId="4" numFmtId="164" xfId="0" applyAlignment="1" applyBorder="1" applyFont="1" applyNumberFormat="1">
      <alignment horizontal="right" readingOrder="0" shrinkToFit="0" vertical="bottom" wrapText="0"/>
    </xf>
    <xf borderId="1" fillId="0" fontId="4" numFmtId="165" xfId="0" applyAlignment="1" applyBorder="1" applyFont="1" applyNumberFormat="1">
      <alignment horizontal="right" readingOrder="0" shrinkToFit="0" vertical="bottom" wrapText="0"/>
    </xf>
    <xf borderId="1" fillId="0" fontId="4" numFmtId="166" xfId="0" applyAlignment="1" applyBorder="1" applyFont="1" applyNumberFormat="1">
      <alignment shrinkToFit="0" vertical="bottom" wrapText="0"/>
    </xf>
    <xf borderId="1" fillId="0" fontId="4" numFmtId="167" xfId="0" applyAlignment="1" applyBorder="1" applyFont="1" applyNumberFormat="1">
      <alignment shrinkToFit="0" vertical="bottom" wrapText="0"/>
    </xf>
    <xf borderId="1" fillId="0" fontId="4" numFmtId="168" xfId="0" applyAlignment="1" applyBorder="1" applyFont="1" applyNumberFormat="1">
      <alignment horizontal="right" readingOrder="0" shrinkToFit="0" vertical="bottom" wrapText="0"/>
    </xf>
    <xf borderId="1" fillId="0" fontId="4" numFmtId="165" xfId="0" applyAlignment="1" applyBorder="1" applyFont="1" applyNumberFormat="1">
      <alignment shrinkToFit="0" vertical="bottom" wrapText="0"/>
    </xf>
    <xf borderId="1" fillId="0" fontId="4" numFmtId="166" xfId="0" applyAlignment="1" applyBorder="1" applyFont="1" applyNumberFormat="1">
      <alignment horizontal="right" readingOrder="0" shrinkToFit="0" vertical="bottom" wrapText="0"/>
    </xf>
    <xf borderId="1" fillId="0" fontId="4" numFmtId="167" xfId="0" applyAlignment="1" applyBorder="1" applyFont="1" applyNumberFormat="1">
      <alignment horizontal="right" readingOrder="0" shrinkToFit="0" vertical="bottom" wrapText="0"/>
    </xf>
    <xf borderId="1" fillId="0" fontId="4" numFmtId="166" xfId="0" applyAlignment="1" applyBorder="1" applyFont="1" applyNumberFormat="1">
      <alignment horizontal="right" shrinkToFit="0" vertical="bottom" wrapText="0"/>
    </xf>
    <xf borderId="1" fillId="0" fontId="4" numFmtId="167" xfId="0" applyAlignment="1" applyBorder="1" applyFont="1" applyNumberFormat="1">
      <alignment horizontal="right" shrinkToFit="0" vertical="bottom" wrapText="0"/>
    </xf>
    <xf borderId="1" fillId="0" fontId="4" numFmtId="168" xfId="0" applyAlignment="1" applyBorder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3.86"/>
    <col customWidth="1" min="10" max="10" width="16.57"/>
  </cols>
  <sheetData>
    <row r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</row>
    <row r="2">
      <c r="A2" s="4" t="s">
        <v>10</v>
      </c>
      <c r="B2" s="5">
        <v>41641.0</v>
      </c>
      <c r="C2" s="6">
        <v>182.92</v>
      </c>
      <c r="D2" s="7"/>
      <c r="E2" s="8"/>
      <c r="F2" s="6">
        <v>183.98</v>
      </c>
      <c r="G2" s="6">
        <v>182.48</v>
      </c>
      <c r="H2" s="6">
        <v>184.07</v>
      </c>
      <c r="I2" s="9">
        <v>1.19636836E8</v>
      </c>
      <c r="J2" s="10"/>
    </row>
    <row r="3">
      <c r="A3" s="4" t="s">
        <v>10</v>
      </c>
      <c r="B3" s="5">
        <v>41642.0</v>
      </c>
      <c r="C3" s="6">
        <v>182.89</v>
      </c>
      <c r="D3" s="11">
        <v>-0.03</v>
      </c>
      <c r="E3" s="12">
        <v>-2.0E-4</v>
      </c>
      <c r="F3" s="6">
        <v>183.23</v>
      </c>
      <c r="G3" s="6">
        <v>182.63</v>
      </c>
      <c r="H3" s="6">
        <v>183.6</v>
      </c>
      <c r="I3" s="9">
        <v>8.1390502E7</v>
      </c>
      <c r="J3" s="10"/>
    </row>
    <row r="4">
      <c r="A4" s="4" t="s">
        <v>10</v>
      </c>
      <c r="B4" s="5">
        <v>41645.0</v>
      </c>
      <c r="C4" s="6">
        <v>182.36</v>
      </c>
      <c r="D4" s="11">
        <v>-0.52</v>
      </c>
      <c r="E4" s="12">
        <v>-0.0029</v>
      </c>
      <c r="F4" s="6">
        <v>183.49</v>
      </c>
      <c r="G4" s="6">
        <v>182.08</v>
      </c>
      <c r="H4" s="6">
        <v>183.56</v>
      </c>
      <c r="I4" s="9">
        <v>1.08028139E8</v>
      </c>
      <c r="J4" s="10"/>
    </row>
    <row r="5">
      <c r="A5" s="4" t="s">
        <v>10</v>
      </c>
      <c r="B5" s="5">
        <v>41646.0</v>
      </c>
      <c r="C5" s="6">
        <v>183.48</v>
      </c>
      <c r="D5" s="13">
        <f>+1.12</f>
        <v>1.12</v>
      </c>
      <c r="E5" s="14">
        <f>+0.61%</f>
        <v>0.0061</v>
      </c>
      <c r="F5" s="6">
        <v>183.09</v>
      </c>
      <c r="G5" s="6">
        <v>182.95</v>
      </c>
      <c r="H5" s="6">
        <v>183.79</v>
      </c>
      <c r="I5" s="9">
        <v>8.6144169E7</v>
      </c>
      <c r="J5" s="10"/>
    </row>
    <row r="6">
      <c r="A6" s="4" t="s">
        <v>10</v>
      </c>
      <c r="B6" s="5">
        <v>41647.0</v>
      </c>
      <c r="C6" s="6">
        <v>183.52</v>
      </c>
      <c r="D6" s="13">
        <f>+0.04</f>
        <v>0.04</v>
      </c>
      <c r="E6" s="14">
        <f>+0.02%</f>
        <v>0.0002</v>
      </c>
      <c r="F6" s="6">
        <v>183.45</v>
      </c>
      <c r="G6" s="6">
        <v>182.89</v>
      </c>
      <c r="H6" s="6">
        <v>183.83</v>
      </c>
      <c r="I6" s="9">
        <v>9.6582234E7</v>
      </c>
      <c r="J6" s="10"/>
    </row>
    <row r="7">
      <c r="A7" s="4" t="s">
        <v>10</v>
      </c>
      <c r="B7" s="5">
        <v>41648.0</v>
      </c>
      <c r="C7" s="6">
        <v>183.64</v>
      </c>
      <c r="D7" s="13">
        <f>+0.12</f>
        <v>0.12</v>
      </c>
      <c r="E7" s="14">
        <f>+0.07%</f>
        <v>0.0007</v>
      </c>
      <c r="F7" s="6">
        <v>184.11</v>
      </c>
      <c r="G7" s="6">
        <v>182.8</v>
      </c>
      <c r="H7" s="6">
        <v>184.13</v>
      </c>
      <c r="I7" s="9">
        <v>9.0683302E7</v>
      </c>
      <c r="J7" s="10"/>
    </row>
    <row r="8">
      <c r="A8" s="4" t="s">
        <v>10</v>
      </c>
      <c r="B8" s="5">
        <v>41649.0</v>
      </c>
      <c r="C8" s="6">
        <v>184.14</v>
      </c>
      <c r="D8" s="13">
        <f>+0.5</f>
        <v>0.5</v>
      </c>
      <c r="E8" s="14">
        <f>+0.27%</f>
        <v>0.0027</v>
      </c>
      <c r="F8" s="6">
        <v>183.95</v>
      </c>
      <c r="G8" s="6">
        <v>183.01</v>
      </c>
      <c r="H8" s="6">
        <v>184.22</v>
      </c>
      <c r="I8" s="9">
        <v>1.02026318E8</v>
      </c>
      <c r="J8" s="10"/>
    </row>
    <row r="9">
      <c r="A9" s="4" t="s">
        <v>10</v>
      </c>
      <c r="B9" s="5">
        <v>41652.0</v>
      </c>
      <c r="C9" s="6">
        <v>181.69</v>
      </c>
      <c r="D9" s="11">
        <v>-2.45</v>
      </c>
      <c r="E9" s="12">
        <v>-0.0133</v>
      </c>
      <c r="F9" s="6">
        <v>183.67</v>
      </c>
      <c r="G9" s="6">
        <v>181.34</v>
      </c>
      <c r="H9" s="6">
        <v>184.18</v>
      </c>
      <c r="I9" s="9">
        <v>1.49891938E8</v>
      </c>
      <c r="J9" s="10"/>
    </row>
    <row r="10">
      <c r="A10" s="4" t="s">
        <v>10</v>
      </c>
      <c r="B10" s="5">
        <v>41653.0</v>
      </c>
      <c r="C10" s="6">
        <v>183.67</v>
      </c>
      <c r="D10" s="13">
        <f>+1.98</f>
        <v>1.98</v>
      </c>
      <c r="E10" s="14">
        <f>+1.09%</f>
        <v>0.0109</v>
      </c>
      <c r="F10" s="6">
        <v>182.29</v>
      </c>
      <c r="G10" s="6">
        <v>181.95</v>
      </c>
      <c r="H10" s="6">
        <v>183.77</v>
      </c>
      <c r="I10" s="9">
        <v>1.05016055E8</v>
      </c>
      <c r="J10" s="10"/>
    </row>
    <row r="11">
      <c r="A11" s="4" t="s">
        <v>10</v>
      </c>
      <c r="B11" s="5">
        <v>41654.0</v>
      </c>
      <c r="C11" s="6">
        <v>184.66</v>
      </c>
      <c r="D11" s="13">
        <f>+0.99</f>
        <v>0.99</v>
      </c>
      <c r="E11" s="14">
        <f>+0.54%</f>
        <v>0.0054</v>
      </c>
      <c r="F11" s="6">
        <v>184.1</v>
      </c>
      <c r="G11" s="6">
        <v>183.71</v>
      </c>
      <c r="H11" s="6">
        <v>184.94</v>
      </c>
      <c r="I11" s="9">
        <v>9.8525721E7</v>
      </c>
      <c r="J11" s="10"/>
    </row>
    <row r="12">
      <c r="A12" s="4" t="s">
        <v>10</v>
      </c>
      <c r="B12" s="5">
        <v>41655.0</v>
      </c>
      <c r="C12" s="6">
        <v>184.42</v>
      </c>
      <c r="D12" s="11">
        <v>-0.24</v>
      </c>
      <c r="E12" s="12">
        <v>-0.0013</v>
      </c>
      <c r="F12" s="6">
        <v>184.28</v>
      </c>
      <c r="G12" s="6">
        <v>183.83</v>
      </c>
      <c r="H12" s="6">
        <v>184.66</v>
      </c>
      <c r="I12" s="9">
        <v>7.229052E7</v>
      </c>
      <c r="J12" s="10"/>
    </row>
    <row r="13">
      <c r="A13" s="4" t="s">
        <v>10</v>
      </c>
      <c r="B13" s="5">
        <v>41656.0</v>
      </c>
      <c r="C13" s="6">
        <v>183.64</v>
      </c>
      <c r="D13" s="11">
        <v>-0.78</v>
      </c>
      <c r="E13" s="12">
        <v>-0.0043</v>
      </c>
      <c r="F13" s="6">
        <v>184.1</v>
      </c>
      <c r="G13" s="6">
        <v>183.32</v>
      </c>
      <c r="H13" s="6">
        <v>184.45</v>
      </c>
      <c r="I13" s="9">
        <v>1.07848616E8</v>
      </c>
      <c r="J13" s="10"/>
    </row>
    <row r="14">
      <c r="A14" s="4" t="s">
        <v>10</v>
      </c>
      <c r="B14" s="5">
        <v>41660.0</v>
      </c>
      <c r="C14" s="6">
        <v>184.18</v>
      </c>
      <c r="D14" s="13">
        <f>+0.55</f>
        <v>0.55</v>
      </c>
      <c r="E14" s="14">
        <f>+0.3%</f>
        <v>0.003</v>
      </c>
      <c r="F14" s="6">
        <v>184.7</v>
      </c>
      <c r="G14" s="6">
        <v>183.05</v>
      </c>
      <c r="H14" s="6">
        <v>184.77</v>
      </c>
      <c r="I14" s="9">
        <v>8.8621138E7</v>
      </c>
      <c r="J14" s="10"/>
    </row>
    <row r="15">
      <c r="A15" s="4" t="s">
        <v>10</v>
      </c>
      <c r="B15" s="5">
        <v>41661.0</v>
      </c>
      <c r="C15" s="6">
        <v>184.3</v>
      </c>
      <c r="D15" s="13">
        <f>+0.12</f>
        <v>0.12</v>
      </c>
      <c r="E15" s="14">
        <f>+0.07%</f>
        <v>0.0007</v>
      </c>
      <c r="F15" s="6">
        <v>184.49</v>
      </c>
      <c r="G15" s="6">
        <v>183.91</v>
      </c>
      <c r="H15" s="6">
        <v>184.57</v>
      </c>
      <c r="I15" s="9">
        <v>6.1270816E7</v>
      </c>
      <c r="J15" s="10"/>
    </row>
    <row r="16">
      <c r="A16" s="4" t="s">
        <v>10</v>
      </c>
      <c r="B16" s="5">
        <v>41662.0</v>
      </c>
      <c r="C16" s="6">
        <v>182.79</v>
      </c>
      <c r="D16" s="11">
        <v>-1.51</v>
      </c>
      <c r="E16" s="12">
        <v>-0.0082</v>
      </c>
      <c r="F16" s="6">
        <v>183.37</v>
      </c>
      <c r="G16" s="6">
        <v>181.82</v>
      </c>
      <c r="H16" s="6">
        <v>183.4</v>
      </c>
      <c r="I16" s="9">
        <v>1.3249688E8</v>
      </c>
      <c r="J16" s="10"/>
    </row>
    <row r="17">
      <c r="A17" s="4" t="s">
        <v>10</v>
      </c>
      <c r="B17" s="5">
        <v>41663.0</v>
      </c>
      <c r="C17" s="6">
        <v>178.89</v>
      </c>
      <c r="D17" s="11">
        <v>-3.9</v>
      </c>
      <c r="E17" s="12">
        <v>-0.0213</v>
      </c>
      <c r="F17" s="6">
        <v>181.6</v>
      </c>
      <c r="G17" s="6">
        <v>178.83</v>
      </c>
      <c r="H17" s="6">
        <v>181.66</v>
      </c>
      <c r="I17" s="9">
        <v>2.08677093E8</v>
      </c>
      <c r="J17" s="10"/>
    </row>
    <row r="18">
      <c r="A18" s="4" t="s">
        <v>10</v>
      </c>
      <c r="B18" s="5">
        <v>41666.0</v>
      </c>
      <c r="C18" s="6">
        <v>178.01</v>
      </c>
      <c r="D18" s="11">
        <v>-0.88</v>
      </c>
      <c r="E18" s="12">
        <v>-0.0049</v>
      </c>
      <c r="F18" s="6">
        <v>179.06</v>
      </c>
      <c r="G18" s="6">
        <v>177.12</v>
      </c>
      <c r="H18" s="6">
        <v>179.52</v>
      </c>
      <c r="I18" s="9">
        <v>1.80843004E8</v>
      </c>
      <c r="J18" s="10"/>
    </row>
    <row r="19">
      <c r="A19" s="4" t="s">
        <v>10</v>
      </c>
      <c r="B19" s="5">
        <v>41667.0</v>
      </c>
      <c r="C19" s="6">
        <v>179.07</v>
      </c>
      <c r="D19" s="13">
        <f>+1.06</f>
        <v>1.06</v>
      </c>
      <c r="E19" s="14">
        <f>+0.6%</f>
        <v>0.006</v>
      </c>
      <c r="F19" s="6">
        <v>178.14</v>
      </c>
      <c r="G19" s="6">
        <v>178.12</v>
      </c>
      <c r="H19" s="6">
        <v>179.3</v>
      </c>
      <c r="I19" s="9">
        <v>1.10463152E8</v>
      </c>
      <c r="J19" s="10"/>
    </row>
    <row r="20">
      <c r="A20" s="4" t="s">
        <v>10</v>
      </c>
      <c r="B20" s="5">
        <v>41668.0</v>
      </c>
      <c r="C20" s="6">
        <v>177.35</v>
      </c>
      <c r="D20" s="11">
        <v>-1.72</v>
      </c>
      <c r="E20" s="12">
        <v>-0.0096</v>
      </c>
      <c r="F20" s="6">
        <v>177.58</v>
      </c>
      <c r="G20" s="6">
        <v>176.88</v>
      </c>
      <c r="H20" s="6">
        <v>178.55</v>
      </c>
      <c r="I20" s="9">
        <v>2.16597269E8</v>
      </c>
      <c r="J20" s="10"/>
    </row>
    <row r="21">
      <c r="A21" s="4" t="s">
        <v>10</v>
      </c>
      <c r="B21" s="5">
        <v>41669.0</v>
      </c>
      <c r="C21" s="6">
        <v>179.23</v>
      </c>
      <c r="D21" s="13">
        <f>+1.88</f>
        <v>1.88</v>
      </c>
      <c r="E21" s="14">
        <f>+1.06%</f>
        <v>0.0106</v>
      </c>
      <c r="F21" s="6">
        <v>178.83</v>
      </c>
      <c r="G21" s="6">
        <v>178.26</v>
      </c>
      <c r="H21" s="6">
        <v>179.81</v>
      </c>
      <c r="I21" s="9">
        <v>1.18938051E8</v>
      </c>
      <c r="J21" s="10"/>
    </row>
    <row r="22">
      <c r="A22" s="4" t="s">
        <v>10</v>
      </c>
      <c r="B22" s="5">
        <v>41670.0</v>
      </c>
      <c r="C22" s="6">
        <v>178.18</v>
      </c>
      <c r="D22" s="11">
        <v>-1.05</v>
      </c>
      <c r="E22" s="12">
        <v>-0.0059</v>
      </c>
      <c r="F22" s="6">
        <v>177.01</v>
      </c>
      <c r="G22" s="6">
        <v>176.92</v>
      </c>
      <c r="H22" s="6">
        <v>179.29</v>
      </c>
      <c r="I22" s="9">
        <v>1.94677861E8</v>
      </c>
      <c r="J22" s="10"/>
    </row>
    <row r="23">
      <c r="A23" s="4" t="s">
        <v>10</v>
      </c>
      <c r="B23" s="5">
        <v>41673.0</v>
      </c>
      <c r="C23" s="6">
        <v>174.17</v>
      </c>
      <c r="D23" s="11">
        <v>-4.01</v>
      </c>
      <c r="E23" s="12">
        <v>-0.0225</v>
      </c>
      <c r="F23" s="6">
        <v>177.97</v>
      </c>
      <c r="G23" s="6">
        <v>173.83</v>
      </c>
      <c r="H23" s="6">
        <v>178.37</v>
      </c>
      <c r="I23" s="9">
        <v>2.54837004E8</v>
      </c>
      <c r="J23" s="10"/>
    </row>
    <row r="24">
      <c r="A24" s="4" t="s">
        <v>10</v>
      </c>
      <c r="B24" s="5">
        <v>41674.0</v>
      </c>
      <c r="C24" s="6">
        <v>175.39</v>
      </c>
      <c r="D24" s="13">
        <f>+1.22</f>
        <v>1.22</v>
      </c>
      <c r="E24" s="14">
        <f>+0.7%</f>
        <v>0.007</v>
      </c>
      <c r="F24" s="6">
        <v>174.95</v>
      </c>
      <c r="G24" s="6">
        <v>174.11</v>
      </c>
      <c r="H24" s="6">
        <v>175.84</v>
      </c>
      <c r="I24" s="9">
        <v>1.65012351E8</v>
      </c>
      <c r="J24" s="10"/>
    </row>
    <row r="25">
      <c r="A25" s="4" t="s">
        <v>10</v>
      </c>
      <c r="B25" s="5">
        <v>41675.0</v>
      </c>
      <c r="C25" s="6">
        <v>175.17</v>
      </c>
      <c r="D25" s="11">
        <v>-0.22</v>
      </c>
      <c r="E25" s="12">
        <v>-0.0012</v>
      </c>
      <c r="F25" s="6">
        <v>174.78</v>
      </c>
      <c r="G25" s="6">
        <v>173.71</v>
      </c>
      <c r="H25" s="6">
        <v>175.56</v>
      </c>
      <c r="I25" s="9">
        <v>1.6423047E8</v>
      </c>
      <c r="J25" s="10"/>
    </row>
    <row r="26">
      <c r="A26" s="4" t="s">
        <v>10</v>
      </c>
      <c r="B26" s="5">
        <v>41676.0</v>
      </c>
      <c r="C26" s="6">
        <v>177.48</v>
      </c>
      <c r="D26" s="13">
        <f>+2.31</f>
        <v>2.31</v>
      </c>
      <c r="E26" s="14">
        <f>+1.32%</f>
        <v>0.0132</v>
      </c>
      <c r="F26" s="6">
        <v>175.58</v>
      </c>
      <c r="G26" s="6">
        <v>175.22</v>
      </c>
      <c r="H26" s="6">
        <v>177.48</v>
      </c>
      <c r="I26" s="9">
        <v>1.32877526E8</v>
      </c>
      <c r="J26" s="10"/>
    </row>
    <row r="27">
      <c r="A27" s="4" t="s">
        <v>10</v>
      </c>
      <c r="B27" s="5">
        <v>41677.0</v>
      </c>
      <c r="C27" s="6">
        <v>179.68</v>
      </c>
      <c r="D27" s="13">
        <f>+2.2</f>
        <v>2.2</v>
      </c>
      <c r="E27" s="14">
        <f>+1.24%</f>
        <v>0.0124</v>
      </c>
      <c r="F27" s="6">
        <v>178.31</v>
      </c>
      <c r="G27" s="6">
        <v>177.73</v>
      </c>
      <c r="H27" s="6">
        <v>179.87</v>
      </c>
      <c r="I27" s="9">
        <v>1.70787197E8</v>
      </c>
      <c r="J27" s="10"/>
    </row>
    <row r="28">
      <c r="A28" s="4" t="s">
        <v>10</v>
      </c>
      <c r="B28" s="5">
        <v>41680.0</v>
      </c>
      <c r="C28" s="6">
        <v>180.01</v>
      </c>
      <c r="D28" s="13">
        <f>+0.33</f>
        <v>0.33</v>
      </c>
      <c r="E28" s="14">
        <f>+0.18%</f>
        <v>0.0018</v>
      </c>
      <c r="F28" s="6">
        <v>179.7</v>
      </c>
      <c r="G28" s="6">
        <v>179.21</v>
      </c>
      <c r="H28" s="6">
        <v>180.07</v>
      </c>
      <c r="I28" s="9">
        <v>9.2218729E7</v>
      </c>
      <c r="J28" s="10"/>
    </row>
    <row r="29">
      <c r="A29" s="4" t="s">
        <v>10</v>
      </c>
      <c r="B29" s="5">
        <v>41681.0</v>
      </c>
      <c r="C29" s="6">
        <v>181.98</v>
      </c>
      <c r="D29" s="13">
        <f>+1.97</f>
        <v>1.97</v>
      </c>
      <c r="E29" s="14">
        <f>+1.09%</f>
        <v>0.0109</v>
      </c>
      <c r="F29" s="6">
        <v>180.16</v>
      </c>
      <c r="G29" s="6">
        <v>180.04</v>
      </c>
      <c r="H29" s="6">
        <v>182.44</v>
      </c>
      <c r="I29" s="9">
        <v>1.17814009E8</v>
      </c>
      <c r="J29" s="10"/>
    </row>
    <row r="30">
      <c r="A30" s="4" t="s">
        <v>10</v>
      </c>
      <c r="B30" s="5">
        <v>41682.0</v>
      </c>
      <c r="C30" s="6">
        <v>182.07</v>
      </c>
      <c r="D30" s="13">
        <f>+0.09</f>
        <v>0.09</v>
      </c>
      <c r="E30" s="14">
        <f>+0.05%</f>
        <v>0.0005</v>
      </c>
      <c r="F30" s="6">
        <v>182.25</v>
      </c>
      <c r="G30" s="6">
        <v>181.71</v>
      </c>
      <c r="H30" s="6">
        <v>182.83</v>
      </c>
      <c r="I30" s="9">
        <v>9.4717638E7</v>
      </c>
      <c r="J30" s="10"/>
    </row>
    <row r="31">
      <c r="A31" s="4" t="s">
        <v>10</v>
      </c>
      <c r="B31" s="5">
        <v>41683.0</v>
      </c>
      <c r="C31" s="6">
        <v>183.01</v>
      </c>
      <c r="D31" s="13">
        <f>+0.94</f>
        <v>0.94</v>
      </c>
      <c r="E31" s="14">
        <f>+0.52%</f>
        <v>0.0052</v>
      </c>
      <c r="F31" s="6">
        <v>180.84</v>
      </c>
      <c r="G31" s="6">
        <v>180.83</v>
      </c>
      <c r="H31" s="6">
        <v>183.2</v>
      </c>
      <c r="I31" s="9">
        <v>1.00542155E8</v>
      </c>
      <c r="J31" s="10"/>
    </row>
    <row r="32">
      <c r="A32" s="4" t="s">
        <v>10</v>
      </c>
      <c r="B32" s="5">
        <v>41684.0</v>
      </c>
      <c r="C32" s="6">
        <v>184.02</v>
      </c>
      <c r="D32" s="13">
        <f>+1.01</f>
        <v>1.01</v>
      </c>
      <c r="E32" s="14">
        <f>+0.55%</f>
        <v>0.0055</v>
      </c>
      <c r="F32" s="6">
        <v>182.84</v>
      </c>
      <c r="G32" s="6">
        <v>182.67</v>
      </c>
      <c r="H32" s="6">
        <v>184.36</v>
      </c>
      <c r="I32" s="9">
        <v>9.6498305E7</v>
      </c>
      <c r="J32" s="10"/>
    </row>
    <row r="33">
      <c r="A33" s="4" t="s">
        <v>10</v>
      </c>
      <c r="B33" s="5">
        <v>41688.0</v>
      </c>
      <c r="C33" s="6">
        <v>184.24</v>
      </c>
      <c r="D33" s="13">
        <f>+0.22</f>
        <v>0.22</v>
      </c>
      <c r="E33" s="14">
        <f>+0.12%</f>
        <v>0.0012</v>
      </c>
      <c r="F33" s="6">
        <v>184.18</v>
      </c>
      <c r="G33" s="6">
        <v>183.65</v>
      </c>
      <c r="H33" s="6">
        <v>184.49</v>
      </c>
      <c r="I33" s="9">
        <v>8.0460878E7</v>
      </c>
      <c r="J33" s="10"/>
    </row>
    <row r="34">
      <c r="A34" s="4" t="s">
        <v>10</v>
      </c>
      <c r="B34" s="5">
        <v>41689.0</v>
      </c>
      <c r="C34" s="6">
        <v>183.02</v>
      </c>
      <c r="D34" s="11">
        <v>-1.22</v>
      </c>
      <c r="E34" s="12">
        <v>-0.0066</v>
      </c>
      <c r="F34" s="6">
        <v>183.76</v>
      </c>
      <c r="G34" s="6">
        <v>182.87</v>
      </c>
      <c r="H34" s="6">
        <v>184.95</v>
      </c>
      <c r="I34" s="9">
        <v>1.26524261E8</v>
      </c>
      <c r="J34" s="10"/>
    </row>
    <row r="35">
      <c r="A35" s="4" t="s">
        <v>10</v>
      </c>
      <c r="B35" s="5">
        <v>41690.0</v>
      </c>
      <c r="C35" s="6">
        <v>184.1</v>
      </c>
      <c r="D35" s="13">
        <f>+1.08</f>
        <v>1.08</v>
      </c>
      <c r="E35" s="14">
        <f>+0.59%</f>
        <v>0.0059</v>
      </c>
      <c r="F35" s="6">
        <v>183.27</v>
      </c>
      <c r="G35" s="6">
        <v>182.6</v>
      </c>
      <c r="H35" s="6">
        <v>184.52</v>
      </c>
      <c r="I35" s="9">
        <v>1.04998099E8</v>
      </c>
      <c r="J35" s="10"/>
    </row>
    <row r="36">
      <c r="A36" s="4" t="s">
        <v>10</v>
      </c>
      <c r="B36" s="5">
        <v>41691.0</v>
      </c>
      <c r="C36" s="6">
        <v>183.89</v>
      </c>
      <c r="D36" s="11">
        <v>-0.21</v>
      </c>
      <c r="E36" s="12">
        <v>-0.0011</v>
      </c>
      <c r="F36" s="6">
        <v>184.45</v>
      </c>
      <c r="G36" s="6">
        <v>183.8</v>
      </c>
      <c r="H36" s="6">
        <v>184.89</v>
      </c>
      <c r="I36" s="9">
        <v>1.18116359E8</v>
      </c>
      <c r="J36" s="10"/>
    </row>
    <row r="37">
      <c r="A37" s="4" t="s">
        <v>10</v>
      </c>
      <c r="B37" s="5">
        <v>41694.0</v>
      </c>
      <c r="C37" s="6">
        <v>184.91</v>
      </c>
      <c r="D37" s="13">
        <f>+1.02</f>
        <v>1.02</v>
      </c>
      <c r="E37" s="14">
        <f>+0.55%</f>
        <v>0.0055</v>
      </c>
      <c r="F37" s="6">
        <v>184.28</v>
      </c>
      <c r="G37" s="6">
        <v>184.2</v>
      </c>
      <c r="H37" s="6">
        <v>186.15</v>
      </c>
      <c r="I37" s="9">
        <v>1.14063868E8</v>
      </c>
      <c r="J37" s="10"/>
    </row>
    <row r="38">
      <c r="A38" s="4" t="s">
        <v>10</v>
      </c>
      <c r="B38" s="5">
        <v>41695.0</v>
      </c>
      <c r="C38" s="6">
        <v>184.84</v>
      </c>
      <c r="D38" s="11">
        <v>-0.07</v>
      </c>
      <c r="E38" s="12">
        <v>-4.0E-4</v>
      </c>
      <c r="F38" s="6">
        <v>185.06</v>
      </c>
      <c r="G38" s="6">
        <v>184.23</v>
      </c>
      <c r="H38" s="6">
        <v>185.59</v>
      </c>
      <c r="I38" s="9">
        <v>1.17084901E8</v>
      </c>
      <c r="J38" s="10"/>
    </row>
    <row r="39">
      <c r="A39" s="4" t="s">
        <v>10</v>
      </c>
      <c r="B39" s="5">
        <v>41696.0</v>
      </c>
      <c r="C39" s="6">
        <v>184.85</v>
      </c>
      <c r="D39" s="13">
        <f>+0.01</f>
        <v>0.01</v>
      </c>
      <c r="E39" s="14">
        <f>+0.01%</f>
        <v>0.0001</v>
      </c>
      <c r="F39" s="6">
        <v>185.11</v>
      </c>
      <c r="G39" s="6">
        <v>184.33</v>
      </c>
      <c r="H39" s="6">
        <v>185.6</v>
      </c>
      <c r="I39" s="9">
        <v>9.8677144E7</v>
      </c>
      <c r="J39" s="10"/>
    </row>
    <row r="40">
      <c r="A40" s="4" t="s">
        <v>10</v>
      </c>
      <c r="B40" s="5">
        <v>41697.0</v>
      </c>
      <c r="C40" s="6">
        <v>185.82</v>
      </c>
      <c r="D40" s="13">
        <f>+0.97</f>
        <v>0.97</v>
      </c>
      <c r="E40" s="14">
        <f>+0.52%</f>
        <v>0.0052</v>
      </c>
      <c r="F40" s="6">
        <v>184.58</v>
      </c>
      <c r="G40" s="6">
        <v>184.37</v>
      </c>
      <c r="H40" s="6">
        <v>185.87</v>
      </c>
      <c r="I40" s="9">
        <v>9.388078E7</v>
      </c>
      <c r="J40" s="10"/>
    </row>
    <row r="41">
      <c r="A41" s="4" t="s">
        <v>10</v>
      </c>
      <c r="B41" s="5">
        <v>41698.0</v>
      </c>
      <c r="C41" s="6">
        <v>186.29</v>
      </c>
      <c r="D41" s="13">
        <f>+0.47</f>
        <v>0.47</v>
      </c>
      <c r="E41" s="14">
        <f>+0.25%</f>
        <v>0.0025</v>
      </c>
      <c r="F41" s="6">
        <v>185.79</v>
      </c>
      <c r="G41" s="6">
        <v>185.05</v>
      </c>
      <c r="H41" s="6">
        <v>187.15</v>
      </c>
      <c r="I41" s="9">
        <v>1.50842E8</v>
      </c>
      <c r="J41" s="10"/>
    </row>
    <row r="42">
      <c r="A42" s="4" t="s">
        <v>10</v>
      </c>
      <c r="B42" s="5">
        <v>41701.0</v>
      </c>
      <c r="C42" s="6">
        <v>184.98</v>
      </c>
      <c r="D42" s="11">
        <v>-1.31</v>
      </c>
      <c r="E42" s="12">
        <v>-0.007</v>
      </c>
      <c r="F42" s="6">
        <v>184.65</v>
      </c>
      <c r="G42" s="6">
        <v>183.75</v>
      </c>
      <c r="H42" s="6">
        <v>185.45</v>
      </c>
      <c r="I42" s="9">
        <v>1.67748455E8</v>
      </c>
      <c r="J42" s="10"/>
    </row>
    <row r="43">
      <c r="A43" s="4" t="s">
        <v>10</v>
      </c>
      <c r="B43" s="5">
        <v>41702.0</v>
      </c>
      <c r="C43" s="6">
        <v>187.58</v>
      </c>
      <c r="D43" s="13">
        <f>+2.6</f>
        <v>2.6</v>
      </c>
      <c r="E43" s="14">
        <f>+1.41%</f>
        <v>0.0141</v>
      </c>
      <c r="F43" s="6">
        <v>186.79</v>
      </c>
      <c r="G43" s="6">
        <v>186.75</v>
      </c>
      <c r="H43" s="6">
        <v>187.98</v>
      </c>
      <c r="I43" s="9">
        <v>1.67545852E8</v>
      </c>
      <c r="J43" s="10"/>
    </row>
    <row r="44">
      <c r="A44" s="4" t="s">
        <v>10</v>
      </c>
      <c r="B44" s="5">
        <v>41703.0</v>
      </c>
      <c r="C44" s="6">
        <v>187.75</v>
      </c>
      <c r="D44" s="13">
        <f>+0.17</f>
        <v>0.17</v>
      </c>
      <c r="E44" s="14">
        <f>+0.09%</f>
        <v>0.0009</v>
      </c>
      <c r="F44" s="6">
        <v>187.74</v>
      </c>
      <c r="G44" s="6">
        <v>187.45</v>
      </c>
      <c r="H44" s="6">
        <v>188.07</v>
      </c>
      <c r="I44" s="9">
        <v>8.8376859E7</v>
      </c>
      <c r="J44" s="10"/>
    </row>
    <row r="45">
      <c r="A45" s="4" t="s">
        <v>10</v>
      </c>
      <c r="B45" s="5">
        <v>41704.0</v>
      </c>
      <c r="C45" s="6">
        <v>188.18</v>
      </c>
      <c r="D45" s="13">
        <f>+0.43</f>
        <v>0.43</v>
      </c>
      <c r="E45" s="14">
        <f>+0.23%</f>
        <v>0.0023</v>
      </c>
      <c r="F45" s="6">
        <v>188.21</v>
      </c>
      <c r="G45" s="6">
        <v>187.78</v>
      </c>
      <c r="H45" s="6">
        <v>188.61</v>
      </c>
      <c r="I45" s="9">
        <v>8.25165E7</v>
      </c>
      <c r="J45" s="10"/>
    </row>
    <row r="46">
      <c r="A46" s="4" t="s">
        <v>10</v>
      </c>
      <c r="B46" s="5">
        <v>41705.0</v>
      </c>
      <c r="C46" s="6">
        <v>188.26</v>
      </c>
      <c r="D46" s="13">
        <f>+0.08</f>
        <v>0.08</v>
      </c>
      <c r="E46" s="14">
        <f>+0.04%</f>
        <v>0.0004</v>
      </c>
      <c r="F46" s="6">
        <v>188.96</v>
      </c>
      <c r="G46" s="6">
        <v>187.43</v>
      </c>
      <c r="H46" s="6">
        <v>188.96</v>
      </c>
      <c r="I46" s="9">
        <v>1.14513432E8</v>
      </c>
      <c r="J46" s="10"/>
    </row>
    <row r="47">
      <c r="A47" s="4" t="s">
        <v>10</v>
      </c>
      <c r="B47" s="5">
        <v>41708.0</v>
      </c>
      <c r="C47" s="6">
        <v>188.16</v>
      </c>
      <c r="D47" s="11">
        <v>-0.1</v>
      </c>
      <c r="E47" s="12">
        <v>-5.0E-4</v>
      </c>
      <c r="F47" s="6">
        <v>187.97</v>
      </c>
      <c r="G47" s="6">
        <v>187.08</v>
      </c>
      <c r="H47" s="6">
        <v>188.23</v>
      </c>
      <c r="I47" s="9">
        <v>7.4939176E7</v>
      </c>
      <c r="J47" s="10"/>
    </row>
    <row r="48">
      <c r="A48" s="4" t="s">
        <v>10</v>
      </c>
      <c r="B48" s="5">
        <v>41709.0</v>
      </c>
      <c r="C48" s="6">
        <v>187.23</v>
      </c>
      <c r="D48" s="11">
        <v>-0.93</v>
      </c>
      <c r="E48" s="12">
        <v>-0.0049</v>
      </c>
      <c r="F48" s="6">
        <v>188.44</v>
      </c>
      <c r="G48" s="6">
        <v>186.8</v>
      </c>
      <c r="H48" s="6">
        <v>188.71</v>
      </c>
      <c r="I48" s="9">
        <v>9.9009013E7</v>
      </c>
      <c r="J48" s="10"/>
    </row>
    <row r="49">
      <c r="A49" s="4" t="s">
        <v>10</v>
      </c>
      <c r="B49" s="5">
        <v>41710.0</v>
      </c>
      <c r="C49" s="6">
        <v>187.28</v>
      </c>
      <c r="D49" s="13">
        <f>+0.05</f>
        <v>0.05</v>
      </c>
      <c r="E49" s="14">
        <f>+0.03%</f>
        <v>0.0003</v>
      </c>
      <c r="F49" s="6">
        <v>186.32</v>
      </c>
      <c r="G49" s="6">
        <v>185.9</v>
      </c>
      <c r="H49" s="6">
        <v>187.35</v>
      </c>
      <c r="I49" s="9">
        <v>1.04824323E8</v>
      </c>
      <c r="J49" s="10"/>
    </row>
    <row r="50">
      <c r="A50" s="4" t="s">
        <v>10</v>
      </c>
      <c r="B50" s="5">
        <v>41711.0</v>
      </c>
      <c r="C50" s="6">
        <v>185.18</v>
      </c>
      <c r="D50" s="11">
        <v>-2.1</v>
      </c>
      <c r="E50" s="12">
        <v>-0.0112</v>
      </c>
      <c r="F50" s="6">
        <v>187.84</v>
      </c>
      <c r="G50" s="6">
        <v>184.66</v>
      </c>
      <c r="H50" s="6">
        <v>187.99</v>
      </c>
      <c r="I50" s="9">
        <v>1.55014237E8</v>
      </c>
      <c r="J50" s="10"/>
    </row>
    <row r="51">
      <c r="A51" s="4" t="s">
        <v>10</v>
      </c>
      <c r="B51" s="5">
        <v>41712.0</v>
      </c>
      <c r="C51" s="6">
        <v>184.66</v>
      </c>
      <c r="D51" s="11">
        <v>-0.52</v>
      </c>
      <c r="E51" s="12">
        <v>-0.0028</v>
      </c>
      <c r="F51" s="6">
        <v>184.85</v>
      </c>
      <c r="G51" s="6">
        <v>184.44</v>
      </c>
      <c r="H51" s="6">
        <v>185.8</v>
      </c>
      <c r="I51" s="9">
        <v>1.53919598E8</v>
      </c>
      <c r="J51" s="10"/>
    </row>
    <row r="52">
      <c r="A52" s="4" t="s">
        <v>10</v>
      </c>
      <c r="B52" s="5">
        <v>41715.0</v>
      </c>
      <c r="C52" s="6">
        <v>186.33</v>
      </c>
      <c r="D52" s="13">
        <f>+1.67</f>
        <v>1.67</v>
      </c>
      <c r="E52" s="14">
        <f>+0.9%</f>
        <v>0.009</v>
      </c>
      <c r="F52" s="6">
        <v>185.59</v>
      </c>
      <c r="G52" s="6">
        <v>185.51</v>
      </c>
      <c r="H52" s="6">
        <v>186.77</v>
      </c>
      <c r="I52" s="9">
        <v>9.8359454E7</v>
      </c>
      <c r="J52" s="10"/>
    </row>
    <row r="53">
      <c r="A53" s="4" t="s">
        <v>10</v>
      </c>
      <c r="B53" s="5">
        <v>41716.0</v>
      </c>
      <c r="C53" s="6">
        <v>187.66</v>
      </c>
      <c r="D53" s="13">
        <f>+1.33</f>
        <v>1.33</v>
      </c>
      <c r="E53" s="14">
        <f>+0.71%</f>
        <v>0.0071</v>
      </c>
      <c r="F53" s="6">
        <v>186.71</v>
      </c>
      <c r="G53" s="6">
        <v>186.51</v>
      </c>
      <c r="H53" s="6">
        <v>187.91</v>
      </c>
      <c r="I53" s="9">
        <v>1.01804519E8</v>
      </c>
      <c r="J53" s="10"/>
    </row>
    <row r="54">
      <c r="A54" s="4" t="s">
        <v>10</v>
      </c>
      <c r="B54" s="5">
        <v>41717.0</v>
      </c>
      <c r="C54" s="6">
        <v>186.66</v>
      </c>
      <c r="D54" s="11">
        <v>-1.0</v>
      </c>
      <c r="E54" s="12">
        <v>-0.0053</v>
      </c>
      <c r="F54" s="6">
        <v>187.68</v>
      </c>
      <c r="G54" s="6">
        <v>185.47</v>
      </c>
      <c r="H54" s="6">
        <v>187.94</v>
      </c>
      <c r="I54" s="9">
        <v>1.76267253E8</v>
      </c>
      <c r="J54" s="10"/>
    </row>
    <row r="55">
      <c r="A55" s="4" t="s">
        <v>10</v>
      </c>
      <c r="B55" s="5">
        <v>41718.0</v>
      </c>
      <c r="C55" s="6">
        <v>187.75</v>
      </c>
      <c r="D55" s="13">
        <f>+1.09</f>
        <v>1.09</v>
      </c>
      <c r="E55" s="14">
        <f>+0.58%</f>
        <v>0.0058</v>
      </c>
      <c r="F55" s="6">
        <v>186.25</v>
      </c>
      <c r="G55" s="6">
        <v>185.92</v>
      </c>
      <c r="H55" s="6">
        <v>187.89</v>
      </c>
      <c r="I55" s="9">
        <v>1.17240972E8</v>
      </c>
      <c r="J55" s="10"/>
    </row>
    <row r="56">
      <c r="A56" s="4" t="s">
        <v>10</v>
      </c>
      <c r="B56" s="5">
        <v>41719.0</v>
      </c>
      <c r="C56" s="6">
        <v>186.2</v>
      </c>
      <c r="D56" s="11">
        <v>-1.55</v>
      </c>
      <c r="E56" s="12">
        <v>-0.0082</v>
      </c>
      <c r="F56" s="6">
        <v>187.71</v>
      </c>
      <c r="G56" s="6">
        <v>186.03</v>
      </c>
      <c r="H56" s="6">
        <v>189.02</v>
      </c>
      <c r="I56" s="9">
        <v>1.63127905E8</v>
      </c>
      <c r="J56" s="10"/>
    </row>
    <row r="57">
      <c r="A57" s="4" t="s">
        <v>10</v>
      </c>
      <c r="B57" s="5">
        <v>41722.0</v>
      </c>
      <c r="C57" s="6">
        <v>185.43</v>
      </c>
      <c r="D57" s="11">
        <v>-0.77</v>
      </c>
      <c r="E57" s="12">
        <v>-0.0041</v>
      </c>
      <c r="F57" s="6">
        <v>186.84</v>
      </c>
      <c r="G57" s="6">
        <v>184.62</v>
      </c>
      <c r="H57" s="6">
        <v>187.07</v>
      </c>
      <c r="I57" s="9">
        <v>1.21411145E8</v>
      </c>
      <c r="J57" s="10"/>
    </row>
    <row r="58">
      <c r="A58" s="4" t="s">
        <v>10</v>
      </c>
      <c r="B58" s="5">
        <v>41723.0</v>
      </c>
      <c r="C58" s="6">
        <v>186.31</v>
      </c>
      <c r="D58" s="13">
        <f>+0.88</f>
        <v>0.88</v>
      </c>
      <c r="E58" s="14">
        <f>+0.47%</f>
        <v>0.0047</v>
      </c>
      <c r="F58" s="6">
        <v>186.37</v>
      </c>
      <c r="G58" s="6">
        <v>185.27</v>
      </c>
      <c r="H58" s="6">
        <v>186.94</v>
      </c>
      <c r="I58" s="9">
        <v>1.03851737E8</v>
      </c>
      <c r="J58" s="10"/>
    </row>
    <row r="59">
      <c r="A59" s="4" t="s">
        <v>10</v>
      </c>
      <c r="B59" s="5">
        <v>41724.0</v>
      </c>
      <c r="C59" s="6">
        <v>184.97</v>
      </c>
      <c r="D59" s="11">
        <v>-1.34</v>
      </c>
      <c r="E59" s="12">
        <v>-0.0072</v>
      </c>
      <c r="F59" s="6">
        <v>187.04</v>
      </c>
      <c r="G59" s="6">
        <v>184.92</v>
      </c>
      <c r="H59" s="6">
        <v>187.34</v>
      </c>
      <c r="I59" s="9">
        <v>1.19842897E8</v>
      </c>
      <c r="J59" s="10"/>
    </row>
    <row r="60">
      <c r="A60" s="4" t="s">
        <v>10</v>
      </c>
      <c r="B60" s="5">
        <v>41725.0</v>
      </c>
      <c r="C60" s="6">
        <v>184.58</v>
      </c>
      <c r="D60" s="11">
        <v>-0.39</v>
      </c>
      <c r="E60" s="12">
        <v>-0.0021</v>
      </c>
      <c r="F60" s="6">
        <v>184.75</v>
      </c>
      <c r="G60" s="6">
        <v>183.9</v>
      </c>
      <c r="H60" s="6">
        <v>185.34</v>
      </c>
      <c r="I60" s="9">
        <v>1.42382757E8</v>
      </c>
      <c r="J60" s="10"/>
    </row>
    <row r="61">
      <c r="A61" s="4" t="s">
        <v>10</v>
      </c>
      <c r="B61" s="5">
        <v>41726.0</v>
      </c>
      <c r="C61" s="6">
        <v>185.49</v>
      </c>
      <c r="D61" s="13">
        <f>+0.91</f>
        <v>0.91</v>
      </c>
      <c r="E61" s="14">
        <f>+0.49%</f>
        <v>0.0049</v>
      </c>
      <c r="F61" s="6">
        <v>185.11</v>
      </c>
      <c r="G61" s="6">
        <v>185.0</v>
      </c>
      <c r="H61" s="6">
        <v>186.42</v>
      </c>
      <c r="I61" s="9">
        <v>1.01641547E8</v>
      </c>
      <c r="J61" s="10"/>
    </row>
    <row r="62">
      <c r="A62" s="4" t="s">
        <v>10</v>
      </c>
      <c r="B62" s="5">
        <v>41729.0</v>
      </c>
      <c r="C62" s="6">
        <v>187.01</v>
      </c>
      <c r="D62" s="13">
        <f>+1.52</f>
        <v>1.52</v>
      </c>
      <c r="E62" s="14">
        <f>+0.82%</f>
        <v>0.0082</v>
      </c>
      <c r="F62" s="6">
        <v>186.67</v>
      </c>
      <c r="G62" s="6">
        <v>185.52</v>
      </c>
      <c r="H62" s="6">
        <v>187.3</v>
      </c>
      <c r="I62" s="9">
        <v>9.9744911E7</v>
      </c>
      <c r="J62" s="10"/>
    </row>
    <row r="63">
      <c r="A63" s="4" t="s">
        <v>10</v>
      </c>
      <c r="B63" s="5">
        <v>41730.0</v>
      </c>
      <c r="C63" s="6">
        <v>188.25</v>
      </c>
      <c r="D63" s="13">
        <f>+1.24</f>
        <v>1.24</v>
      </c>
      <c r="E63" s="14">
        <f>+0.66%</f>
        <v>0.0066</v>
      </c>
      <c r="F63" s="6">
        <v>187.62</v>
      </c>
      <c r="G63" s="6">
        <v>187.0</v>
      </c>
      <c r="H63" s="6">
        <v>188.36</v>
      </c>
      <c r="I63" s="9">
        <v>8.9193125E7</v>
      </c>
      <c r="J63" s="10"/>
    </row>
    <row r="64">
      <c r="A64" s="4" t="s">
        <v>10</v>
      </c>
      <c r="B64" s="5">
        <v>41731.0</v>
      </c>
      <c r="C64" s="6">
        <v>188.88</v>
      </c>
      <c r="D64" s="13">
        <f>+0.63</f>
        <v>0.63</v>
      </c>
      <c r="E64" s="14">
        <f>+0.33%</f>
        <v>0.0033</v>
      </c>
      <c r="F64" s="6">
        <v>188.49</v>
      </c>
      <c r="G64" s="6">
        <v>188.14</v>
      </c>
      <c r="H64" s="6">
        <v>189.13</v>
      </c>
      <c r="I64" s="9">
        <v>7.8773818E7</v>
      </c>
      <c r="J64" s="10"/>
    </row>
    <row r="65">
      <c r="A65" s="4" t="s">
        <v>10</v>
      </c>
      <c r="B65" s="5">
        <v>41732.0</v>
      </c>
      <c r="C65" s="6">
        <v>188.63</v>
      </c>
      <c r="D65" s="11">
        <v>-0.25</v>
      </c>
      <c r="E65" s="12">
        <v>-0.0013</v>
      </c>
      <c r="F65" s="6">
        <v>189.17</v>
      </c>
      <c r="G65" s="6">
        <v>188.05</v>
      </c>
      <c r="H65" s="6">
        <v>189.22</v>
      </c>
      <c r="I65" s="9">
        <v>7.743532E7</v>
      </c>
      <c r="J65" s="10"/>
    </row>
    <row r="66">
      <c r="A66" s="4" t="s">
        <v>10</v>
      </c>
      <c r="B66" s="5">
        <v>41733.0</v>
      </c>
      <c r="C66" s="6">
        <v>186.4</v>
      </c>
      <c r="D66" s="11">
        <v>-2.23</v>
      </c>
      <c r="E66" s="12">
        <v>-0.0118</v>
      </c>
      <c r="F66" s="6">
        <v>189.66</v>
      </c>
      <c r="G66" s="6">
        <v>186.1</v>
      </c>
      <c r="H66" s="6">
        <v>189.7</v>
      </c>
      <c r="I66" s="9">
        <v>1.69380705E8</v>
      </c>
      <c r="J66" s="10"/>
    </row>
    <row r="67">
      <c r="A67" s="4" t="s">
        <v>10</v>
      </c>
      <c r="B67" s="5">
        <v>41736.0</v>
      </c>
      <c r="C67" s="6">
        <v>184.34</v>
      </c>
      <c r="D67" s="11">
        <v>-2.06</v>
      </c>
      <c r="E67" s="12">
        <v>-0.0111</v>
      </c>
      <c r="F67" s="6">
        <v>185.95</v>
      </c>
      <c r="G67" s="6">
        <v>183.96</v>
      </c>
      <c r="H67" s="6">
        <v>186.26</v>
      </c>
      <c r="I67" s="9">
        <v>1.40802699E8</v>
      </c>
      <c r="J67" s="10"/>
    </row>
    <row r="68">
      <c r="A68" s="4" t="s">
        <v>10</v>
      </c>
      <c r="B68" s="5">
        <v>41737.0</v>
      </c>
      <c r="C68" s="6">
        <v>185.1</v>
      </c>
      <c r="D68" s="13">
        <f>+0.76</f>
        <v>0.76</v>
      </c>
      <c r="E68" s="14">
        <f>+0.41%</f>
        <v>0.0041</v>
      </c>
      <c r="F68" s="6">
        <v>184.26</v>
      </c>
      <c r="G68" s="6">
        <v>183.59</v>
      </c>
      <c r="H68" s="6">
        <v>185.4</v>
      </c>
      <c r="I68" s="9">
        <v>1.12659755E8</v>
      </c>
      <c r="J68" s="10"/>
    </row>
    <row r="69">
      <c r="A69" s="4" t="s">
        <v>10</v>
      </c>
      <c r="B69" s="5">
        <v>41738.0</v>
      </c>
      <c r="C69" s="6">
        <v>187.09</v>
      </c>
      <c r="D69" s="13">
        <f>+1.99</f>
        <v>1.99</v>
      </c>
      <c r="E69" s="14">
        <f>+1.08%</f>
        <v>0.0108</v>
      </c>
      <c r="F69" s="6">
        <v>185.6</v>
      </c>
      <c r="G69" s="6">
        <v>185.06</v>
      </c>
      <c r="H69" s="6">
        <v>187.15</v>
      </c>
      <c r="I69" s="9">
        <v>1.00253612E8</v>
      </c>
      <c r="J69" s="10"/>
    </row>
    <row r="70">
      <c r="A70" s="4" t="s">
        <v>10</v>
      </c>
      <c r="B70" s="5">
        <v>41739.0</v>
      </c>
      <c r="C70" s="6">
        <v>183.16</v>
      </c>
      <c r="D70" s="11">
        <v>-3.94</v>
      </c>
      <c r="E70" s="12">
        <v>-0.021</v>
      </c>
      <c r="F70" s="6">
        <v>187.08</v>
      </c>
      <c r="G70" s="6">
        <v>182.93</v>
      </c>
      <c r="H70" s="6">
        <v>187.17</v>
      </c>
      <c r="I70" s="9">
        <v>1.72959331E8</v>
      </c>
      <c r="J70" s="10"/>
    </row>
    <row r="71">
      <c r="A71" s="4" t="s">
        <v>10</v>
      </c>
      <c r="B71" s="5">
        <v>41740.0</v>
      </c>
      <c r="C71" s="6">
        <v>181.51</v>
      </c>
      <c r="D71" s="11">
        <v>-1.65</v>
      </c>
      <c r="E71" s="12">
        <v>-0.009</v>
      </c>
      <c r="F71" s="6">
        <v>182.14</v>
      </c>
      <c r="G71" s="6">
        <v>181.31</v>
      </c>
      <c r="H71" s="6">
        <v>183.42</v>
      </c>
      <c r="I71" s="9">
        <v>1.67250792E8</v>
      </c>
      <c r="J71" s="10"/>
    </row>
    <row r="72">
      <c r="A72" s="4" t="s">
        <v>10</v>
      </c>
      <c r="B72" s="5">
        <v>41743.0</v>
      </c>
      <c r="C72" s="6">
        <v>182.94</v>
      </c>
      <c r="D72" s="13">
        <f>+1.43</f>
        <v>1.43</v>
      </c>
      <c r="E72" s="14">
        <f>+0.79%</f>
        <v>0.0079</v>
      </c>
      <c r="F72" s="6">
        <v>182.93</v>
      </c>
      <c r="G72" s="6">
        <v>181.44</v>
      </c>
      <c r="H72" s="6">
        <v>183.37</v>
      </c>
      <c r="I72" s="9">
        <v>1.32381601E8</v>
      </c>
      <c r="J72" s="10"/>
    </row>
    <row r="73">
      <c r="A73" s="4" t="s">
        <v>10</v>
      </c>
      <c r="B73" s="5">
        <v>41744.0</v>
      </c>
      <c r="C73" s="6">
        <v>184.2</v>
      </c>
      <c r="D73" s="13">
        <f>+1.26</f>
        <v>1.26</v>
      </c>
      <c r="E73" s="14">
        <f>+0.69%</f>
        <v>0.0069</v>
      </c>
      <c r="F73" s="6">
        <v>183.32</v>
      </c>
      <c r="G73" s="6">
        <v>181.51</v>
      </c>
      <c r="H73" s="6">
        <v>184.33</v>
      </c>
      <c r="I73" s="9">
        <v>1.57092533E8</v>
      </c>
      <c r="J73" s="10"/>
    </row>
    <row r="74">
      <c r="A74" s="4" t="s">
        <v>10</v>
      </c>
      <c r="B74" s="5">
        <v>41745.0</v>
      </c>
      <c r="C74" s="6">
        <v>186.13</v>
      </c>
      <c r="D74" s="13">
        <f>+1.93</f>
        <v>1.93</v>
      </c>
      <c r="E74" s="14">
        <f>+1.05%</f>
        <v>0.0105</v>
      </c>
      <c r="F74" s="6">
        <v>185.47</v>
      </c>
      <c r="G74" s="6">
        <v>184.65</v>
      </c>
      <c r="H74" s="6">
        <v>186.14</v>
      </c>
      <c r="I74" s="9">
        <v>1.05196633E8</v>
      </c>
      <c r="J74" s="10"/>
    </row>
    <row r="75">
      <c r="A75" s="4" t="s">
        <v>10</v>
      </c>
      <c r="B75" s="5">
        <v>41746.0</v>
      </c>
      <c r="C75" s="6">
        <v>186.39</v>
      </c>
      <c r="D75" s="13">
        <f>+0.26</f>
        <v>0.26</v>
      </c>
      <c r="E75" s="14">
        <f>+0.14%</f>
        <v>0.0014</v>
      </c>
      <c r="F75" s="6">
        <v>185.88</v>
      </c>
      <c r="G75" s="6">
        <v>185.56</v>
      </c>
      <c r="H75" s="6">
        <v>186.91</v>
      </c>
      <c r="I75" s="9">
        <v>1.05254649E8</v>
      </c>
      <c r="J75" s="10"/>
    </row>
    <row r="76">
      <c r="A76" s="4" t="s">
        <v>10</v>
      </c>
      <c r="B76" s="5">
        <v>41750.0</v>
      </c>
      <c r="C76" s="6">
        <v>187.04</v>
      </c>
      <c r="D76" s="13">
        <f>+0.65</f>
        <v>0.65</v>
      </c>
      <c r="E76" s="14">
        <f>+0.35%</f>
        <v>0.0035</v>
      </c>
      <c r="F76" s="6">
        <v>186.44</v>
      </c>
      <c r="G76" s="6">
        <v>186.21</v>
      </c>
      <c r="H76" s="6">
        <v>187.1</v>
      </c>
      <c r="I76" s="9">
        <v>6.8329343E7</v>
      </c>
      <c r="J76" s="10"/>
    </row>
    <row r="77">
      <c r="A77" s="4" t="s">
        <v>10</v>
      </c>
      <c r="B77" s="5">
        <v>41751.0</v>
      </c>
      <c r="C77" s="6">
        <v>187.89</v>
      </c>
      <c r="D77" s="13">
        <f>+0.85</f>
        <v>0.85</v>
      </c>
      <c r="E77" s="14">
        <f>+0.45%</f>
        <v>0.0045</v>
      </c>
      <c r="F77" s="6">
        <v>187.23</v>
      </c>
      <c r="G77" s="6">
        <v>187.13</v>
      </c>
      <c r="H77" s="6">
        <v>188.4</v>
      </c>
      <c r="I77" s="9">
        <v>8.5790307E7</v>
      </c>
      <c r="J77" s="10"/>
    </row>
    <row r="78">
      <c r="A78" s="4" t="s">
        <v>10</v>
      </c>
      <c r="B78" s="5">
        <v>41752.0</v>
      </c>
      <c r="C78" s="6">
        <v>187.45</v>
      </c>
      <c r="D78" s="11">
        <v>-0.44</v>
      </c>
      <c r="E78" s="12">
        <v>-0.0023</v>
      </c>
      <c r="F78" s="6">
        <v>187.82</v>
      </c>
      <c r="G78" s="6">
        <v>187.3</v>
      </c>
      <c r="H78" s="6">
        <v>187.92</v>
      </c>
      <c r="I78" s="9">
        <v>7.3869384E7</v>
      </c>
      <c r="J78" s="10"/>
    </row>
    <row r="79">
      <c r="A79" s="4" t="s">
        <v>10</v>
      </c>
      <c r="B79" s="5">
        <v>41753.0</v>
      </c>
      <c r="C79" s="6">
        <v>187.83</v>
      </c>
      <c r="D79" s="13">
        <f>+0.38</f>
        <v>0.38</v>
      </c>
      <c r="E79" s="14">
        <f>+0.2%</f>
        <v>0.002</v>
      </c>
      <c r="F79" s="6">
        <v>188.37</v>
      </c>
      <c r="G79" s="6">
        <v>186.93</v>
      </c>
      <c r="H79" s="6">
        <v>188.39</v>
      </c>
      <c r="I79" s="9">
        <v>8.8169916E7</v>
      </c>
      <c r="J79" s="10"/>
    </row>
    <row r="80">
      <c r="A80" s="4" t="s">
        <v>10</v>
      </c>
      <c r="B80" s="5">
        <v>41754.0</v>
      </c>
      <c r="C80" s="6">
        <v>186.29</v>
      </c>
      <c r="D80" s="11">
        <v>-1.54</v>
      </c>
      <c r="E80" s="12">
        <v>-0.0082</v>
      </c>
      <c r="F80" s="6">
        <v>187.22</v>
      </c>
      <c r="G80" s="6">
        <v>185.87</v>
      </c>
      <c r="H80" s="6">
        <v>187.33</v>
      </c>
      <c r="I80" s="9">
        <v>1.00380205E8</v>
      </c>
      <c r="J80" s="10"/>
    </row>
    <row r="81">
      <c r="A81" s="4" t="s">
        <v>10</v>
      </c>
      <c r="B81" s="5">
        <v>41757.0</v>
      </c>
      <c r="C81" s="6">
        <v>186.88</v>
      </c>
      <c r="D81" s="13">
        <f>+0.59</f>
        <v>0.59</v>
      </c>
      <c r="E81" s="14">
        <f>+0.31%</f>
        <v>0.0031</v>
      </c>
      <c r="F81" s="6">
        <v>187.05</v>
      </c>
      <c r="G81" s="6">
        <v>184.96</v>
      </c>
      <c r="H81" s="6">
        <v>187.69</v>
      </c>
      <c r="I81" s="9">
        <v>1.35121094E8</v>
      </c>
      <c r="J81" s="10"/>
    </row>
    <row r="82">
      <c r="A82" s="4" t="s">
        <v>10</v>
      </c>
      <c r="B82" s="5">
        <v>41758.0</v>
      </c>
      <c r="C82" s="6">
        <v>187.75</v>
      </c>
      <c r="D82" s="13">
        <f>+0.88</f>
        <v>0.88</v>
      </c>
      <c r="E82" s="14">
        <f>+0.47%</f>
        <v>0.0047</v>
      </c>
      <c r="F82" s="6">
        <v>187.48</v>
      </c>
      <c r="G82" s="6">
        <v>187.08</v>
      </c>
      <c r="H82" s="6">
        <v>188.04</v>
      </c>
      <c r="I82" s="9">
        <v>8.4097551E7</v>
      </c>
      <c r="J82" s="10"/>
    </row>
    <row r="83">
      <c r="A83" s="4" t="s">
        <v>10</v>
      </c>
      <c r="B83" s="5">
        <v>41759.0</v>
      </c>
      <c r="C83" s="6">
        <v>188.31</v>
      </c>
      <c r="D83" s="13">
        <f>+0.56</f>
        <v>0.56</v>
      </c>
      <c r="E83" s="14">
        <f>+0.3%</f>
        <v>0.003</v>
      </c>
      <c r="F83" s="6">
        <v>187.44</v>
      </c>
      <c r="G83" s="6">
        <v>187.18</v>
      </c>
      <c r="H83" s="6">
        <v>188.5</v>
      </c>
      <c r="I83" s="9">
        <v>1.01507717E8</v>
      </c>
      <c r="J83" s="10"/>
    </row>
    <row r="84">
      <c r="A84" s="4" t="s">
        <v>10</v>
      </c>
      <c r="B84" s="5">
        <v>41760.0</v>
      </c>
      <c r="C84" s="6">
        <v>188.33</v>
      </c>
      <c r="D84" s="13">
        <f>+0.01</f>
        <v>0.01</v>
      </c>
      <c r="E84" s="14">
        <f>+0.01%</f>
        <v>0.0001</v>
      </c>
      <c r="F84" s="6">
        <v>188.22</v>
      </c>
      <c r="G84" s="6">
        <v>187.73</v>
      </c>
      <c r="H84" s="6">
        <v>188.84</v>
      </c>
      <c r="I84" s="9">
        <v>9.3019095E7</v>
      </c>
      <c r="J84" s="10"/>
    </row>
    <row r="85">
      <c r="A85" s="4" t="s">
        <v>10</v>
      </c>
      <c r="B85" s="5">
        <v>41761.0</v>
      </c>
      <c r="C85" s="6">
        <v>188.06</v>
      </c>
      <c r="D85" s="11">
        <v>-0.26</v>
      </c>
      <c r="E85" s="12">
        <v>-0.0014</v>
      </c>
      <c r="F85" s="6">
        <v>188.31</v>
      </c>
      <c r="G85" s="6">
        <v>187.78</v>
      </c>
      <c r="H85" s="6">
        <v>189.14</v>
      </c>
      <c r="I85" s="9">
        <v>9.8121662E7</v>
      </c>
      <c r="J85" s="10"/>
    </row>
    <row r="86">
      <c r="A86" s="4" t="s">
        <v>10</v>
      </c>
      <c r="B86" s="5">
        <v>41764.0</v>
      </c>
      <c r="C86" s="6">
        <v>188.42</v>
      </c>
      <c r="D86" s="13">
        <f>+0.36</f>
        <v>0.36</v>
      </c>
      <c r="E86" s="14">
        <f>+0.19%</f>
        <v>0.0019</v>
      </c>
      <c r="F86" s="6">
        <v>187.14</v>
      </c>
      <c r="G86" s="6">
        <v>186.62</v>
      </c>
      <c r="H86" s="6">
        <v>188.55</v>
      </c>
      <c r="I86" s="9">
        <v>7.5882739E7</v>
      </c>
      <c r="J86" s="10"/>
    </row>
    <row r="87">
      <c r="A87" s="4" t="s">
        <v>10</v>
      </c>
      <c r="B87" s="5">
        <v>41765.0</v>
      </c>
      <c r="C87" s="6">
        <v>186.78</v>
      </c>
      <c r="D87" s="11">
        <v>-1.64</v>
      </c>
      <c r="E87" s="12">
        <v>-0.0087</v>
      </c>
      <c r="F87" s="6">
        <v>188.0</v>
      </c>
      <c r="G87" s="6">
        <v>186.74</v>
      </c>
      <c r="H87" s="6">
        <v>188.13</v>
      </c>
      <c r="I87" s="9">
        <v>8.5454226E7</v>
      </c>
      <c r="J87" s="10"/>
    </row>
    <row r="88">
      <c r="A88" s="4" t="s">
        <v>10</v>
      </c>
      <c r="B88" s="5">
        <v>41766.0</v>
      </c>
      <c r="C88" s="6">
        <v>187.88</v>
      </c>
      <c r="D88" s="13">
        <f>+1.1</f>
        <v>1.1</v>
      </c>
      <c r="E88" s="14">
        <f>+0.59%</f>
        <v>0.0059</v>
      </c>
      <c r="F88" s="6">
        <v>187.41</v>
      </c>
      <c r="G88" s="6">
        <v>186.01</v>
      </c>
      <c r="H88" s="6">
        <v>187.97</v>
      </c>
      <c r="I88" s="9">
        <v>1.0650048E8</v>
      </c>
      <c r="J88" s="10"/>
    </row>
    <row r="89">
      <c r="A89" s="4" t="s">
        <v>10</v>
      </c>
      <c r="B89" s="5">
        <v>41767.0</v>
      </c>
      <c r="C89" s="6">
        <v>187.68</v>
      </c>
      <c r="D89" s="11">
        <v>-0.2</v>
      </c>
      <c r="E89" s="12">
        <v>-0.0011</v>
      </c>
      <c r="F89" s="6">
        <v>187.71</v>
      </c>
      <c r="G89" s="6">
        <v>187.08</v>
      </c>
      <c r="H89" s="6">
        <v>189.05</v>
      </c>
      <c r="I89" s="9">
        <v>9.3617513E7</v>
      </c>
      <c r="J89" s="10"/>
    </row>
    <row r="90">
      <c r="A90" s="4" t="s">
        <v>10</v>
      </c>
      <c r="B90" s="5">
        <v>41768.0</v>
      </c>
      <c r="C90" s="6">
        <v>187.96</v>
      </c>
      <c r="D90" s="13">
        <f>+0.28</f>
        <v>0.28</v>
      </c>
      <c r="E90" s="14">
        <f>+0.15%</f>
        <v>0.0015</v>
      </c>
      <c r="F90" s="6">
        <v>187.71</v>
      </c>
      <c r="G90" s="6">
        <v>186.83</v>
      </c>
      <c r="H90" s="6">
        <v>188.04</v>
      </c>
      <c r="I90" s="9">
        <v>8.3678568E7</v>
      </c>
      <c r="J90" s="10"/>
    </row>
    <row r="91">
      <c r="A91" s="4" t="s">
        <v>10</v>
      </c>
      <c r="B91" s="5">
        <v>41771.0</v>
      </c>
      <c r="C91" s="6">
        <v>189.79</v>
      </c>
      <c r="D91" s="13">
        <f>+1.82</f>
        <v>1.82</v>
      </c>
      <c r="E91" s="14">
        <f>+0.97%</f>
        <v>0.0097</v>
      </c>
      <c r="F91" s="6">
        <v>188.8</v>
      </c>
      <c r="G91" s="6">
        <v>188.0</v>
      </c>
      <c r="H91" s="6">
        <v>189.88</v>
      </c>
      <c r="I91" s="9">
        <v>8.6940045E7</v>
      </c>
      <c r="J91" s="10"/>
    </row>
    <row r="92">
      <c r="A92" s="4" t="s">
        <v>10</v>
      </c>
      <c r="B92" s="5">
        <v>41772.0</v>
      </c>
      <c r="C92" s="6">
        <v>189.96</v>
      </c>
      <c r="D92" s="13">
        <f>+0.18</f>
        <v>0.18</v>
      </c>
      <c r="E92" s="14">
        <f>+0.09%</f>
        <v>0.0009</v>
      </c>
      <c r="F92" s="6">
        <v>190.04</v>
      </c>
      <c r="G92" s="6">
        <v>189.77</v>
      </c>
      <c r="H92" s="6">
        <v>190.42</v>
      </c>
      <c r="I92" s="9">
        <v>6.6453965E7</v>
      </c>
      <c r="J92" s="10"/>
    </row>
    <row r="93">
      <c r="A93" s="4" t="s">
        <v>10</v>
      </c>
      <c r="B93" s="5">
        <v>41773.0</v>
      </c>
      <c r="C93" s="6">
        <v>189.06</v>
      </c>
      <c r="D93" s="11">
        <v>-0.9</v>
      </c>
      <c r="E93" s="12">
        <v>-0.0047</v>
      </c>
      <c r="F93" s="6">
        <v>189.79</v>
      </c>
      <c r="G93" s="6">
        <v>188.79</v>
      </c>
      <c r="H93" s="6">
        <v>189.88</v>
      </c>
      <c r="I93" s="9">
        <v>7.2366848E7</v>
      </c>
      <c r="J93" s="10"/>
    </row>
    <row r="94">
      <c r="A94" s="4" t="s">
        <v>10</v>
      </c>
      <c r="B94" s="5">
        <v>41774.0</v>
      </c>
      <c r="C94" s="6">
        <v>187.4</v>
      </c>
      <c r="D94" s="11">
        <v>-1.66</v>
      </c>
      <c r="E94" s="12">
        <v>-0.0088</v>
      </c>
      <c r="F94" s="6">
        <v>188.68</v>
      </c>
      <c r="G94" s="6">
        <v>186.48</v>
      </c>
      <c r="H94" s="6">
        <v>188.72</v>
      </c>
      <c r="I94" s="9">
        <v>1.54956399E8</v>
      </c>
      <c r="J94" s="10"/>
    </row>
    <row r="95">
      <c r="A95" s="4" t="s">
        <v>10</v>
      </c>
      <c r="B95" s="5">
        <v>41775.0</v>
      </c>
      <c r="C95" s="6">
        <v>188.05</v>
      </c>
      <c r="D95" s="13">
        <f>+0.65</f>
        <v>0.65</v>
      </c>
      <c r="E95" s="14">
        <f>+0.35%</f>
        <v>0.0035</v>
      </c>
      <c r="F95" s="6">
        <v>187.51</v>
      </c>
      <c r="G95" s="6">
        <v>186.72</v>
      </c>
      <c r="H95" s="6">
        <v>188.13</v>
      </c>
      <c r="I95" s="9">
        <v>9.7457678E7</v>
      </c>
      <c r="J95" s="10"/>
    </row>
    <row r="96">
      <c r="A96" s="4" t="s">
        <v>10</v>
      </c>
      <c r="B96" s="5">
        <v>41778.0</v>
      </c>
      <c r="C96" s="6">
        <v>188.74</v>
      </c>
      <c r="D96" s="13">
        <f>+0.69</f>
        <v>0.69</v>
      </c>
      <c r="E96" s="14">
        <f>+0.37%</f>
        <v>0.0037</v>
      </c>
      <c r="F96" s="6">
        <v>187.69</v>
      </c>
      <c r="G96" s="6">
        <v>187.52</v>
      </c>
      <c r="H96" s="6">
        <v>188.89</v>
      </c>
      <c r="I96" s="9">
        <v>6.3839398E7</v>
      </c>
      <c r="J96" s="10"/>
    </row>
    <row r="97">
      <c r="A97" s="4" t="s">
        <v>10</v>
      </c>
      <c r="B97" s="5">
        <v>41779.0</v>
      </c>
      <c r="C97" s="6">
        <v>187.55</v>
      </c>
      <c r="D97" s="11">
        <v>-1.19</v>
      </c>
      <c r="E97" s="12">
        <v>-0.0063</v>
      </c>
      <c r="F97" s="6">
        <v>188.65</v>
      </c>
      <c r="G97" s="6">
        <v>187.07</v>
      </c>
      <c r="H97" s="6">
        <v>188.67</v>
      </c>
      <c r="I97" s="9">
        <v>1.11644478E8</v>
      </c>
      <c r="J97" s="10"/>
    </row>
    <row r="98">
      <c r="A98" s="4" t="s">
        <v>10</v>
      </c>
      <c r="B98" s="5">
        <v>41780.0</v>
      </c>
      <c r="C98" s="6">
        <v>189.13</v>
      </c>
      <c r="D98" s="13">
        <f>+1.58</f>
        <v>1.58</v>
      </c>
      <c r="E98" s="14">
        <f>+0.84%</f>
        <v>0.0084</v>
      </c>
      <c r="F98" s="6">
        <v>188.09</v>
      </c>
      <c r="G98" s="6">
        <v>188.06</v>
      </c>
      <c r="H98" s="6">
        <v>189.22</v>
      </c>
      <c r="I98" s="9">
        <v>8.9093285E7</v>
      </c>
      <c r="J98" s="10"/>
    </row>
    <row r="99">
      <c r="A99" s="4" t="s">
        <v>10</v>
      </c>
      <c r="B99" s="5">
        <v>41781.0</v>
      </c>
      <c r="C99" s="6">
        <v>189.59</v>
      </c>
      <c r="D99" s="13">
        <f>+0.46</f>
        <v>0.46</v>
      </c>
      <c r="E99" s="14">
        <f>+0.24%</f>
        <v>0.0024</v>
      </c>
      <c r="F99" s="6">
        <v>189.18</v>
      </c>
      <c r="G99" s="6">
        <v>188.86</v>
      </c>
      <c r="H99" s="6">
        <v>189.98</v>
      </c>
      <c r="I99" s="9">
        <v>6.1549345E7</v>
      </c>
      <c r="J99" s="10"/>
    </row>
    <row r="100">
      <c r="A100" s="4" t="s">
        <v>10</v>
      </c>
      <c r="B100" s="5">
        <v>41782.0</v>
      </c>
      <c r="C100" s="6">
        <v>190.35</v>
      </c>
      <c r="D100" s="13">
        <f>+0.76</f>
        <v>0.76</v>
      </c>
      <c r="E100" s="14">
        <f>+0.4%</f>
        <v>0.004</v>
      </c>
      <c r="F100" s="6">
        <v>189.76</v>
      </c>
      <c r="G100" s="6">
        <v>189.59</v>
      </c>
      <c r="H100" s="6">
        <v>190.48</v>
      </c>
      <c r="I100" s="9">
        <v>6.0156088E7</v>
      </c>
      <c r="J100" s="10"/>
    </row>
    <row r="101">
      <c r="A101" s="4" t="s">
        <v>10</v>
      </c>
      <c r="B101" s="5">
        <v>41786.0</v>
      </c>
      <c r="C101" s="6">
        <v>191.52</v>
      </c>
      <c r="D101" s="13">
        <f>+1.17</f>
        <v>1.17</v>
      </c>
      <c r="E101" s="14">
        <f>+0.61%</f>
        <v>0.0061</v>
      </c>
      <c r="F101" s="6">
        <v>191.06</v>
      </c>
      <c r="G101" s="6">
        <v>190.95</v>
      </c>
      <c r="H101" s="6">
        <v>191.58</v>
      </c>
      <c r="I101" s="9">
        <v>7.2010355E7</v>
      </c>
      <c r="J101" s="10"/>
    </row>
    <row r="102">
      <c r="A102" s="4" t="s">
        <v>10</v>
      </c>
      <c r="B102" s="5">
        <v>41787.0</v>
      </c>
      <c r="C102" s="6">
        <v>191.38</v>
      </c>
      <c r="D102" s="11">
        <v>-0.14</v>
      </c>
      <c r="E102" s="12">
        <v>-7.0E-4</v>
      </c>
      <c r="F102" s="6">
        <v>191.52</v>
      </c>
      <c r="G102" s="6">
        <v>191.06</v>
      </c>
      <c r="H102" s="6">
        <v>191.82</v>
      </c>
      <c r="I102" s="9">
        <v>6.6722865E7</v>
      </c>
      <c r="J102" s="10"/>
    </row>
    <row r="103">
      <c r="A103" s="4" t="s">
        <v>10</v>
      </c>
      <c r="B103" s="5">
        <v>41788.0</v>
      </c>
      <c r="C103" s="6">
        <v>192.37</v>
      </c>
      <c r="D103" s="13">
        <f>+0.99</f>
        <v>0.99</v>
      </c>
      <c r="E103" s="14">
        <f>+0.52%</f>
        <v>0.0052</v>
      </c>
      <c r="F103" s="6">
        <v>191.82</v>
      </c>
      <c r="G103" s="6">
        <v>191.33</v>
      </c>
      <c r="H103" s="6">
        <v>192.4</v>
      </c>
      <c r="I103" s="9">
        <v>6.4376573E7</v>
      </c>
      <c r="J103" s="10"/>
    </row>
    <row r="104">
      <c r="A104" s="4" t="s">
        <v>10</v>
      </c>
      <c r="B104" s="5">
        <v>41789.0</v>
      </c>
      <c r="C104" s="6">
        <v>192.68</v>
      </c>
      <c r="D104" s="13">
        <f>+0.31</f>
        <v>0.31</v>
      </c>
      <c r="E104" s="14">
        <f>+0.16%</f>
        <v>0.0016</v>
      </c>
      <c r="F104" s="6">
        <v>192.19</v>
      </c>
      <c r="G104" s="6">
        <v>192.03</v>
      </c>
      <c r="H104" s="6">
        <v>192.8</v>
      </c>
      <c r="I104" s="9">
        <v>7.631564E7</v>
      </c>
      <c r="J104" s="10"/>
    </row>
    <row r="105">
      <c r="A105" s="4" t="s">
        <v>10</v>
      </c>
      <c r="B105" s="5">
        <v>41792.0</v>
      </c>
      <c r="C105" s="6">
        <v>192.9</v>
      </c>
      <c r="D105" s="13">
        <f>+0.22</f>
        <v>0.22</v>
      </c>
      <c r="E105" s="14">
        <f>+0.11%</f>
        <v>0.0011</v>
      </c>
      <c r="F105" s="6">
        <v>192.95</v>
      </c>
      <c r="G105" s="6">
        <v>191.97</v>
      </c>
      <c r="H105" s="6">
        <v>192.99</v>
      </c>
      <c r="I105" s="9">
        <v>6.4655648E7</v>
      </c>
      <c r="J105" s="10"/>
    </row>
    <row r="106">
      <c r="A106" s="4" t="s">
        <v>10</v>
      </c>
      <c r="B106" s="5">
        <v>41793.0</v>
      </c>
      <c r="C106" s="6">
        <v>192.8</v>
      </c>
      <c r="D106" s="11">
        <v>-0.09</v>
      </c>
      <c r="E106" s="12">
        <v>-5.0E-4</v>
      </c>
      <c r="F106" s="6">
        <v>192.43</v>
      </c>
      <c r="G106" s="6">
        <v>192.25</v>
      </c>
      <c r="H106" s="6">
        <v>192.9</v>
      </c>
      <c r="I106" s="9">
        <v>6.5047193E7</v>
      </c>
      <c r="J106" s="10"/>
    </row>
    <row r="107">
      <c r="A107" s="4" t="s">
        <v>10</v>
      </c>
      <c r="B107" s="5">
        <v>41794.0</v>
      </c>
      <c r="C107" s="6">
        <v>193.19</v>
      </c>
      <c r="D107" s="13">
        <f>+0.39</f>
        <v>0.39</v>
      </c>
      <c r="E107" s="14">
        <f>+0.2%</f>
        <v>0.002</v>
      </c>
      <c r="F107" s="6">
        <v>192.47</v>
      </c>
      <c r="G107" s="6">
        <v>192.27</v>
      </c>
      <c r="H107" s="6">
        <v>193.3</v>
      </c>
      <c r="I107" s="9">
        <v>5.5529372E7</v>
      </c>
      <c r="J107" s="10"/>
    </row>
    <row r="108">
      <c r="A108" s="4" t="s">
        <v>10</v>
      </c>
      <c r="B108" s="5">
        <v>41795.0</v>
      </c>
      <c r="C108" s="6">
        <v>194.45</v>
      </c>
      <c r="D108" s="13">
        <f>+1.26</f>
        <v>1.26</v>
      </c>
      <c r="E108" s="14">
        <f>+0.65%</f>
        <v>0.0065</v>
      </c>
      <c r="F108" s="6">
        <v>193.41</v>
      </c>
      <c r="G108" s="6">
        <v>192.7</v>
      </c>
      <c r="H108" s="6">
        <v>194.65</v>
      </c>
      <c r="I108" s="9">
        <v>9.2102592E7</v>
      </c>
      <c r="J108" s="10"/>
    </row>
    <row r="109">
      <c r="A109" s="4" t="s">
        <v>10</v>
      </c>
      <c r="B109" s="5">
        <v>41796.0</v>
      </c>
      <c r="C109" s="6">
        <v>195.38</v>
      </c>
      <c r="D109" s="13">
        <f>+0.93</f>
        <v>0.93</v>
      </c>
      <c r="E109" s="14">
        <f>+0.48%</f>
        <v>0.0048</v>
      </c>
      <c r="F109" s="6">
        <v>194.87</v>
      </c>
      <c r="G109" s="6">
        <v>194.78</v>
      </c>
      <c r="H109" s="6">
        <v>195.43</v>
      </c>
      <c r="I109" s="9">
        <v>7.8696219E7</v>
      </c>
      <c r="J109" s="10"/>
    </row>
    <row r="110">
      <c r="A110" s="4" t="s">
        <v>10</v>
      </c>
      <c r="B110" s="5">
        <v>41799.0</v>
      </c>
      <c r="C110" s="6">
        <v>195.58</v>
      </c>
      <c r="D110" s="13">
        <f>+0.21</f>
        <v>0.21</v>
      </c>
      <c r="E110" s="14">
        <f>+0.1%</f>
        <v>0.001</v>
      </c>
      <c r="F110" s="6">
        <v>195.35</v>
      </c>
      <c r="G110" s="6">
        <v>195.17</v>
      </c>
      <c r="H110" s="6">
        <v>196.05</v>
      </c>
      <c r="I110" s="9">
        <v>6.5118828E7</v>
      </c>
      <c r="J110" s="10"/>
    </row>
    <row r="111">
      <c r="A111" s="4" t="s">
        <v>10</v>
      </c>
      <c r="B111" s="5">
        <v>41800.0</v>
      </c>
      <c r="C111" s="6">
        <v>195.6</v>
      </c>
      <c r="D111" s="13">
        <f>+0.02</f>
        <v>0.02</v>
      </c>
      <c r="E111" s="14">
        <f>+0.01%</f>
        <v>0.0001</v>
      </c>
      <c r="F111" s="6">
        <v>195.34</v>
      </c>
      <c r="G111" s="6">
        <v>194.92</v>
      </c>
      <c r="H111" s="6">
        <v>195.64</v>
      </c>
      <c r="I111" s="9">
        <v>5.712944E7</v>
      </c>
      <c r="J111" s="10"/>
    </row>
    <row r="112">
      <c r="A112" s="4" t="s">
        <v>10</v>
      </c>
      <c r="B112" s="5">
        <v>41801.0</v>
      </c>
      <c r="C112" s="6">
        <v>194.92</v>
      </c>
      <c r="D112" s="11">
        <v>-0.68</v>
      </c>
      <c r="E112" s="12">
        <v>-0.0035</v>
      </c>
      <c r="F112" s="6">
        <v>194.9</v>
      </c>
      <c r="G112" s="6">
        <v>194.48</v>
      </c>
      <c r="H112" s="6">
        <v>195.12</v>
      </c>
      <c r="I112" s="9">
        <v>6.8772479E7</v>
      </c>
      <c r="J112" s="10"/>
    </row>
    <row r="113">
      <c r="A113" s="4" t="s">
        <v>10</v>
      </c>
      <c r="B113" s="5">
        <v>41802.0</v>
      </c>
      <c r="C113" s="6">
        <v>193.54</v>
      </c>
      <c r="D113" s="11">
        <v>-1.38</v>
      </c>
      <c r="E113" s="12">
        <v>-0.0071</v>
      </c>
      <c r="F113" s="6">
        <v>194.69</v>
      </c>
      <c r="G113" s="6">
        <v>193.11</v>
      </c>
      <c r="H113" s="6">
        <v>194.8</v>
      </c>
      <c r="I113" s="9">
        <v>1.063502E8</v>
      </c>
      <c r="J113" s="10"/>
    </row>
    <row r="114">
      <c r="A114" s="4" t="s">
        <v>10</v>
      </c>
      <c r="B114" s="5">
        <v>41803.0</v>
      </c>
      <c r="C114" s="6">
        <v>194.13</v>
      </c>
      <c r="D114" s="13">
        <f>+0.59</f>
        <v>0.59</v>
      </c>
      <c r="E114" s="14">
        <f>+0.3%</f>
        <v>0.003</v>
      </c>
      <c r="F114" s="6">
        <v>193.92</v>
      </c>
      <c r="G114" s="6">
        <v>193.3</v>
      </c>
      <c r="H114" s="6">
        <v>194.32</v>
      </c>
      <c r="I114" s="9">
        <v>8.2017278E7</v>
      </c>
      <c r="J114" s="10"/>
    </row>
    <row r="115">
      <c r="A115" s="4" t="s">
        <v>10</v>
      </c>
      <c r="B115" s="5">
        <v>41806.0</v>
      </c>
      <c r="C115" s="6">
        <v>194.29</v>
      </c>
      <c r="D115" s="13">
        <f>+0.16</f>
        <v>0.16</v>
      </c>
      <c r="E115" s="14">
        <f>+0.08%</f>
        <v>0.0008</v>
      </c>
      <c r="F115" s="6">
        <v>193.89</v>
      </c>
      <c r="G115" s="6">
        <v>193.66</v>
      </c>
      <c r="H115" s="6">
        <v>194.7</v>
      </c>
      <c r="I115" s="9">
        <v>8.7424332E7</v>
      </c>
      <c r="J115" s="10"/>
    </row>
    <row r="116">
      <c r="A116" s="4" t="s">
        <v>10</v>
      </c>
      <c r="B116" s="5">
        <v>41807.0</v>
      </c>
      <c r="C116" s="6">
        <v>194.83</v>
      </c>
      <c r="D116" s="13">
        <f>+0.54</f>
        <v>0.54</v>
      </c>
      <c r="E116" s="14">
        <f>+0.28%</f>
        <v>0.0028</v>
      </c>
      <c r="F116" s="6">
        <v>194.02</v>
      </c>
      <c r="G116" s="6">
        <v>193.81</v>
      </c>
      <c r="H116" s="6">
        <v>194.97</v>
      </c>
      <c r="I116" s="9">
        <v>8.4833876E7</v>
      </c>
      <c r="J116" s="10"/>
    </row>
    <row r="117">
      <c r="A117" s="4" t="s">
        <v>10</v>
      </c>
      <c r="B117" s="5">
        <v>41808.0</v>
      </c>
      <c r="C117" s="6">
        <v>196.26</v>
      </c>
      <c r="D117" s="13">
        <f>+1.42</f>
        <v>1.42</v>
      </c>
      <c r="E117" s="14">
        <f>+0.73%</f>
        <v>0.0073</v>
      </c>
      <c r="F117" s="6">
        <v>194.83</v>
      </c>
      <c r="G117" s="6">
        <v>194.4</v>
      </c>
      <c r="H117" s="6">
        <v>196.37</v>
      </c>
      <c r="I117" s="9">
        <v>1.05266767E8</v>
      </c>
      <c r="J117" s="10"/>
    </row>
    <row r="118">
      <c r="A118" s="4" t="s">
        <v>10</v>
      </c>
      <c r="B118" s="5">
        <v>41809.0</v>
      </c>
      <c r="C118" s="6">
        <v>196.48</v>
      </c>
      <c r="D118" s="13">
        <f>+0.22</f>
        <v>0.22</v>
      </c>
      <c r="E118" s="14">
        <f>+0.11%</f>
        <v>0.0011</v>
      </c>
      <c r="F118" s="6">
        <v>196.43</v>
      </c>
      <c r="G118" s="6">
        <v>195.8</v>
      </c>
      <c r="H118" s="6">
        <v>196.6</v>
      </c>
      <c r="I118" s="9">
        <v>8.592892E7</v>
      </c>
      <c r="J118" s="10"/>
    </row>
    <row r="119">
      <c r="A119" s="4" t="s">
        <v>10</v>
      </c>
      <c r="B119" s="5">
        <v>41810.0</v>
      </c>
      <c r="C119" s="6">
        <v>195.94</v>
      </c>
      <c r="D119" s="11">
        <v>-0.54</v>
      </c>
      <c r="E119" s="12">
        <v>-0.0027</v>
      </c>
      <c r="F119" s="6">
        <v>196.03</v>
      </c>
      <c r="G119" s="6">
        <v>195.7</v>
      </c>
      <c r="H119" s="6">
        <v>196.1</v>
      </c>
      <c r="I119" s="9">
        <v>1.00587108E8</v>
      </c>
      <c r="J119" s="10"/>
    </row>
    <row r="120">
      <c r="A120" s="4" t="s">
        <v>10</v>
      </c>
      <c r="B120" s="5">
        <v>41813.0</v>
      </c>
      <c r="C120" s="6">
        <v>195.88</v>
      </c>
      <c r="D120" s="11">
        <v>-0.06</v>
      </c>
      <c r="E120" s="12">
        <v>-3.0E-4</v>
      </c>
      <c r="F120" s="6">
        <v>195.99</v>
      </c>
      <c r="G120" s="6">
        <v>195.52</v>
      </c>
      <c r="H120" s="6">
        <v>196.05</v>
      </c>
      <c r="I120" s="9">
        <v>7.0611486E7</v>
      </c>
      <c r="J120" s="10"/>
    </row>
    <row r="121">
      <c r="A121" s="4" t="s">
        <v>10</v>
      </c>
      <c r="B121" s="5">
        <v>41814.0</v>
      </c>
      <c r="C121" s="6">
        <v>194.7</v>
      </c>
      <c r="D121" s="11">
        <v>-1.18</v>
      </c>
      <c r="E121" s="12">
        <v>-0.006</v>
      </c>
      <c r="F121" s="6">
        <v>195.53</v>
      </c>
      <c r="G121" s="6">
        <v>194.48</v>
      </c>
      <c r="H121" s="6">
        <v>196.5</v>
      </c>
      <c r="I121" s="9">
        <v>9.6236917E7</v>
      </c>
      <c r="J121" s="10"/>
    </row>
    <row r="122">
      <c r="A122" s="4" t="s">
        <v>10</v>
      </c>
      <c r="B122" s="5">
        <v>41815.0</v>
      </c>
      <c r="C122" s="6">
        <v>195.58</v>
      </c>
      <c r="D122" s="13">
        <f>+0.88</f>
        <v>0.88</v>
      </c>
      <c r="E122" s="14">
        <f>+0.45%</f>
        <v>0.0045</v>
      </c>
      <c r="F122" s="6">
        <v>194.29</v>
      </c>
      <c r="G122" s="6">
        <v>194.25</v>
      </c>
      <c r="H122" s="6">
        <v>195.78</v>
      </c>
      <c r="I122" s="9">
        <v>8.2781912E7</v>
      </c>
      <c r="J122" s="10"/>
    </row>
    <row r="123">
      <c r="A123" s="4" t="s">
        <v>10</v>
      </c>
      <c r="B123" s="5">
        <v>41816.0</v>
      </c>
      <c r="C123" s="6">
        <v>195.44</v>
      </c>
      <c r="D123" s="11">
        <v>-0.14</v>
      </c>
      <c r="E123" s="12">
        <v>-7.0E-4</v>
      </c>
      <c r="F123" s="6">
        <v>195.61</v>
      </c>
      <c r="G123" s="6">
        <v>194.13</v>
      </c>
      <c r="H123" s="6">
        <v>195.63</v>
      </c>
      <c r="I123" s="9">
        <v>8.4311822E7</v>
      </c>
      <c r="J123" s="10"/>
    </row>
    <row r="124">
      <c r="A124" s="4" t="s">
        <v>10</v>
      </c>
      <c r="B124" s="5">
        <v>41817.0</v>
      </c>
      <c r="C124" s="6">
        <v>195.82</v>
      </c>
      <c r="D124" s="13">
        <f>+0.38</f>
        <v>0.38</v>
      </c>
      <c r="E124" s="14">
        <f>+0.19%</f>
        <v>0.0019</v>
      </c>
      <c r="F124" s="6">
        <v>194.98</v>
      </c>
      <c r="G124" s="6">
        <v>194.89</v>
      </c>
      <c r="H124" s="6">
        <v>195.88</v>
      </c>
      <c r="I124" s="9">
        <v>7.1453616E7</v>
      </c>
      <c r="J124" s="10"/>
    </row>
    <row r="125">
      <c r="A125" s="4" t="s">
        <v>10</v>
      </c>
      <c r="B125" s="5">
        <v>41820.0</v>
      </c>
      <c r="C125" s="6">
        <v>195.72</v>
      </c>
      <c r="D125" s="11">
        <v>-0.1</v>
      </c>
      <c r="E125" s="12">
        <v>-5.0E-4</v>
      </c>
      <c r="F125" s="6">
        <v>195.7</v>
      </c>
      <c r="G125" s="6">
        <v>195.53</v>
      </c>
      <c r="H125" s="6">
        <v>196.17</v>
      </c>
      <c r="I125" s="9">
        <v>7.0504228E7</v>
      </c>
      <c r="J125" s="10"/>
    </row>
    <row r="126">
      <c r="A126" s="4" t="s">
        <v>10</v>
      </c>
      <c r="B126" s="5">
        <v>41821.0</v>
      </c>
      <c r="C126" s="6">
        <v>197.03</v>
      </c>
      <c r="D126" s="13">
        <f>+1.31</f>
        <v>1.31</v>
      </c>
      <c r="E126" s="14">
        <f>+0.67%</f>
        <v>0.0067</v>
      </c>
      <c r="F126" s="6">
        <v>196.2</v>
      </c>
      <c r="G126" s="6">
        <v>196.13</v>
      </c>
      <c r="H126" s="6">
        <v>197.63</v>
      </c>
      <c r="I126" s="9">
        <v>9.0470121E7</v>
      </c>
      <c r="J126" s="10"/>
    </row>
    <row r="127">
      <c r="A127" s="4" t="s">
        <v>10</v>
      </c>
      <c r="B127" s="5">
        <v>41822.0</v>
      </c>
      <c r="C127" s="6">
        <v>197.23</v>
      </c>
      <c r="D127" s="13">
        <f>+0.2</f>
        <v>0.2</v>
      </c>
      <c r="E127" s="14">
        <f>+0.1%</f>
        <v>0.001</v>
      </c>
      <c r="F127" s="6">
        <v>197.05</v>
      </c>
      <c r="G127" s="6">
        <v>196.96</v>
      </c>
      <c r="H127" s="6">
        <v>197.48</v>
      </c>
      <c r="I127" s="9">
        <v>5.2474832E7</v>
      </c>
      <c r="J127" s="10"/>
    </row>
    <row r="128">
      <c r="A128" s="4" t="s">
        <v>10</v>
      </c>
      <c r="B128" s="5">
        <v>41823.0</v>
      </c>
      <c r="C128" s="6">
        <v>198.2</v>
      </c>
      <c r="D128" s="13">
        <f>+0.97</f>
        <v>0.97</v>
      </c>
      <c r="E128" s="14">
        <f>+0.49%</f>
        <v>0.0049</v>
      </c>
      <c r="F128" s="6">
        <v>197.79</v>
      </c>
      <c r="G128" s="6">
        <v>197.64</v>
      </c>
      <c r="H128" s="6">
        <v>198.29</v>
      </c>
      <c r="I128" s="9">
        <v>5.2938832E7</v>
      </c>
      <c r="J128" s="10"/>
    </row>
    <row r="129">
      <c r="A129" s="4" t="s">
        <v>10</v>
      </c>
      <c r="B129" s="5">
        <v>41827.0</v>
      </c>
      <c r="C129" s="6">
        <v>197.51</v>
      </c>
      <c r="D129" s="11">
        <v>-0.69</v>
      </c>
      <c r="E129" s="12">
        <v>-0.0035</v>
      </c>
      <c r="F129" s="6">
        <v>197.82</v>
      </c>
      <c r="G129" s="6">
        <v>197.22</v>
      </c>
      <c r="H129" s="6">
        <v>197.98</v>
      </c>
      <c r="I129" s="9">
        <v>6.1696447E7</v>
      </c>
      <c r="J129" s="10"/>
    </row>
    <row r="130">
      <c r="A130" s="4" t="s">
        <v>10</v>
      </c>
      <c r="B130" s="5">
        <v>41828.0</v>
      </c>
      <c r="C130" s="6">
        <v>196.24</v>
      </c>
      <c r="D130" s="11">
        <v>-1.27</v>
      </c>
      <c r="E130" s="12">
        <v>-0.0064</v>
      </c>
      <c r="F130" s="6">
        <v>197.15</v>
      </c>
      <c r="G130" s="6">
        <v>195.76</v>
      </c>
      <c r="H130" s="6">
        <v>197.22</v>
      </c>
      <c r="I130" s="9">
        <v>1.08142552E8</v>
      </c>
      <c r="J130" s="10"/>
    </row>
    <row r="131">
      <c r="A131" s="4" t="s">
        <v>10</v>
      </c>
      <c r="B131" s="5">
        <v>41829.0</v>
      </c>
      <c r="C131" s="6">
        <v>197.12</v>
      </c>
      <c r="D131" s="13">
        <f>+0.88</f>
        <v>0.88</v>
      </c>
      <c r="E131" s="14">
        <f>+0.45%</f>
        <v>0.0045</v>
      </c>
      <c r="F131" s="6">
        <v>196.73</v>
      </c>
      <c r="G131" s="6">
        <v>196.31</v>
      </c>
      <c r="H131" s="6">
        <v>197.3</v>
      </c>
      <c r="I131" s="9">
        <v>7.2992322E7</v>
      </c>
      <c r="J131" s="10"/>
    </row>
    <row r="132">
      <c r="A132" s="4" t="s">
        <v>10</v>
      </c>
      <c r="B132" s="5">
        <v>41830.0</v>
      </c>
      <c r="C132" s="6">
        <v>196.34</v>
      </c>
      <c r="D132" s="11">
        <v>-0.78</v>
      </c>
      <c r="E132" s="12">
        <v>-0.004</v>
      </c>
      <c r="F132" s="6">
        <v>195.22</v>
      </c>
      <c r="G132" s="6">
        <v>195.06</v>
      </c>
      <c r="H132" s="6">
        <v>196.86</v>
      </c>
      <c r="I132" s="9">
        <v>9.9040407E7</v>
      </c>
      <c r="J132" s="10"/>
    </row>
    <row r="133">
      <c r="A133" s="4" t="s">
        <v>10</v>
      </c>
      <c r="B133" s="5">
        <v>41831.0</v>
      </c>
      <c r="C133" s="6">
        <v>196.61</v>
      </c>
      <c r="D133" s="13">
        <f>+0.27</f>
        <v>0.27</v>
      </c>
      <c r="E133" s="14">
        <f>+0.14%</f>
        <v>0.0014</v>
      </c>
      <c r="F133" s="6">
        <v>196.22</v>
      </c>
      <c r="G133" s="6">
        <v>195.78</v>
      </c>
      <c r="H133" s="6">
        <v>196.75</v>
      </c>
      <c r="I133" s="9">
        <v>6.424341E7</v>
      </c>
      <c r="J133" s="10"/>
    </row>
    <row r="134">
      <c r="A134" s="4" t="s">
        <v>10</v>
      </c>
      <c r="B134" s="5">
        <v>41834.0</v>
      </c>
      <c r="C134" s="6">
        <v>197.6</v>
      </c>
      <c r="D134" s="13">
        <f>+0.99</f>
        <v>0.99</v>
      </c>
      <c r="E134" s="14">
        <f>+0.5%</f>
        <v>0.005</v>
      </c>
      <c r="F134" s="6">
        <v>197.61</v>
      </c>
      <c r="G134" s="6">
        <v>197.44</v>
      </c>
      <c r="H134" s="6">
        <v>197.86</v>
      </c>
      <c r="I134" s="9">
        <v>5.8657919E7</v>
      </c>
      <c r="J134" s="10"/>
    </row>
    <row r="135">
      <c r="A135" s="4" t="s">
        <v>10</v>
      </c>
      <c r="B135" s="5">
        <v>41835.0</v>
      </c>
      <c r="C135" s="6">
        <v>197.23</v>
      </c>
      <c r="D135" s="11">
        <v>-0.37</v>
      </c>
      <c r="E135" s="12">
        <v>-0.0019</v>
      </c>
      <c r="F135" s="6">
        <v>197.72</v>
      </c>
      <c r="G135" s="6">
        <v>196.36</v>
      </c>
      <c r="H135" s="6">
        <v>198.1</v>
      </c>
      <c r="I135" s="9">
        <v>1.1134623E8</v>
      </c>
      <c r="J135" s="10"/>
    </row>
    <row r="136">
      <c r="A136" s="4" t="s">
        <v>10</v>
      </c>
      <c r="B136" s="5">
        <v>41836.0</v>
      </c>
      <c r="C136" s="6">
        <v>197.96</v>
      </c>
      <c r="D136" s="13">
        <f>+0.73</f>
        <v>0.73</v>
      </c>
      <c r="E136" s="14">
        <f>+0.37%</f>
        <v>0.0037</v>
      </c>
      <c r="F136" s="6">
        <v>198.11</v>
      </c>
      <c r="G136" s="6">
        <v>197.42</v>
      </c>
      <c r="H136" s="6">
        <v>198.26</v>
      </c>
      <c r="I136" s="9">
        <v>8.0073242E7</v>
      </c>
      <c r="J136" s="10"/>
    </row>
    <row r="137">
      <c r="A137" s="4" t="s">
        <v>10</v>
      </c>
      <c r="B137" s="5">
        <v>41837.0</v>
      </c>
      <c r="C137" s="6">
        <v>195.71</v>
      </c>
      <c r="D137" s="11">
        <v>-2.25</v>
      </c>
      <c r="E137" s="12">
        <v>-0.0114</v>
      </c>
      <c r="F137" s="6">
        <v>197.35</v>
      </c>
      <c r="G137" s="6">
        <v>195.43</v>
      </c>
      <c r="H137" s="6">
        <v>198.1</v>
      </c>
      <c r="I137" s="9">
        <v>1.45398459E8</v>
      </c>
      <c r="J137" s="10"/>
    </row>
    <row r="138">
      <c r="A138" s="4" t="s">
        <v>10</v>
      </c>
      <c r="B138" s="5">
        <v>41838.0</v>
      </c>
      <c r="C138" s="6">
        <v>197.71</v>
      </c>
      <c r="D138" s="13">
        <f>+2</f>
        <v>2</v>
      </c>
      <c r="E138" s="14">
        <f>+1.02%</f>
        <v>0.0102</v>
      </c>
      <c r="F138" s="6">
        <v>196.35</v>
      </c>
      <c r="G138" s="6">
        <v>196.24</v>
      </c>
      <c r="H138" s="6">
        <v>197.91</v>
      </c>
      <c r="I138" s="9">
        <v>1.24330419E8</v>
      </c>
      <c r="J138" s="10"/>
    </row>
    <row r="139">
      <c r="A139" s="4" t="s">
        <v>10</v>
      </c>
      <c r="B139" s="5">
        <v>41841.0</v>
      </c>
      <c r="C139" s="6">
        <v>197.34</v>
      </c>
      <c r="D139" s="11">
        <v>-0.37</v>
      </c>
      <c r="E139" s="12">
        <v>-0.0019</v>
      </c>
      <c r="F139" s="6">
        <v>197.09</v>
      </c>
      <c r="G139" s="6">
        <v>196.43</v>
      </c>
      <c r="H139" s="6">
        <v>197.5</v>
      </c>
      <c r="I139" s="9">
        <v>6.7591618E7</v>
      </c>
      <c r="J139" s="10"/>
    </row>
    <row r="140">
      <c r="A140" s="4" t="s">
        <v>10</v>
      </c>
      <c r="B140" s="5">
        <v>41842.0</v>
      </c>
      <c r="C140" s="6">
        <v>198.2</v>
      </c>
      <c r="D140" s="13">
        <f>+0.86</f>
        <v>0.86</v>
      </c>
      <c r="E140" s="14">
        <f>+0.44%</f>
        <v>0.0044</v>
      </c>
      <c r="F140" s="6">
        <v>198.01</v>
      </c>
      <c r="G140" s="6">
        <v>197.87</v>
      </c>
      <c r="H140" s="6">
        <v>198.56</v>
      </c>
      <c r="I140" s="9">
        <v>6.7677602E7</v>
      </c>
      <c r="J140" s="10"/>
    </row>
    <row r="141">
      <c r="A141" s="4" t="s">
        <v>10</v>
      </c>
      <c r="B141" s="5">
        <v>41843.0</v>
      </c>
      <c r="C141" s="6">
        <v>198.64</v>
      </c>
      <c r="D141" s="13">
        <f>+0.44</f>
        <v>0.44</v>
      </c>
      <c r="E141" s="14">
        <f>+0.22%</f>
        <v>0.0022</v>
      </c>
      <c r="F141" s="6">
        <v>198.5</v>
      </c>
      <c r="G141" s="6">
        <v>198.1</v>
      </c>
      <c r="H141" s="6">
        <v>198.85</v>
      </c>
      <c r="I141" s="9">
        <v>6.561183E7</v>
      </c>
      <c r="J141" s="10"/>
    </row>
    <row r="142">
      <c r="A142" s="4" t="s">
        <v>10</v>
      </c>
      <c r="B142" s="5">
        <v>41844.0</v>
      </c>
      <c r="C142" s="6">
        <v>198.65</v>
      </c>
      <c r="D142" s="13">
        <f>+0.01</f>
        <v>0.01</v>
      </c>
      <c r="E142" s="14">
        <f>+0.01%</f>
        <v>0.0001</v>
      </c>
      <c r="F142" s="6">
        <v>198.83</v>
      </c>
      <c r="G142" s="6">
        <v>198.45</v>
      </c>
      <c r="H142" s="6">
        <v>199.06</v>
      </c>
      <c r="I142" s="9">
        <v>5.6888093E7</v>
      </c>
      <c r="J142" s="10"/>
    </row>
    <row r="143">
      <c r="A143" s="4" t="s">
        <v>10</v>
      </c>
      <c r="B143" s="5">
        <v>41845.0</v>
      </c>
      <c r="C143" s="6">
        <v>197.72</v>
      </c>
      <c r="D143" s="11">
        <v>-0.93</v>
      </c>
      <c r="E143" s="12">
        <v>-0.0047</v>
      </c>
      <c r="F143" s="6">
        <v>198.09</v>
      </c>
      <c r="G143" s="6">
        <v>197.33</v>
      </c>
      <c r="H143" s="6">
        <v>198.26</v>
      </c>
      <c r="I143" s="9">
        <v>7.6837257E7</v>
      </c>
      <c r="J143" s="10"/>
    </row>
    <row r="144">
      <c r="A144" s="4" t="s">
        <v>10</v>
      </c>
      <c r="B144" s="5">
        <v>41848.0</v>
      </c>
      <c r="C144" s="6">
        <v>197.8</v>
      </c>
      <c r="D144" s="13">
        <f>+0.08</f>
        <v>0.08</v>
      </c>
      <c r="E144" s="14">
        <f>+0.04%</f>
        <v>0.0004</v>
      </c>
      <c r="F144" s="6">
        <v>197.76</v>
      </c>
      <c r="G144" s="6">
        <v>196.62</v>
      </c>
      <c r="H144" s="6">
        <v>198.09</v>
      </c>
      <c r="I144" s="9">
        <v>6.9258785E7</v>
      </c>
      <c r="J144" s="10"/>
    </row>
    <row r="145">
      <c r="A145" s="4" t="s">
        <v>10</v>
      </c>
      <c r="B145" s="5">
        <v>41849.0</v>
      </c>
      <c r="C145" s="6">
        <v>196.95</v>
      </c>
      <c r="D145" s="11">
        <v>-0.85</v>
      </c>
      <c r="E145" s="12">
        <v>-0.0043</v>
      </c>
      <c r="F145" s="6">
        <v>198.17</v>
      </c>
      <c r="G145" s="6">
        <v>196.92</v>
      </c>
      <c r="H145" s="6">
        <v>198.45</v>
      </c>
      <c r="I145" s="9">
        <v>8.0466351E7</v>
      </c>
      <c r="J145" s="10"/>
    </row>
    <row r="146">
      <c r="A146" s="4" t="s">
        <v>10</v>
      </c>
      <c r="B146" s="5">
        <v>41850.0</v>
      </c>
      <c r="C146" s="6">
        <v>196.98</v>
      </c>
      <c r="D146" s="13">
        <f>+0.03</f>
        <v>0.03</v>
      </c>
      <c r="E146" s="14">
        <f>+0.02%</f>
        <v>0.0002</v>
      </c>
      <c r="F146" s="6">
        <v>197.65</v>
      </c>
      <c r="G146" s="6">
        <v>196.16</v>
      </c>
      <c r="H146" s="6">
        <v>197.91</v>
      </c>
      <c r="I146" s="9">
        <v>1.04222452E8</v>
      </c>
      <c r="J146" s="10"/>
    </row>
    <row r="147">
      <c r="A147" s="4" t="s">
        <v>10</v>
      </c>
      <c r="B147" s="5">
        <v>41851.0</v>
      </c>
      <c r="C147" s="6">
        <v>193.09</v>
      </c>
      <c r="D147" s="11">
        <v>-3.89</v>
      </c>
      <c r="E147" s="12">
        <v>-0.0197</v>
      </c>
      <c r="F147" s="6">
        <v>195.61</v>
      </c>
      <c r="G147" s="6">
        <v>192.97</v>
      </c>
      <c r="H147" s="6">
        <v>195.78</v>
      </c>
      <c r="I147" s="9">
        <v>1.83479441E8</v>
      </c>
      <c r="J147" s="10"/>
    </row>
    <row r="148">
      <c r="A148" s="4" t="s">
        <v>10</v>
      </c>
      <c r="B148" s="5">
        <v>41852.0</v>
      </c>
      <c r="C148" s="6">
        <v>192.5</v>
      </c>
      <c r="D148" s="11">
        <v>-0.59</v>
      </c>
      <c r="E148" s="12">
        <v>-0.0031</v>
      </c>
      <c r="F148" s="6">
        <v>192.56</v>
      </c>
      <c r="G148" s="6">
        <v>191.57</v>
      </c>
      <c r="H148" s="6">
        <v>193.76</v>
      </c>
      <c r="I148" s="9">
        <v>1.89260864E8</v>
      </c>
      <c r="J148" s="10"/>
    </row>
    <row r="149">
      <c r="A149" s="4" t="s">
        <v>10</v>
      </c>
      <c r="B149" s="5">
        <v>41855.0</v>
      </c>
      <c r="C149" s="6">
        <v>193.89</v>
      </c>
      <c r="D149" s="13">
        <f>+1.39</f>
        <v>1.39</v>
      </c>
      <c r="E149" s="14">
        <f>+0.72%</f>
        <v>0.0072</v>
      </c>
      <c r="F149" s="6">
        <v>192.87</v>
      </c>
      <c r="G149" s="6">
        <v>192.05</v>
      </c>
      <c r="H149" s="6">
        <v>194.3</v>
      </c>
      <c r="I149" s="9">
        <v>9.1340487E7</v>
      </c>
      <c r="J149" s="10"/>
    </row>
    <row r="150">
      <c r="A150" s="4" t="s">
        <v>10</v>
      </c>
      <c r="B150" s="5">
        <v>41856.0</v>
      </c>
      <c r="C150" s="6">
        <v>192.01</v>
      </c>
      <c r="D150" s="11">
        <v>-1.88</v>
      </c>
      <c r="E150" s="12">
        <v>-0.0097</v>
      </c>
      <c r="F150" s="6">
        <v>193.1</v>
      </c>
      <c r="G150" s="6">
        <v>191.31</v>
      </c>
      <c r="H150" s="6">
        <v>193.6</v>
      </c>
      <c r="I150" s="9">
        <v>1.52690379E8</v>
      </c>
      <c r="J150" s="10"/>
    </row>
    <row r="151">
      <c r="A151" s="4" t="s">
        <v>10</v>
      </c>
      <c r="B151" s="5">
        <v>41857.0</v>
      </c>
      <c r="C151" s="6">
        <v>192.07</v>
      </c>
      <c r="D151" s="13">
        <f>+0.06</f>
        <v>0.06</v>
      </c>
      <c r="E151" s="14">
        <f>+0.03%</f>
        <v>0.0003</v>
      </c>
      <c r="F151" s="6">
        <v>191.11</v>
      </c>
      <c r="G151" s="6">
        <v>191.08</v>
      </c>
      <c r="H151" s="6">
        <v>192.89</v>
      </c>
      <c r="I151" s="9">
        <v>9.4818317E7</v>
      </c>
      <c r="J151" s="10"/>
    </row>
    <row r="152">
      <c r="A152" s="4" t="s">
        <v>10</v>
      </c>
      <c r="B152" s="5">
        <v>41858.0</v>
      </c>
      <c r="C152" s="6">
        <v>191.03</v>
      </c>
      <c r="D152" s="11">
        <v>-1.04</v>
      </c>
      <c r="E152" s="12">
        <v>-0.0054</v>
      </c>
      <c r="F152" s="6">
        <v>192.94</v>
      </c>
      <c r="G152" s="6">
        <v>190.55</v>
      </c>
      <c r="H152" s="6">
        <v>193.13</v>
      </c>
      <c r="I152" s="9">
        <v>1.35733421E8</v>
      </c>
      <c r="J152" s="10"/>
    </row>
    <row r="153">
      <c r="A153" s="4" t="s">
        <v>10</v>
      </c>
      <c r="B153" s="5">
        <v>41859.0</v>
      </c>
      <c r="C153" s="6">
        <v>193.24</v>
      </c>
      <c r="D153" s="13">
        <f>+2.21</f>
        <v>2.21</v>
      </c>
      <c r="E153" s="14">
        <f>+1.16%</f>
        <v>0.0116</v>
      </c>
      <c r="F153" s="6">
        <v>191.46</v>
      </c>
      <c r="G153" s="6">
        <v>190.95</v>
      </c>
      <c r="H153" s="6">
        <v>193.37</v>
      </c>
      <c r="I153" s="9">
        <v>1.17014384E8</v>
      </c>
      <c r="J153" s="10"/>
    </row>
    <row r="154">
      <c r="A154" s="4" t="s">
        <v>10</v>
      </c>
      <c r="B154" s="5">
        <v>41862.0</v>
      </c>
      <c r="C154" s="6">
        <v>193.8</v>
      </c>
      <c r="D154" s="13">
        <f>+0.55</f>
        <v>0.55</v>
      </c>
      <c r="E154" s="14">
        <f>+0.29%</f>
        <v>0.0029</v>
      </c>
      <c r="F154" s="6">
        <v>193.97</v>
      </c>
      <c r="G154" s="6">
        <v>193.71</v>
      </c>
      <c r="H154" s="6">
        <v>194.66</v>
      </c>
      <c r="I154" s="9">
        <v>7.4543691E7</v>
      </c>
      <c r="J154" s="10"/>
    </row>
    <row r="155">
      <c r="A155" s="4" t="s">
        <v>10</v>
      </c>
      <c r="B155" s="5">
        <v>41863.0</v>
      </c>
      <c r="C155" s="6">
        <v>193.53</v>
      </c>
      <c r="D155" s="11">
        <v>-0.26</v>
      </c>
      <c r="E155" s="12">
        <v>-0.0014</v>
      </c>
      <c r="F155" s="6">
        <v>193.61</v>
      </c>
      <c r="G155" s="6">
        <v>192.94</v>
      </c>
      <c r="H155" s="6">
        <v>194.15</v>
      </c>
      <c r="I155" s="9">
        <v>7.363164E7</v>
      </c>
      <c r="J155" s="10"/>
    </row>
    <row r="156">
      <c r="A156" s="4" t="s">
        <v>10</v>
      </c>
      <c r="B156" s="5">
        <v>41864.0</v>
      </c>
      <c r="C156" s="6">
        <v>194.84</v>
      </c>
      <c r="D156" s="13">
        <f>+1.31</f>
        <v>1.31</v>
      </c>
      <c r="E156" s="14">
        <f>+0.68%</f>
        <v>0.0068</v>
      </c>
      <c r="F156" s="6">
        <v>194.29</v>
      </c>
      <c r="G156" s="6">
        <v>193.96</v>
      </c>
      <c r="H156" s="6">
        <v>195.06</v>
      </c>
      <c r="I156" s="9">
        <v>6.9046544E7</v>
      </c>
      <c r="J156" s="10"/>
    </row>
    <row r="157">
      <c r="A157" s="4" t="s">
        <v>10</v>
      </c>
      <c r="B157" s="5">
        <v>41865.0</v>
      </c>
      <c r="C157" s="6">
        <v>195.76</v>
      </c>
      <c r="D157" s="13">
        <f>+0.92</f>
        <v>0.92</v>
      </c>
      <c r="E157" s="14">
        <f>+0.47%</f>
        <v>0.0047</v>
      </c>
      <c r="F157" s="6">
        <v>195.16</v>
      </c>
      <c r="G157" s="6">
        <v>194.98</v>
      </c>
      <c r="H157" s="6">
        <v>195.76</v>
      </c>
      <c r="I157" s="9">
        <v>5.7370793E7</v>
      </c>
      <c r="J157" s="10"/>
    </row>
    <row r="158">
      <c r="A158" s="4" t="s">
        <v>10</v>
      </c>
      <c r="B158" s="5">
        <v>41866.0</v>
      </c>
      <c r="C158" s="6">
        <v>195.72</v>
      </c>
      <c r="D158" s="11">
        <v>-0.04</v>
      </c>
      <c r="E158" s="12">
        <v>-2.0E-4</v>
      </c>
      <c r="F158" s="6">
        <v>196.47</v>
      </c>
      <c r="G158" s="6">
        <v>194.31</v>
      </c>
      <c r="H158" s="6">
        <v>196.65</v>
      </c>
      <c r="I158" s="9">
        <v>1.39950669E8</v>
      </c>
      <c r="J158" s="10"/>
    </row>
    <row r="159">
      <c r="A159" s="4" t="s">
        <v>10</v>
      </c>
      <c r="B159" s="5">
        <v>41869.0</v>
      </c>
      <c r="C159" s="6">
        <v>197.36</v>
      </c>
      <c r="D159" s="13">
        <f>+1.64</f>
        <v>1.64</v>
      </c>
      <c r="E159" s="14">
        <f>+0.84%</f>
        <v>0.0084</v>
      </c>
      <c r="F159" s="6">
        <v>196.8</v>
      </c>
      <c r="G159" s="6">
        <v>196.69</v>
      </c>
      <c r="H159" s="6">
        <v>197.45</v>
      </c>
      <c r="I159" s="9">
        <v>7.542436E7</v>
      </c>
      <c r="J159" s="10"/>
    </row>
    <row r="160">
      <c r="A160" s="4" t="s">
        <v>10</v>
      </c>
      <c r="B160" s="5">
        <v>41870.0</v>
      </c>
      <c r="C160" s="6">
        <v>198.39</v>
      </c>
      <c r="D160" s="13">
        <f>+1.03</f>
        <v>1.03</v>
      </c>
      <c r="E160" s="14">
        <f>+0.52%</f>
        <v>0.0052</v>
      </c>
      <c r="F160" s="6">
        <v>197.84</v>
      </c>
      <c r="G160" s="6">
        <v>197.44</v>
      </c>
      <c r="H160" s="6">
        <v>198.54</v>
      </c>
      <c r="I160" s="9">
        <v>5.9134709E7</v>
      </c>
      <c r="J160" s="10"/>
    </row>
    <row r="161">
      <c r="A161" s="4" t="s">
        <v>10</v>
      </c>
      <c r="B161" s="5">
        <v>41871.0</v>
      </c>
      <c r="C161" s="6">
        <v>198.92</v>
      </c>
      <c r="D161" s="13">
        <f>+0.53</f>
        <v>0.53</v>
      </c>
      <c r="E161" s="14">
        <f>+0.27%</f>
        <v>0.0027</v>
      </c>
      <c r="F161" s="6">
        <v>198.12</v>
      </c>
      <c r="G161" s="6">
        <v>198.08</v>
      </c>
      <c r="H161" s="6">
        <v>199.16</v>
      </c>
      <c r="I161" s="9">
        <v>7.2762541E7</v>
      </c>
      <c r="J161" s="10"/>
    </row>
    <row r="162">
      <c r="A162" s="4" t="s">
        <v>10</v>
      </c>
      <c r="B162" s="5">
        <v>41872.0</v>
      </c>
      <c r="C162" s="6">
        <v>199.5</v>
      </c>
      <c r="D162" s="13">
        <f>+0.58</f>
        <v>0.58</v>
      </c>
      <c r="E162" s="14">
        <f>+0.29%</f>
        <v>0.0029</v>
      </c>
      <c r="F162" s="6">
        <v>199.09</v>
      </c>
      <c r="G162" s="6">
        <v>198.93</v>
      </c>
      <c r="H162" s="6">
        <v>199.76</v>
      </c>
      <c r="I162" s="9">
        <v>6.779069E7</v>
      </c>
      <c r="J162" s="10"/>
    </row>
    <row r="163">
      <c r="A163" s="4" t="s">
        <v>10</v>
      </c>
      <c r="B163" s="5">
        <v>41873.0</v>
      </c>
      <c r="C163" s="6">
        <v>199.19</v>
      </c>
      <c r="D163" s="11">
        <v>-0.31</v>
      </c>
      <c r="E163" s="12">
        <v>-0.0016</v>
      </c>
      <c r="F163" s="6">
        <v>199.34</v>
      </c>
      <c r="G163" s="6">
        <v>198.74</v>
      </c>
      <c r="H163" s="6">
        <v>199.69</v>
      </c>
      <c r="I163" s="9">
        <v>7.6107359E7</v>
      </c>
      <c r="J163" s="10"/>
    </row>
    <row r="164">
      <c r="A164" s="4" t="s">
        <v>10</v>
      </c>
      <c r="B164" s="5">
        <v>41876.0</v>
      </c>
      <c r="C164" s="6">
        <v>200.2</v>
      </c>
      <c r="D164" s="13">
        <f>+1.01</f>
        <v>1.01</v>
      </c>
      <c r="E164" s="14">
        <f>+0.51%</f>
        <v>0.0051</v>
      </c>
      <c r="F164" s="6">
        <v>200.14</v>
      </c>
      <c r="G164" s="6">
        <v>199.15</v>
      </c>
      <c r="H164" s="6">
        <v>200.59</v>
      </c>
      <c r="I164" s="9">
        <v>6.3855022E7</v>
      </c>
      <c r="J164" s="10"/>
    </row>
    <row r="165">
      <c r="A165" s="4" t="s">
        <v>10</v>
      </c>
      <c r="B165" s="5">
        <v>41877.0</v>
      </c>
      <c r="C165" s="6">
        <v>200.33</v>
      </c>
      <c r="D165" s="13">
        <f>+0.13</f>
        <v>0.13</v>
      </c>
      <c r="E165" s="14">
        <f>+0.06%</f>
        <v>0.0006</v>
      </c>
      <c r="F165" s="6">
        <v>200.33</v>
      </c>
      <c r="G165" s="6">
        <v>200.28</v>
      </c>
      <c r="H165" s="6">
        <v>200.82</v>
      </c>
      <c r="I165" s="9">
        <v>4.7298324E7</v>
      </c>
      <c r="J165" s="10"/>
    </row>
    <row r="166">
      <c r="A166" s="4" t="s">
        <v>10</v>
      </c>
      <c r="B166" s="5">
        <v>41878.0</v>
      </c>
      <c r="C166" s="6">
        <v>200.25</v>
      </c>
      <c r="D166" s="11">
        <v>-0.08</v>
      </c>
      <c r="E166" s="12">
        <v>-4.0E-4</v>
      </c>
      <c r="F166" s="6">
        <v>200.43</v>
      </c>
      <c r="G166" s="6">
        <v>199.94</v>
      </c>
      <c r="H166" s="6">
        <v>200.57</v>
      </c>
      <c r="I166" s="9">
        <v>4.7873708E7</v>
      </c>
      <c r="J166" s="10"/>
    </row>
    <row r="167">
      <c r="A167" s="4" t="s">
        <v>10</v>
      </c>
      <c r="B167" s="5">
        <v>41879.0</v>
      </c>
      <c r="C167" s="6">
        <v>200.14</v>
      </c>
      <c r="D167" s="11">
        <v>-0.11</v>
      </c>
      <c r="E167" s="12">
        <v>-5.0E-4</v>
      </c>
      <c r="F167" s="6">
        <v>199.59</v>
      </c>
      <c r="G167" s="6">
        <v>199.39</v>
      </c>
      <c r="H167" s="6">
        <v>200.27</v>
      </c>
      <c r="I167" s="9">
        <v>5.8330373E7</v>
      </c>
      <c r="J167" s="10"/>
    </row>
    <row r="168">
      <c r="A168" s="4" t="s">
        <v>10</v>
      </c>
      <c r="B168" s="5">
        <v>41880.0</v>
      </c>
      <c r="C168" s="6">
        <v>200.71</v>
      </c>
      <c r="D168" s="13">
        <f>+0.57</f>
        <v>0.57</v>
      </c>
      <c r="E168" s="14">
        <f>+0.28%</f>
        <v>0.0028</v>
      </c>
      <c r="F168" s="6">
        <v>200.45</v>
      </c>
      <c r="G168" s="6">
        <v>199.82</v>
      </c>
      <c r="H168" s="6">
        <v>200.73</v>
      </c>
      <c r="I168" s="9">
        <v>6.5906598E7</v>
      </c>
      <c r="J168" s="10"/>
    </row>
    <row r="169">
      <c r="A169" s="4" t="s">
        <v>10</v>
      </c>
      <c r="B169" s="5">
        <v>41884.0</v>
      </c>
      <c r="C169" s="6">
        <v>200.61</v>
      </c>
      <c r="D169" s="11">
        <v>-0.1</v>
      </c>
      <c r="E169" s="12">
        <v>-5.0E-4</v>
      </c>
      <c r="F169" s="6">
        <v>200.97</v>
      </c>
      <c r="G169" s="6">
        <v>199.86</v>
      </c>
      <c r="H169" s="6">
        <v>201.0</v>
      </c>
      <c r="I169" s="9">
        <v>7.2425793E7</v>
      </c>
      <c r="J169" s="6">
        <v>1.453542397651E10</v>
      </c>
    </row>
    <row r="170">
      <c r="A170" s="4" t="s">
        <v>10</v>
      </c>
      <c r="B170" s="5">
        <v>41885.0</v>
      </c>
      <c r="C170" s="6">
        <v>200.5</v>
      </c>
      <c r="D170" s="11">
        <v>-0.11</v>
      </c>
      <c r="E170" s="12">
        <v>-5.0E-4</v>
      </c>
      <c r="F170" s="6">
        <v>201.38</v>
      </c>
      <c r="G170" s="6">
        <v>200.22</v>
      </c>
      <c r="H170" s="6">
        <v>201.41</v>
      </c>
      <c r="I170" s="9">
        <v>5.7461742E7</v>
      </c>
      <c r="J170" s="6">
        <v>1.153671746884E10</v>
      </c>
    </row>
    <row r="171">
      <c r="A171" s="4" t="s">
        <v>10</v>
      </c>
      <c r="B171" s="5">
        <v>41886.0</v>
      </c>
      <c r="C171" s="6">
        <v>200.21</v>
      </c>
      <c r="D171" s="11">
        <v>-0.29</v>
      </c>
      <c r="E171" s="12">
        <v>-0.0014</v>
      </c>
      <c r="F171" s="6">
        <v>200.84</v>
      </c>
      <c r="G171" s="6">
        <v>199.66</v>
      </c>
      <c r="H171" s="6">
        <v>201.58</v>
      </c>
      <c r="I171" s="9">
        <v>8.5236442E7</v>
      </c>
      <c r="J171" s="6">
        <v>1.710633236176E10</v>
      </c>
    </row>
    <row r="172">
      <c r="A172" s="4" t="s">
        <v>10</v>
      </c>
      <c r="B172" s="5">
        <v>41887.0</v>
      </c>
      <c r="C172" s="6">
        <v>201.11</v>
      </c>
      <c r="D172" s="13">
        <f>+0.9</f>
        <v>0.9</v>
      </c>
      <c r="E172" s="14">
        <f>+0.45%</f>
        <v>0.0045</v>
      </c>
      <c r="F172" s="6">
        <v>200.17</v>
      </c>
      <c r="G172" s="6">
        <v>199.41</v>
      </c>
      <c r="H172" s="6">
        <v>201.19</v>
      </c>
      <c r="I172" s="9">
        <v>1.02176784E8</v>
      </c>
      <c r="J172" s="6">
        <v>2.048192809278E10</v>
      </c>
    </row>
    <row r="173">
      <c r="A173" s="4" t="s">
        <v>10</v>
      </c>
      <c r="B173" s="5">
        <v>41890.0</v>
      </c>
      <c r="C173" s="6">
        <v>200.59</v>
      </c>
      <c r="D173" s="11">
        <v>-0.52</v>
      </c>
      <c r="E173" s="12">
        <v>-0.0026</v>
      </c>
      <c r="F173" s="6">
        <v>200.92</v>
      </c>
      <c r="G173" s="6">
        <v>200.0</v>
      </c>
      <c r="H173" s="6">
        <v>201.21</v>
      </c>
      <c r="I173" s="9">
        <v>6.4145745E7</v>
      </c>
      <c r="J173" s="6">
        <v>1.291032605095E10</v>
      </c>
    </row>
    <row r="174">
      <c r="A174" s="4" t="s">
        <v>10</v>
      </c>
      <c r="B174" s="5">
        <v>41891.0</v>
      </c>
      <c r="C174" s="6">
        <v>199.32</v>
      </c>
      <c r="D174" s="11">
        <v>-1.27</v>
      </c>
      <c r="E174" s="12">
        <v>-0.0063</v>
      </c>
      <c r="F174" s="6">
        <v>200.41</v>
      </c>
      <c r="G174" s="6">
        <v>198.91</v>
      </c>
      <c r="H174" s="6">
        <v>200.55</v>
      </c>
      <c r="I174" s="9">
        <v>8.8590876E7</v>
      </c>
      <c r="J174" s="6">
        <v>1.777425648016E10</v>
      </c>
    </row>
    <row r="175">
      <c r="A175" s="4" t="s">
        <v>10</v>
      </c>
      <c r="B175" s="5">
        <v>41892.0</v>
      </c>
      <c r="C175" s="6">
        <v>200.07</v>
      </c>
      <c r="D175" s="13">
        <f>+0.75</f>
        <v>0.75</v>
      </c>
      <c r="E175" s="14">
        <f>+0.38%</f>
        <v>0.0038</v>
      </c>
      <c r="F175" s="6">
        <v>199.43</v>
      </c>
      <c r="G175" s="6">
        <v>198.77</v>
      </c>
      <c r="H175" s="6">
        <v>200.2</v>
      </c>
      <c r="I175" s="9">
        <v>6.7251103E7</v>
      </c>
      <c r="J175" s="6">
        <v>1.343597109284E10</v>
      </c>
    </row>
    <row r="176">
      <c r="A176" s="4" t="s">
        <v>10</v>
      </c>
      <c r="B176" s="5">
        <v>41893.0</v>
      </c>
      <c r="C176" s="6">
        <v>200.3</v>
      </c>
      <c r="D176" s="13">
        <f>+0.23</f>
        <v>0.23</v>
      </c>
      <c r="E176" s="14">
        <f>+0.11%</f>
        <v>0.0011</v>
      </c>
      <c r="F176" s="6">
        <v>199.27</v>
      </c>
      <c r="G176" s="6">
        <v>199.12</v>
      </c>
      <c r="H176" s="6">
        <v>200.33</v>
      </c>
      <c r="I176" s="9">
        <v>6.6823558E7</v>
      </c>
      <c r="J176" s="6">
        <v>1.335313447996E10</v>
      </c>
    </row>
    <row r="177">
      <c r="A177" s="4" t="s">
        <v>10</v>
      </c>
      <c r="B177" s="5">
        <v>41894.0</v>
      </c>
      <c r="C177" s="6">
        <v>199.13</v>
      </c>
      <c r="D177" s="11">
        <v>-1.17</v>
      </c>
      <c r="E177" s="12">
        <v>-0.0058</v>
      </c>
      <c r="F177" s="6">
        <v>200.1</v>
      </c>
      <c r="G177" s="6">
        <v>198.56</v>
      </c>
      <c r="H177" s="6">
        <v>200.12</v>
      </c>
      <c r="I177" s="9">
        <v>1.17478516E8</v>
      </c>
      <c r="J177" s="6">
        <v>2.352533626453E10</v>
      </c>
    </row>
    <row r="178">
      <c r="A178" s="4" t="s">
        <v>10</v>
      </c>
      <c r="B178" s="5">
        <v>41897.0</v>
      </c>
      <c r="C178" s="6">
        <v>198.98</v>
      </c>
      <c r="D178" s="11">
        <v>-0.15</v>
      </c>
      <c r="E178" s="12">
        <v>-7.0E-4</v>
      </c>
      <c r="F178" s="6">
        <v>199.16</v>
      </c>
      <c r="G178" s="6">
        <v>198.38</v>
      </c>
      <c r="H178" s="6">
        <v>199.32</v>
      </c>
      <c r="I178" s="9">
        <v>7.6401421E7</v>
      </c>
      <c r="J178" s="6">
        <v>1.541022831664E10</v>
      </c>
    </row>
    <row r="179">
      <c r="A179" s="4" t="s">
        <v>10</v>
      </c>
      <c r="B179" s="5">
        <v>41898.0</v>
      </c>
      <c r="C179" s="6">
        <v>200.48</v>
      </c>
      <c r="D179" s="13">
        <f>+1.5</f>
        <v>1.5</v>
      </c>
      <c r="E179" s="14">
        <f>+0.75%</f>
        <v>0.0075</v>
      </c>
      <c r="F179" s="6">
        <v>198.61</v>
      </c>
      <c r="G179" s="6">
        <v>198.5</v>
      </c>
      <c r="H179" s="6">
        <v>200.84</v>
      </c>
      <c r="I179" s="9">
        <v>1.16200722E8</v>
      </c>
      <c r="J179" s="6">
        <v>2.326746538866E10</v>
      </c>
    </row>
    <row r="180">
      <c r="A180" s="4" t="s">
        <v>10</v>
      </c>
      <c r="B180" s="5">
        <v>41899.0</v>
      </c>
      <c r="C180" s="6">
        <v>200.75</v>
      </c>
      <c r="D180" s="13">
        <f>+0.27</f>
        <v>0.27</v>
      </c>
      <c r="E180" s="14">
        <f>+0.13%</f>
        <v>0.0013</v>
      </c>
      <c r="F180" s="6">
        <v>200.77</v>
      </c>
      <c r="G180" s="6">
        <v>199.75</v>
      </c>
      <c r="H180" s="6">
        <v>201.68</v>
      </c>
      <c r="I180" s="9">
        <v>1.51265896E8</v>
      </c>
      <c r="J180" s="6">
        <v>3.036698601199E10</v>
      </c>
    </row>
    <row r="181">
      <c r="A181" s="4" t="s">
        <v>10</v>
      </c>
      <c r="B181" s="5">
        <v>41900.0</v>
      </c>
      <c r="C181" s="6">
        <v>201.82</v>
      </c>
      <c r="D181" s="13">
        <f>+1.07</f>
        <v>1.07</v>
      </c>
      <c r="E181" s="14">
        <f>+0.53%</f>
        <v>0.0053</v>
      </c>
      <c r="F181" s="6">
        <v>201.36</v>
      </c>
      <c r="G181" s="6">
        <v>201.1</v>
      </c>
      <c r="H181" s="6">
        <v>201.85</v>
      </c>
      <c r="I181" s="9">
        <v>9.49903E7</v>
      </c>
      <c r="J181" s="6">
        <v>1.91648092057E10</v>
      </c>
    </row>
    <row r="182">
      <c r="A182" s="4" t="s">
        <v>10</v>
      </c>
      <c r="B182" s="5">
        <v>41901.0</v>
      </c>
      <c r="C182" s="6">
        <v>200.7</v>
      </c>
      <c r="D182" s="11">
        <v>-1.12</v>
      </c>
      <c r="E182" s="12">
        <v>-0.0055</v>
      </c>
      <c r="F182" s="6">
        <v>201.52</v>
      </c>
      <c r="G182" s="6">
        <v>200.29</v>
      </c>
      <c r="H182" s="6">
        <v>201.9</v>
      </c>
      <c r="I182" s="9">
        <v>1.21649147E8</v>
      </c>
      <c r="J182" s="6">
        <v>2.445426568111E10</v>
      </c>
    </row>
    <row r="183">
      <c r="A183" s="4" t="s">
        <v>10</v>
      </c>
      <c r="B183" s="5">
        <v>41904.0</v>
      </c>
      <c r="C183" s="6">
        <v>199.15</v>
      </c>
      <c r="D183" s="11">
        <v>-1.55</v>
      </c>
      <c r="E183" s="12">
        <v>-0.0077</v>
      </c>
      <c r="F183" s="6">
        <v>200.35</v>
      </c>
      <c r="G183" s="6">
        <v>198.73</v>
      </c>
      <c r="H183" s="6">
        <v>200.38</v>
      </c>
      <c r="I183" s="9">
        <v>1.25552758E8</v>
      </c>
      <c r="J183" s="6">
        <v>2.508211645949E10</v>
      </c>
    </row>
    <row r="184">
      <c r="A184" s="4" t="s">
        <v>10</v>
      </c>
      <c r="B184" s="5">
        <v>41905.0</v>
      </c>
      <c r="C184" s="6">
        <v>198.01</v>
      </c>
      <c r="D184" s="11">
        <v>-1.14</v>
      </c>
      <c r="E184" s="12">
        <v>-0.0057</v>
      </c>
      <c r="F184" s="6">
        <v>198.43</v>
      </c>
      <c r="G184" s="6">
        <v>197.95</v>
      </c>
      <c r="H184" s="6">
        <v>199.26</v>
      </c>
      <c r="I184" s="9">
        <v>1.11393319E8</v>
      </c>
      <c r="J184" s="6">
        <v>2.218174306315E10</v>
      </c>
    </row>
    <row r="185">
      <c r="A185" s="4" t="s">
        <v>10</v>
      </c>
      <c r="B185" s="5">
        <v>41906.0</v>
      </c>
      <c r="C185" s="6">
        <v>199.56</v>
      </c>
      <c r="D185" s="13">
        <f>+1.55</f>
        <v>1.55</v>
      </c>
      <c r="E185" s="14">
        <f>+0.78%</f>
        <v>0.0078</v>
      </c>
      <c r="F185" s="6">
        <v>198.04</v>
      </c>
      <c r="G185" s="6">
        <v>197.52</v>
      </c>
      <c r="H185" s="6">
        <v>199.69</v>
      </c>
      <c r="I185" s="9">
        <v>1.07275635E8</v>
      </c>
      <c r="J185" s="6">
        <v>2.141673559543E10</v>
      </c>
    </row>
    <row r="186">
      <c r="A186" s="4" t="s">
        <v>10</v>
      </c>
      <c r="B186" s="5">
        <v>41907.0</v>
      </c>
      <c r="C186" s="6">
        <v>196.34</v>
      </c>
      <c r="D186" s="11">
        <v>-3.22</v>
      </c>
      <c r="E186" s="12">
        <v>-0.0161</v>
      </c>
      <c r="F186" s="6">
        <v>199.04</v>
      </c>
      <c r="G186" s="6">
        <v>196.27</v>
      </c>
      <c r="H186" s="6">
        <v>199.05</v>
      </c>
      <c r="I186" s="9">
        <v>1.50300028E8</v>
      </c>
      <c r="J186" s="6">
        <v>2.966961688249E10</v>
      </c>
    </row>
    <row r="187">
      <c r="A187" s="4" t="s">
        <v>10</v>
      </c>
      <c r="B187" s="5">
        <v>41908.0</v>
      </c>
      <c r="C187" s="6">
        <v>197.9</v>
      </c>
      <c r="D187" s="13">
        <f>+1.56</f>
        <v>1.56</v>
      </c>
      <c r="E187" s="14">
        <f>+0.79%</f>
        <v>0.0079</v>
      </c>
      <c r="F187" s="6">
        <v>196.7</v>
      </c>
      <c r="G187" s="6">
        <v>196.42</v>
      </c>
      <c r="H187" s="6">
        <v>198.39</v>
      </c>
      <c r="I187" s="9">
        <v>1.0354674E8</v>
      </c>
      <c r="J187" s="6">
        <v>2.049152592416E10</v>
      </c>
    </row>
    <row r="188">
      <c r="A188" s="4" t="s">
        <v>10</v>
      </c>
      <c r="B188" s="5">
        <v>41911.0</v>
      </c>
      <c r="C188" s="6">
        <v>197.54</v>
      </c>
      <c r="D188" s="11">
        <v>-0.36</v>
      </c>
      <c r="E188" s="12">
        <v>-0.0018</v>
      </c>
      <c r="F188" s="6">
        <v>196.2</v>
      </c>
      <c r="G188" s="6">
        <v>196.05</v>
      </c>
      <c r="H188" s="6">
        <v>197.89</v>
      </c>
      <c r="I188" s="9">
        <v>9.5111605E7</v>
      </c>
      <c r="J188" s="6">
        <v>1.875429822736E10</v>
      </c>
    </row>
    <row r="189">
      <c r="A189" s="4" t="s">
        <v>10</v>
      </c>
      <c r="B189" s="5">
        <v>41912.0</v>
      </c>
      <c r="C189" s="6">
        <v>197.02</v>
      </c>
      <c r="D189" s="11">
        <v>-0.52</v>
      </c>
      <c r="E189" s="12">
        <v>-0.0026</v>
      </c>
      <c r="F189" s="6">
        <v>197.69</v>
      </c>
      <c r="G189" s="6">
        <v>196.61</v>
      </c>
      <c r="H189" s="6">
        <v>198.3</v>
      </c>
      <c r="I189" s="9">
        <v>1.31302082E8</v>
      </c>
      <c r="J189" s="6">
        <v>2.630287850381E10</v>
      </c>
    </row>
    <row r="190">
      <c r="A190" s="4" t="s">
        <v>10</v>
      </c>
      <c r="B190" s="5">
        <v>41913.0</v>
      </c>
      <c r="C190" s="6">
        <v>194.35</v>
      </c>
      <c r="D190" s="11">
        <v>-2.67</v>
      </c>
      <c r="E190" s="12">
        <v>-0.0136</v>
      </c>
      <c r="F190" s="6">
        <v>196.7</v>
      </c>
      <c r="G190" s="6">
        <v>193.91</v>
      </c>
      <c r="H190" s="6">
        <v>196.77</v>
      </c>
      <c r="I190" s="9">
        <v>1.77797862E8</v>
      </c>
      <c r="J190" s="6">
        <v>3.471696309684E10</v>
      </c>
    </row>
    <row r="191">
      <c r="A191" s="4" t="s">
        <v>10</v>
      </c>
      <c r="B191" s="5">
        <v>41914.0</v>
      </c>
      <c r="C191" s="6">
        <v>194.38</v>
      </c>
      <c r="D191" s="13">
        <f>+0.03</f>
        <v>0.03</v>
      </c>
      <c r="E191" s="14">
        <f>+0.02%</f>
        <v>0.0002</v>
      </c>
      <c r="F191" s="6">
        <v>194.18</v>
      </c>
      <c r="G191" s="6">
        <v>192.35</v>
      </c>
      <c r="H191" s="6">
        <v>195.06</v>
      </c>
      <c r="I191" s="9">
        <v>1.57285182E8</v>
      </c>
      <c r="J191" s="6">
        <v>3.050985825694E10</v>
      </c>
    </row>
    <row r="192">
      <c r="A192" s="4" t="s">
        <v>10</v>
      </c>
      <c r="B192" s="5">
        <v>41915.0</v>
      </c>
      <c r="C192" s="6">
        <v>196.52</v>
      </c>
      <c r="D192" s="13">
        <f>+2.14</f>
        <v>2.14</v>
      </c>
      <c r="E192" s="14">
        <f>+1.1%</f>
        <v>0.011</v>
      </c>
      <c r="F192" s="6">
        <v>195.68</v>
      </c>
      <c r="G192" s="6">
        <v>195.08</v>
      </c>
      <c r="H192" s="6">
        <v>196.94</v>
      </c>
      <c r="I192" s="9">
        <v>1.21568769E8</v>
      </c>
      <c r="J192" s="6">
        <v>2.394314104956E10</v>
      </c>
    </row>
    <row r="193">
      <c r="A193" s="4" t="s">
        <v>10</v>
      </c>
      <c r="B193" s="5">
        <v>41918.0</v>
      </c>
      <c r="C193" s="6">
        <v>196.29</v>
      </c>
      <c r="D193" s="11">
        <v>-0.23</v>
      </c>
      <c r="E193" s="12">
        <v>-0.0012</v>
      </c>
      <c r="F193" s="6">
        <v>197.34</v>
      </c>
      <c r="G193" s="6">
        <v>195.58</v>
      </c>
      <c r="H193" s="6">
        <v>197.6</v>
      </c>
      <c r="I193" s="9">
        <v>1.04778335E8</v>
      </c>
      <c r="J193" s="6">
        <v>2.061030573361E10</v>
      </c>
    </row>
    <row r="194">
      <c r="A194" s="4" t="s">
        <v>10</v>
      </c>
      <c r="B194" s="5">
        <v>41919.0</v>
      </c>
      <c r="C194" s="6">
        <v>193.26</v>
      </c>
      <c r="D194" s="11">
        <v>-3.03</v>
      </c>
      <c r="E194" s="12">
        <v>-0.0154</v>
      </c>
      <c r="F194" s="6">
        <v>195.28</v>
      </c>
      <c r="G194" s="6">
        <v>193.22</v>
      </c>
      <c r="H194" s="6">
        <v>195.72</v>
      </c>
      <c r="I194" s="9">
        <v>1.47913498E8</v>
      </c>
      <c r="J194" s="6">
        <v>2.891689827339E10</v>
      </c>
    </row>
    <row r="195">
      <c r="A195" s="4" t="s">
        <v>10</v>
      </c>
      <c r="B195" s="5">
        <v>41920.0</v>
      </c>
      <c r="C195" s="6">
        <v>196.64</v>
      </c>
      <c r="D195" s="13">
        <f>+3.38</f>
        <v>3.38</v>
      </c>
      <c r="E195" s="14">
        <f>+1.75%</f>
        <v>0.0175</v>
      </c>
      <c r="F195" s="6">
        <v>193.37</v>
      </c>
      <c r="G195" s="6">
        <v>192.36</v>
      </c>
      <c r="H195" s="6">
        <v>196.92</v>
      </c>
      <c r="I195" s="9">
        <v>1.86461453E8</v>
      </c>
      <c r="J195" s="10"/>
    </row>
    <row r="196">
      <c r="A196" s="4" t="s">
        <v>10</v>
      </c>
      <c r="B196" s="5">
        <v>41921.0</v>
      </c>
      <c r="C196" s="6">
        <v>192.74</v>
      </c>
      <c r="D196" s="11">
        <v>-3.9</v>
      </c>
      <c r="E196" s="12">
        <v>-0.0198</v>
      </c>
      <c r="F196" s="6">
        <v>196.33</v>
      </c>
      <c r="G196" s="6">
        <v>192.58</v>
      </c>
      <c r="H196" s="6">
        <v>196.6</v>
      </c>
      <c r="I196" s="9">
        <v>2.10704601E8</v>
      </c>
      <c r="J196" s="10"/>
    </row>
    <row r="197">
      <c r="A197" s="4" t="s">
        <v>10</v>
      </c>
      <c r="B197" s="5">
        <v>41922.0</v>
      </c>
      <c r="C197" s="6">
        <v>190.54</v>
      </c>
      <c r="D197" s="11">
        <v>-2.2</v>
      </c>
      <c r="E197" s="12">
        <v>-0.0114</v>
      </c>
      <c r="F197" s="6">
        <v>192.69</v>
      </c>
      <c r="G197" s="6">
        <v>190.49</v>
      </c>
      <c r="H197" s="6">
        <v>193.65</v>
      </c>
      <c r="I197" s="9">
        <v>2.21908954E8</v>
      </c>
      <c r="J197" s="10"/>
    </row>
    <row r="198">
      <c r="A198" s="4" t="s">
        <v>10</v>
      </c>
      <c r="B198" s="5">
        <v>41925.0</v>
      </c>
      <c r="C198" s="6">
        <v>187.41</v>
      </c>
      <c r="D198" s="11">
        <v>-3.13</v>
      </c>
      <c r="E198" s="12">
        <v>-0.0164</v>
      </c>
      <c r="F198" s="6">
        <v>190.46</v>
      </c>
      <c r="G198" s="6">
        <v>187.3</v>
      </c>
      <c r="H198" s="6">
        <v>191.15</v>
      </c>
      <c r="I198" s="9">
        <v>2.30938833E8</v>
      </c>
      <c r="J198" s="10"/>
    </row>
    <row r="199">
      <c r="A199" s="4" t="s">
        <v>10</v>
      </c>
      <c r="B199" s="5">
        <v>41926.0</v>
      </c>
      <c r="C199" s="6">
        <v>187.7</v>
      </c>
      <c r="D199" s="13">
        <f>+0.29</f>
        <v>0.29</v>
      </c>
      <c r="E199" s="14">
        <f>+0.15%</f>
        <v>0.0015</v>
      </c>
      <c r="F199" s="6">
        <v>188.42</v>
      </c>
      <c r="G199" s="6">
        <v>187.04</v>
      </c>
      <c r="H199" s="6">
        <v>189.82</v>
      </c>
      <c r="I199" s="9">
        <v>2.15846527E8</v>
      </c>
      <c r="J199" s="10"/>
    </row>
    <row r="200">
      <c r="A200" s="4" t="s">
        <v>10</v>
      </c>
      <c r="B200" s="5">
        <v>41927.0</v>
      </c>
      <c r="C200" s="6">
        <v>186.43</v>
      </c>
      <c r="D200" s="11">
        <v>-1.27</v>
      </c>
      <c r="E200" s="12">
        <v>-0.0068</v>
      </c>
      <c r="F200" s="6">
        <v>185.16</v>
      </c>
      <c r="G200" s="6">
        <v>181.92</v>
      </c>
      <c r="H200" s="6">
        <v>187.69</v>
      </c>
      <c r="I200" s="9">
        <v>3.80714598E8</v>
      </c>
      <c r="J200" s="10"/>
    </row>
    <row r="201">
      <c r="A201" s="4" t="s">
        <v>10</v>
      </c>
      <c r="B201" s="5">
        <v>41928.0</v>
      </c>
      <c r="C201" s="6">
        <v>186.27</v>
      </c>
      <c r="D201" s="11">
        <v>-0.16</v>
      </c>
      <c r="E201" s="12">
        <v>-9.0E-4</v>
      </c>
      <c r="F201" s="6">
        <v>183.06</v>
      </c>
      <c r="G201" s="6">
        <v>182.89</v>
      </c>
      <c r="H201" s="6">
        <v>187.58</v>
      </c>
      <c r="I201" s="9">
        <v>2.70391488E8</v>
      </c>
      <c r="J201" s="10"/>
    </row>
    <row r="202">
      <c r="A202" s="4" t="s">
        <v>10</v>
      </c>
      <c r="B202" s="5">
        <v>41929.0</v>
      </c>
      <c r="C202" s="6">
        <v>188.47</v>
      </c>
      <c r="D202" s="13">
        <f>+2.2</f>
        <v>2.2</v>
      </c>
      <c r="E202" s="14">
        <f>+1.18%</f>
        <v>0.0118</v>
      </c>
      <c r="F202" s="6">
        <v>188.42</v>
      </c>
      <c r="G202" s="6">
        <v>187.62</v>
      </c>
      <c r="H202" s="6">
        <v>189.75</v>
      </c>
      <c r="I202" s="9">
        <v>2.14624921E8</v>
      </c>
      <c r="J202" s="10"/>
    </row>
    <row r="203">
      <c r="A203" s="4" t="s">
        <v>10</v>
      </c>
      <c r="B203" s="5">
        <v>41932.0</v>
      </c>
      <c r="C203" s="6">
        <v>190.3</v>
      </c>
      <c r="D203" s="13">
        <f>+1.83</f>
        <v>1.83</v>
      </c>
      <c r="E203" s="14">
        <f>+0.97%</f>
        <v>0.0097</v>
      </c>
      <c r="F203" s="6">
        <v>188.13</v>
      </c>
      <c r="G203" s="6">
        <v>188.07</v>
      </c>
      <c r="H203" s="6">
        <v>190.45</v>
      </c>
      <c r="I203" s="9">
        <v>1.30010813E8</v>
      </c>
      <c r="J203" s="6">
        <v>2.463148723111E10</v>
      </c>
    </row>
    <row r="204">
      <c r="A204" s="4" t="s">
        <v>10</v>
      </c>
      <c r="B204" s="5">
        <v>41933.0</v>
      </c>
      <c r="C204" s="6">
        <v>194.07</v>
      </c>
      <c r="D204" s="13">
        <f>+3.77</f>
        <v>3.77</v>
      </c>
      <c r="E204" s="14">
        <f>+1.98%</f>
        <v>0.0198</v>
      </c>
      <c r="F204" s="6">
        <v>191.68</v>
      </c>
      <c r="G204" s="6">
        <v>191.48</v>
      </c>
      <c r="H204" s="6">
        <v>194.2</v>
      </c>
      <c r="I204" s="9">
        <v>1.54948579E8</v>
      </c>
      <c r="J204" s="6">
        <v>2.989805869696E10</v>
      </c>
    </row>
    <row r="205">
      <c r="A205" s="4" t="s">
        <v>10</v>
      </c>
      <c r="B205" s="5">
        <v>41934.0</v>
      </c>
      <c r="C205" s="6">
        <v>192.69</v>
      </c>
      <c r="D205" s="11">
        <v>-1.38</v>
      </c>
      <c r="E205" s="12">
        <v>-0.0071</v>
      </c>
      <c r="F205" s="6">
        <v>194.41</v>
      </c>
      <c r="G205" s="6">
        <v>192.61</v>
      </c>
      <c r="H205" s="6">
        <v>194.91</v>
      </c>
      <c r="I205" s="9">
        <v>1.51822409E8</v>
      </c>
      <c r="J205" s="6">
        <v>2.952201733758E10</v>
      </c>
    </row>
    <row r="206">
      <c r="A206" s="4" t="s">
        <v>10</v>
      </c>
      <c r="B206" s="5">
        <v>41935.0</v>
      </c>
      <c r="C206" s="6">
        <v>194.93</v>
      </c>
      <c r="D206" s="13">
        <f>+2.24</f>
        <v>2.24</v>
      </c>
      <c r="E206" s="14">
        <f>+1.16%</f>
        <v>0.0116</v>
      </c>
      <c r="F206" s="6">
        <v>194.62</v>
      </c>
      <c r="G206" s="6">
        <v>194.26</v>
      </c>
      <c r="H206" s="6">
        <v>196.2</v>
      </c>
      <c r="I206" s="9">
        <v>1.54944169E8</v>
      </c>
      <c r="J206" s="6">
        <v>3.031061993309E10</v>
      </c>
    </row>
    <row r="207">
      <c r="A207" s="4" t="s">
        <v>10</v>
      </c>
      <c r="B207" s="5">
        <v>41936.0</v>
      </c>
      <c r="C207" s="6">
        <v>196.43</v>
      </c>
      <c r="D207" s="13">
        <f>+1.5</f>
        <v>1.5</v>
      </c>
      <c r="E207" s="14">
        <f>+0.77%</f>
        <v>0.0077</v>
      </c>
      <c r="F207" s="6">
        <v>195.25</v>
      </c>
      <c r="G207" s="6">
        <v>194.49</v>
      </c>
      <c r="H207" s="6">
        <v>196.49</v>
      </c>
      <c r="I207" s="9">
        <v>1.17927286E8</v>
      </c>
      <c r="J207" s="6">
        <v>2.308312479821E10</v>
      </c>
    </row>
    <row r="208">
      <c r="A208" s="4" t="s">
        <v>10</v>
      </c>
      <c r="B208" s="5">
        <v>41939.0</v>
      </c>
      <c r="C208" s="6">
        <v>196.16</v>
      </c>
      <c r="D208" s="11">
        <v>-0.27</v>
      </c>
      <c r="E208" s="12">
        <v>-0.0014</v>
      </c>
      <c r="F208" s="6">
        <v>195.73</v>
      </c>
      <c r="G208" s="6">
        <v>195.03</v>
      </c>
      <c r="H208" s="6">
        <v>196.45</v>
      </c>
      <c r="I208" s="9">
        <v>8.2953689E7</v>
      </c>
      <c r="J208" s="6">
        <v>1.62494366062E10</v>
      </c>
    </row>
    <row r="209">
      <c r="A209" s="4" t="s">
        <v>10</v>
      </c>
      <c r="B209" s="5">
        <v>41940.0</v>
      </c>
      <c r="C209" s="6">
        <v>198.41</v>
      </c>
      <c r="D209" s="13">
        <f>+2.25</f>
        <v>2.25</v>
      </c>
      <c r="E209" s="14">
        <f>+1.15%</f>
        <v>0.0115</v>
      </c>
      <c r="F209" s="6">
        <v>196.82</v>
      </c>
      <c r="G209" s="6">
        <v>196.73</v>
      </c>
      <c r="H209" s="6">
        <v>198.42</v>
      </c>
      <c r="I209" s="9">
        <v>1.06735936E8</v>
      </c>
      <c r="J209" s="6">
        <v>2.113469933918E10</v>
      </c>
    </row>
    <row r="210">
      <c r="A210" s="4" t="s">
        <v>10</v>
      </c>
      <c r="B210" s="5">
        <v>41941.0</v>
      </c>
      <c r="C210" s="6">
        <v>198.11</v>
      </c>
      <c r="D210" s="11">
        <v>-0.3</v>
      </c>
      <c r="E210" s="12">
        <v>-0.0015</v>
      </c>
      <c r="F210" s="6">
        <v>198.55</v>
      </c>
      <c r="G210" s="6">
        <v>196.8</v>
      </c>
      <c r="H210" s="6">
        <v>199.12</v>
      </c>
      <c r="I210" s="9">
        <v>1.42557417E8</v>
      </c>
      <c r="J210" s="6">
        <v>2.8231923911E10</v>
      </c>
    </row>
    <row r="211">
      <c r="A211" s="4" t="s">
        <v>10</v>
      </c>
      <c r="B211" s="5">
        <v>41942.0</v>
      </c>
      <c r="C211" s="6">
        <v>199.38</v>
      </c>
      <c r="D211" s="13">
        <f>+1.27</f>
        <v>1.27</v>
      </c>
      <c r="E211" s="14">
        <f>+0.64%</f>
        <v>0.0064</v>
      </c>
      <c r="F211" s="6">
        <v>197.58</v>
      </c>
      <c r="G211" s="6">
        <v>197.4</v>
      </c>
      <c r="H211" s="6">
        <v>199.95</v>
      </c>
      <c r="I211" s="9">
        <v>1.13329976E8</v>
      </c>
      <c r="J211" s="6">
        <v>2.384395653219E10</v>
      </c>
    </row>
    <row r="212">
      <c r="A212" s="4" t="s">
        <v>10</v>
      </c>
      <c r="B212" s="5">
        <v>41943.0</v>
      </c>
      <c r="C212" s="6">
        <v>201.66</v>
      </c>
      <c r="D212" s="13">
        <f>+2.28</f>
        <v>2.28</v>
      </c>
      <c r="E212" s="14">
        <f>+1.14%</f>
        <v>0.0114</v>
      </c>
      <c r="F212" s="6">
        <v>201.78</v>
      </c>
      <c r="G212" s="6">
        <v>200.77</v>
      </c>
      <c r="H212" s="6">
        <v>201.82</v>
      </c>
      <c r="I212" s="9">
        <v>1.46902554E8</v>
      </c>
      <c r="J212" s="6">
        <v>2.956550348203E10</v>
      </c>
    </row>
    <row r="213">
      <c r="A213" s="4" t="s">
        <v>10</v>
      </c>
      <c r="B213" s="5">
        <v>41946.0</v>
      </c>
      <c r="C213" s="6">
        <v>201.77</v>
      </c>
      <c r="D213" s="13">
        <f>+0.11</f>
        <v>0.11</v>
      </c>
      <c r="E213" s="14">
        <f>+0.05%</f>
        <v>0.0005</v>
      </c>
      <c r="F213" s="6">
        <v>201.92</v>
      </c>
      <c r="G213" s="6">
        <v>201.31</v>
      </c>
      <c r="H213" s="6">
        <v>202.45</v>
      </c>
      <c r="I213" s="9">
        <v>9.3734143E7</v>
      </c>
      <c r="J213" s="6">
        <v>1.901532032674E10</v>
      </c>
    </row>
    <row r="214">
      <c r="A214" s="4" t="s">
        <v>10</v>
      </c>
      <c r="B214" s="5">
        <v>41947.0</v>
      </c>
      <c r="C214" s="6">
        <v>201.07</v>
      </c>
      <c r="D214" s="11">
        <v>-0.7</v>
      </c>
      <c r="E214" s="12">
        <v>-0.0035</v>
      </c>
      <c r="F214" s="6">
        <v>201.23</v>
      </c>
      <c r="G214" s="6">
        <v>200.06</v>
      </c>
      <c r="H214" s="6">
        <v>201.6</v>
      </c>
      <c r="I214" s="9">
        <v>9.3342777E7</v>
      </c>
      <c r="J214" s="6">
        <v>1.880115384744E10</v>
      </c>
    </row>
    <row r="215">
      <c r="A215" s="4" t="s">
        <v>10</v>
      </c>
      <c r="B215" s="5">
        <v>41948.0</v>
      </c>
      <c r="C215" s="6">
        <v>202.34</v>
      </c>
      <c r="D215" s="13">
        <f>+1.27</f>
        <v>1.27</v>
      </c>
      <c r="E215" s="14">
        <f>+0.63%</f>
        <v>0.0063</v>
      </c>
      <c r="F215" s="6">
        <v>202.54</v>
      </c>
      <c r="G215" s="6">
        <v>201.45</v>
      </c>
      <c r="H215" s="6">
        <v>202.59</v>
      </c>
      <c r="I215" s="9">
        <v>9.1708574E7</v>
      </c>
      <c r="J215" s="6">
        <v>1.852920875E10</v>
      </c>
    </row>
    <row r="216">
      <c r="A216" s="4" t="s">
        <v>10</v>
      </c>
      <c r="B216" s="5">
        <v>41949.0</v>
      </c>
      <c r="C216" s="6">
        <v>203.15</v>
      </c>
      <c r="D216" s="13">
        <f>+0.81</f>
        <v>0.81</v>
      </c>
      <c r="E216" s="14">
        <f>+0.4%</f>
        <v>0.004</v>
      </c>
      <c r="F216" s="6">
        <v>202.39</v>
      </c>
      <c r="G216" s="6">
        <v>201.64</v>
      </c>
      <c r="H216" s="6">
        <v>203.26</v>
      </c>
      <c r="I216" s="9">
        <v>1.07089076E8</v>
      </c>
      <c r="J216" s="6">
        <v>2.191379830152E10</v>
      </c>
    </row>
    <row r="217">
      <c r="A217" s="4" t="s">
        <v>10</v>
      </c>
      <c r="B217" s="5">
        <v>41950.0</v>
      </c>
      <c r="C217" s="6">
        <v>203.34</v>
      </c>
      <c r="D217" s="13">
        <f>+0.19</f>
        <v>0.19</v>
      </c>
      <c r="E217" s="14">
        <f>+0.09%</f>
        <v>0.0009</v>
      </c>
      <c r="F217" s="6">
        <v>203.17</v>
      </c>
      <c r="G217" s="6">
        <v>202.61</v>
      </c>
      <c r="H217" s="6">
        <v>203.6</v>
      </c>
      <c r="I217" s="9">
        <v>8.9539712E7</v>
      </c>
      <c r="J217" s="6">
        <v>1.830891267239E10</v>
      </c>
    </row>
    <row r="218">
      <c r="A218" s="4" t="s">
        <v>10</v>
      </c>
      <c r="B218" s="5">
        <v>41953.0</v>
      </c>
      <c r="C218" s="6">
        <v>203.98</v>
      </c>
      <c r="D218" s="13">
        <f>+0.64</f>
        <v>0.64</v>
      </c>
      <c r="E218" s="14">
        <f>+0.31%</f>
        <v>0.0031</v>
      </c>
      <c r="F218" s="6">
        <v>203.38</v>
      </c>
      <c r="G218" s="6">
        <v>203.13</v>
      </c>
      <c r="H218" s="6">
        <v>204.04</v>
      </c>
      <c r="I218" s="9">
        <v>6.6318964E7</v>
      </c>
      <c r="J218" s="6">
        <v>1.350825470184E10</v>
      </c>
    </row>
    <row r="219">
      <c r="A219" s="4" t="s">
        <v>10</v>
      </c>
      <c r="B219" s="5">
        <v>41954.0</v>
      </c>
      <c r="C219" s="6">
        <v>204.18</v>
      </c>
      <c r="D219" s="13">
        <f>+0.2</f>
        <v>0.2</v>
      </c>
      <c r="E219" s="14">
        <f>+0.1%</f>
        <v>0.001</v>
      </c>
      <c r="F219" s="6">
        <v>204.06</v>
      </c>
      <c r="G219" s="6">
        <v>203.65</v>
      </c>
      <c r="H219" s="6">
        <v>204.31</v>
      </c>
      <c r="I219" s="9">
        <v>5.4499375E7</v>
      </c>
      <c r="J219" s="6">
        <v>1.111666702603E10</v>
      </c>
    </row>
    <row r="220">
      <c r="A220" s="4" t="s">
        <v>10</v>
      </c>
      <c r="B220" s="5">
        <v>41955.0</v>
      </c>
      <c r="C220" s="6">
        <v>203.96</v>
      </c>
      <c r="D220" s="11">
        <v>-0.22</v>
      </c>
      <c r="E220" s="12">
        <v>-0.0011</v>
      </c>
      <c r="F220" s="6">
        <v>203.35</v>
      </c>
      <c r="G220" s="6">
        <v>203.31</v>
      </c>
      <c r="H220" s="6">
        <v>204.24</v>
      </c>
      <c r="I220" s="9">
        <v>9.0120295E7</v>
      </c>
      <c r="J220" s="6">
        <v>1.860117814965E10</v>
      </c>
    </row>
    <row r="221">
      <c r="A221" s="4" t="s">
        <v>10</v>
      </c>
      <c r="B221" s="5">
        <v>41956.0</v>
      </c>
      <c r="C221" s="6">
        <v>204.19</v>
      </c>
      <c r="D221" s="13">
        <f>+0.23</f>
        <v>0.23</v>
      </c>
      <c r="E221" s="14">
        <f>+0.11%</f>
        <v>0.0011</v>
      </c>
      <c r="F221" s="6">
        <v>204.16</v>
      </c>
      <c r="G221" s="6">
        <v>203.21</v>
      </c>
      <c r="H221" s="6">
        <v>204.83</v>
      </c>
      <c r="I221" s="9">
        <v>8.5357918E7</v>
      </c>
      <c r="J221" s="6">
        <v>1.741982161632E10</v>
      </c>
    </row>
    <row r="222">
      <c r="A222" s="4" t="s">
        <v>10</v>
      </c>
      <c r="B222" s="5">
        <v>41957.0</v>
      </c>
      <c r="C222" s="6">
        <v>204.24</v>
      </c>
      <c r="D222" s="13">
        <f>+0.05</f>
        <v>0.05</v>
      </c>
      <c r="E222" s="14">
        <f>+0.02%</f>
        <v>0.0002</v>
      </c>
      <c r="F222" s="6">
        <v>204.1</v>
      </c>
      <c r="G222" s="6">
        <v>203.72</v>
      </c>
      <c r="H222" s="6">
        <v>204.49</v>
      </c>
      <c r="I222" s="9">
        <v>8.0417514E7</v>
      </c>
      <c r="J222" s="6">
        <v>1.682549476427E10</v>
      </c>
    </row>
    <row r="223">
      <c r="A223" s="4" t="s">
        <v>10</v>
      </c>
      <c r="B223" s="5">
        <v>41960.0</v>
      </c>
      <c r="C223" s="6">
        <v>204.37</v>
      </c>
      <c r="D223" s="13">
        <f>+0.13</f>
        <v>0.13</v>
      </c>
      <c r="E223" s="14">
        <f>+0.06%</f>
        <v>0.0006</v>
      </c>
      <c r="F223" s="6">
        <v>203.85</v>
      </c>
      <c r="G223" s="6">
        <v>203.65</v>
      </c>
      <c r="H223" s="6">
        <v>204.58</v>
      </c>
      <c r="I223" s="9">
        <v>8.0440954E7</v>
      </c>
      <c r="J223" s="6">
        <v>1.642768448119E10</v>
      </c>
    </row>
    <row r="224">
      <c r="A224" s="4" t="s">
        <v>10</v>
      </c>
      <c r="B224" s="5">
        <v>41961.0</v>
      </c>
      <c r="C224" s="6">
        <v>205.55</v>
      </c>
      <c r="D224" s="13">
        <f>+1.18</f>
        <v>1.18</v>
      </c>
      <c r="E224" s="14">
        <f>+0.58%</f>
        <v>0.0058</v>
      </c>
      <c r="F224" s="6">
        <v>204.44</v>
      </c>
      <c r="G224" s="6">
        <v>204.44</v>
      </c>
      <c r="H224" s="6">
        <v>205.92</v>
      </c>
      <c r="I224" s="9">
        <v>7.6068107E7</v>
      </c>
      <c r="J224" s="6">
        <v>1.573043594191E10</v>
      </c>
    </row>
    <row r="225">
      <c r="A225" s="4" t="s">
        <v>10</v>
      </c>
      <c r="B225" s="5">
        <v>41962.0</v>
      </c>
      <c r="C225" s="6">
        <v>205.22</v>
      </c>
      <c r="D225" s="11">
        <v>-0.33</v>
      </c>
      <c r="E225" s="12">
        <v>-0.0016</v>
      </c>
      <c r="F225" s="6">
        <v>205.31</v>
      </c>
      <c r="G225" s="6">
        <v>204.3</v>
      </c>
      <c r="H225" s="6">
        <v>205.55</v>
      </c>
      <c r="I225" s="9">
        <v>8.2373009E7</v>
      </c>
      <c r="J225" s="6">
        <v>1.688385900441E10</v>
      </c>
    </row>
    <row r="226">
      <c r="A226" s="4" t="s">
        <v>10</v>
      </c>
      <c r="B226" s="5">
        <v>41963.0</v>
      </c>
      <c r="C226" s="6">
        <v>205.58</v>
      </c>
      <c r="D226" s="13">
        <f>+0.36</f>
        <v>0.36</v>
      </c>
      <c r="E226" s="14">
        <f>+0.18%</f>
        <v>0.0018</v>
      </c>
      <c r="F226" s="6">
        <v>204.26</v>
      </c>
      <c r="G226" s="6">
        <v>204.18</v>
      </c>
      <c r="H226" s="6">
        <v>205.71</v>
      </c>
      <c r="I226" s="9">
        <v>7.2840326E7</v>
      </c>
      <c r="J226" s="6">
        <v>1.497361602562E10</v>
      </c>
    </row>
    <row r="227">
      <c r="A227" s="4" t="s">
        <v>10</v>
      </c>
      <c r="B227" s="5">
        <v>41964.0</v>
      </c>
      <c r="C227" s="6">
        <v>206.68</v>
      </c>
      <c r="D227" s="13">
        <f>+1.1</f>
        <v>1.1</v>
      </c>
      <c r="E227" s="14">
        <f>+0.54%</f>
        <v>0.0054</v>
      </c>
      <c r="F227" s="6">
        <v>207.64</v>
      </c>
      <c r="G227" s="6">
        <v>205.98</v>
      </c>
      <c r="H227" s="6">
        <v>207.84</v>
      </c>
      <c r="I227" s="9">
        <v>1.42327285E8</v>
      </c>
      <c r="J227" s="6">
        <v>2.948214462367E10</v>
      </c>
    </row>
    <row r="228">
      <c r="A228" s="4" t="s">
        <v>10</v>
      </c>
      <c r="B228" s="5">
        <v>41967.0</v>
      </c>
      <c r="C228" s="6">
        <v>207.26</v>
      </c>
      <c r="D228" s="13">
        <f>+0.58</f>
        <v>0.58</v>
      </c>
      <c r="E228" s="14">
        <f>+0.28%</f>
        <v>0.0028</v>
      </c>
      <c r="F228" s="6">
        <v>207.17</v>
      </c>
      <c r="G228" s="6">
        <v>206.91</v>
      </c>
      <c r="H228" s="6">
        <v>207.39</v>
      </c>
      <c r="I228" s="9">
        <v>6.5880759E7</v>
      </c>
      <c r="J228" s="6">
        <v>1.370376110329E10</v>
      </c>
    </row>
    <row r="229">
      <c r="A229" s="4" t="s">
        <v>10</v>
      </c>
      <c r="B229" s="5">
        <v>41968.0</v>
      </c>
      <c r="C229" s="6">
        <v>207.11</v>
      </c>
      <c r="D229" s="11">
        <v>-0.15</v>
      </c>
      <c r="E229" s="12">
        <v>-7.0E-4</v>
      </c>
      <c r="F229" s="6">
        <v>207.54</v>
      </c>
      <c r="G229" s="6">
        <v>206.8</v>
      </c>
      <c r="H229" s="6">
        <v>207.79</v>
      </c>
      <c r="I229" s="9">
        <v>7.9108301E7</v>
      </c>
      <c r="J229" s="6">
        <v>1.641441553045E10</v>
      </c>
    </row>
    <row r="230">
      <c r="A230" s="4" t="s">
        <v>10</v>
      </c>
      <c r="B230" s="5">
        <v>41969.0</v>
      </c>
      <c r="C230" s="6">
        <v>207.64</v>
      </c>
      <c r="D230" s="13">
        <f>+0.53</f>
        <v>0.53</v>
      </c>
      <c r="E230" s="14">
        <f>+0.26%</f>
        <v>0.0026</v>
      </c>
      <c r="F230" s="6">
        <v>207.29</v>
      </c>
      <c r="G230" s="6">
        <v>207.03</v>
      </c>
      <c r="H230" s="6">
        <v>207.76</v>
      </c>
      <c r="I230" s="9">
        <v>6.2167832E7</v>
      </c>
      <c r="J230" s="6">
        <v>1.289945205539E10</v>
      </c>
    </row>
    <row r="231">
      <c r="A231" s="4" t="s">
        <v>10</v>
      </c>
      <c r="B231" s="5">
        <v>41971.0</v>
      </c>
      <c r="C231" s="6">
        <v>207.2</v>
      </c>
      <c r="D231" s="11">
        <v>-0.44</v>
      </c>
      <c r="E231" s="12">
        <v>-0.0021</v>
      </c>
      <c r="F231" s="6">
        <v>207.49</v>
      </c>
      <c r="G231" s="6">
        <v>206.91</v>
      </c>
      <c r="H231" s="6">
        <v>207.87</v>
      </c>
      <c r="I231" s="9">
        <v>5.7890088E7</v>
      </c>
      <c r="J231" s="6">
        <v>1.205719715361E10</v>
      </c>
    </row>
    <row r="232">
      <c r="A232" s="4" t="s">
        <v>10</v>
      </c>
      <c r="B232" s="5">
        <v>41974.0</v>
      </c>
      <c r="C232" s="6">
        <v>205.76</v>
      </c>
      <c r="D232" s="11">
        <v>-1.44</v>
      </c>
      <c r="E232" s="12">
        <v>-0.0069</v>
      </c>
      <c r="F232" s="6">
        <v>206.4</v>
      </c>
      <c r="G232" s="6">
        <v>205.38</v>
      </c>
      <c r="H232" s="6">
        <v>206.54</v>
      </c>
      <c r="I232" s="9">
        <v>1.03968354E8</v>
      </c>
      <c r="J232" s="6">
        <v>2.134280231869E10</v>
      </c>
    </row>
    <row r="233">
      <c r="A233" s="4" t="s">
        <v>10</v>
      </c>
      <c r="B233" s="5">
        <v>41975.0</v>
      </c>
      <c r="C233" s="6">
        <v>207.09</v>
      </c>
      <c r="D233" s="13">
        <f>+1.33</f>
        <v>1.33</v>
      </c>
      <c r="E233" s="14">
        <f>+0.64%</f>
        <v>0.0064</v>
      </c>
      <c r="F233" s="6">
        <v>205.81</v>
      </c>
      <c r="G233" s="6">
        <v>205.78</v>
      </c>
      <c r="H233" s="6">
        <v>207.34</v>
      </c>
      <c r="I233" s="9">
        <v>7.4507192E7</v>
      </c>
      <c r="J233" s="6">
        <v>1.540072207134E10</v>
      </c>
    </row>
    <row r="234">
      <c r="A234" s="4" t="s">
        <v>10</v>
      </c>
      <c r="B234" s="5">
        <v>41976.0</v>
      </c>
      <c r="C234" s="6">
        <v>207.89</v>
      </c>
      <c r="D234" s="13">
        <f>+0.8</f>
        <v>0.8</v>
      </c>
      <c r="E234" s="14">
        <f>+0.39%</f>
        <v>0.0039</v>
      </c>
      <c r="F234" s="6">
        <v>207.3</v>
      </c>
      <c r="G234" s="6">
        <v>207.1</v>
      </c>
      <c r="H234" s="6">
        <v>208.15</v>
      </c>
      <c r="I234" s="9">
        <v>6.8951968E7</v>
      </c>
      <c r="J234" s="6">
        <v>1.45962945026E10</v>
      </c>
    </row>
    <row r="235">
      <c r="A235" s="4" t="s">
        <v>10</v>
      </c>
      <c r="B235" s="5">
        <v>41977.0</v>
      </c>
      <c r="C235" s="6">
        <v>207.66</v>
      </c>
      <c r="D235" s="11">
        <v>-0.23</v>
      </c>
      <c r="E235" s="12">
        <v>-0.0011</v>
      </c>
      <c r="F235" s="6">
        <v>207.54</v>
      </c>
      <c r="G235" s="6">
        <v>206.7</v>
      </c>
      <c r="H235" s="6">
        <v>208.27</v>
      </c>
      <c r="I235" s="9">
        <v>9.1316591E7</v>
      </c>
      <c r="J235" s="6">
        <v>1.895704715931E10</v>
      </c>
    </row>
    <row r="236">
      <c r="A236" s="4" t="s">
        <v>10</v>
      </c>
      <c r="B236" s="5">
        <v>41978.0</v>
      </c>
      <c r="C236" s="6">
        <v>208.0</v>
      </c>
      <c r="D236" s="13">
        <f>+0.34</f>
        <v>0.34</v>
      </c>
      <c r="E236" s="14">
        <f>+0.16%</f>
        <v>0.0016</v>
      </c>
      <c r="F236" s="6">
        <v>207.87</v>
      </c>
      <c r="G236" s="6">
        <v>207.55</v>
      </c>
      <c r="H236" s="6">
        <v>208.47</v>
      </c>
      <c r="I236" s="9">
        <v>9.102547E7</v>
      </c>
      <c r="J236" s="6">
        <v>1.956635995115E10</v>
      </c>
    </row>
    <row r="237">
      <c r="A237" s="4" t="s">
        <v>10</v>
      </c>
      <c r="B237" s="5">
        <v>41981.0</v>
      </c>
      <c r="C237" s="6">
        <v>206.61</v>
      </c>
      <c r="D237" s="11">
        <v>-1.39</v>
      </c>
      <c r="E237" s="12">
        <v>-0.0067</v>
      </c>
      <c r="F237" s="6">
        <v>207.52</v>
      </c>
      <c r="G237" s="6">
        <v>205.93</v>
      </c>
      <c r="H237" s="6">
        <v>208.12</v>
      </c>
      <c r="I237" s="9">
        <v>1.08588152E8</v>
      </c>
      <c r="J237" s="6">
        <v>2.347840511936E10</v>
      </c>
    </row>
    <row r="238">
      <c r="A238" s="4" t="s">
        <v>10</v>
      </c>
      <c r="B238" s="5">
        <v>41982.0</v>
      </c>
      <c r="C238" s="6">
        <v>206.47</v>
      </c>
      <c r="D238" s="11">
        <v>-0.14</v>
      </c>
      <c r="E238" s="12">
        <v>-7.0E-4</v>
      </c>
      <c r="F238" s="6">
        <v>204.37</v>
      </c>
      <c r="G238" s="6">
        <v>203.91</v>
      </c>
      <c r="H238" s="6">
        <v>206.6</v>
      </c>
      <c r="I238" s="9">
        <v>1.25180054E8</v>
      </c>
      <c r="J238" s="6">
        <v>2.570930333959E10</v>
      </c>
    </row>
    <row r="239">
      <c r="A239" s="4" t="s">
        <v>10</v>
      </c>
      <c r="B239" s="5">
        <v>41983.0</v>
      </c>
      <c r="C239" s="6">
        <v>203.16</v>
      </c>
      <c r="D239" s="11">
        <v>-3.31</v>
      </c>
      <c r="E239" s="12">
        <v>-0.016</v>
      </c>
      <c r="F239" s="6">
        <v>205.91</v>
      </c>
      <c r="G239" s="6">
        <v>202.93</v>
      </c>
      <c r="H239" s="6">
        <v>205.98</v>
      </c>
      <c r="I239" s="9">
        <v>1.59856394E8</v>
      </c>
      <c r="J239" s="6">
        <v>3.269313179691E10</v>
      </c>
    </row>
    <row r="240">
      <c r="A240" s="4" t="s">
        <v>10</v>
      </c>
      <c r="B240" s="5">
        <v>41984.0</v>
      </c>
      <c r="C240" s="6">
        <v>204.19</v>
      </c>
      <c r="D240" s="13">
        <f>+1.03</f>
        <v>1.03</v>
      </c>
      <c r="E240" s="14">
        <f>+0.51%</f>
        <v>0.0051</v>
      </c>
      <c r="F240" s="6">
        <v>203.88</v>
      </c>
      <c r="G240" s="6">
        <v>203.71</v>
      </c>
      <c r="H240" s="6">
        <v>206.19</v>
      </c>
      <c r="I240" s="9">
        <v>1.59012805E8</v>
      </c>
      <c r="J240" s="6">
        <v>3.342672704084E10</v>
      </c>
    </row>
    <row r="241">
      <c r="A241" s="4" t="s">
        <v>10</v>
      </c>
      <c r="B241" s="5">
        <v>41985.0</v>
      </c>
      <c r="C241" s="6">
        <v>200.89</v>
      </c>
      <c r="D241" s="11">
        <v>-3.3</v>
      </c>
      <c r="E241" s="12">
        <v>-0.0162</v>
      </c>
      <c r="F241" s="6">
        <v>202.64</v>
      </c>
      <c r="G241" s="6">
        <v>200.85</v>
      </c>
      <c r="H241" s="6">
        <v>203.82</v>
      </c>
      <c r="I241" s="9">
        <v>2.02330191E8</v>
      </c>
      <c r="J241" s="10"/>
    </row>
    <row r="242">
      <c r="A242" s="4" t="s">
        <v>10</v>
      </c>
      <c r="B242" s="5">
        <v>41988.0</v>
      </c>
      <c r="C242" s="6">
        <v>199.51</v>
      </c>
      <c r="D242" s="11">
        <v>-1.38</v>
      </c>
      <c r="E242" s="12">
        <v>-0.0069</v>
      </c>
      <c r="F242" s="6">
        <v>201.98</v>
      </c>
      <c r="G242" s="6">
        <v>198.78</v>
      </c>
      <c r="H242" s="6">
        <v>202.53</v>
      </c>
      <c r="I242" s="9">
        <v>1.8996575E8</v>
      </c>
      <c r="J242" s="10"/>
    </row>
    <row r="243">
      <c r="A243" s="4" t="s">
        <v>10</v>
      </c>
      <c r="B243" s="5">
        <v>41989.0</v>
      </c>
      <c r="C243" s="6">
        <v>197.91</v>
      </c>
      <c r="D243" s="11">
        <v>-1.6</v>
      </c>
      <c r="E243" s="12">
        <v>-0.008</v>
      </c>
      <c r="F243" s="6">
        <v>198.58</v>
      </c>
      <c r="G243" s="6">
        <v>197.86</v>
      </c>
      <c r="H243" s="6">
        <v>202.4</v>
      </c>
      <c r="I243" s="9">
        <v>2.59543848E8</v>
      </c>
      <c r="J243" s="10"/>
    </row>
    <row r="244">
      <c r="A244" s="4" t="s">
        <v>10</v>
      </c>
      <c r="B244" s="5">
        <v>41990.0</v>
      </c>
      <c r="C244" s="6">
        <v>201.79</v>
      </c>
      <c r="D244" s="13">
        <f>+3.88</f>
        <v>3.88</v>
      </c>
      <c r="E244" s="14">
        <f>+1.96%</f>
        <v>0.0196</v>
      </c>
      <c r="F244" s="6">
        <v>198.44</v>
      </c>
      <c r="G244" s="6">
        <v>198.29</v>
      </c>
      <c r="H244" s="6">
        <v>202.34</v>
      </c>
      <c r="I244" s="9">
        <v>2.53910092E8</v>
      </c>
      <c r="J244" s="10"/>
    </row>
    <row r="245">
      <c r="A245" s="4" t="s">
        <v>10</v>
      </c>
      <c r="B245" s="5">
        <v>41991.0</v>
      </c>
      <c r="C245" s="6">
        <v>206.78</v>
      </c>
      <c r="D245" s="13">
        <f>+4.99</f>
        <v>4.99</v>
      </c>
      <c r="E245" s="14">
        <f>+2.47%</f>
        <v>0.0247</v>
      </c>
      <c r="F245" s="6">
        <v>204.74</v>
      </c>
      <c r="G245" s="6">
        <v>203.92</v>
      </c>
      <c r="H245" s="6">
        <v>212.97</v>
      </c>
      <c r="I245" s="9">
        <v>2.57633887E8</v>
      </c>
      <c r="J245" s="10"/>
    </row>
    <row r="246">
      <c r="A246" s="4" t="s">
        <v>10</v>
      </c>
      <c r="B246" s="5">
        <v>41992.0</v>
      </c>
      <c r="C246" s="6">
        <v>206.52</v>
      </c>
      <c r="D246" s="11">
        <v>-0.26</v>
      </c>
      <c r="E246" s="12">
        <v>-0.0013</v>
      </c>
      <c r="F246" s="6">
        <v>206.43</v>
      </c>
      <c r="G246" s="6">
        <v>205.61</v>
      </c>
      <c r="H246" s="6">
        <v>207.33</v>
      </c>
      <c r="I246" s="9">
        <v>2.4508459E8</v>
      </c>
      <c r="J246" s="10"/>
    </row>
    <row r="247">
      <c r="A247" s="4" t="s">
        <v>10</v>
      </c>
      <c r="B247" s="5">
        <v>41995.0</v>
      </c>
      <c r="C247" s="6">
        <v>207.47</v>
      </c>
      <c r="D247" s="13">
        <f>+0.95</f>
        <v>0.95</v>
      </c>
      <c r="E247" s="14">
        <f>+0.46%</f>
        <v>0.0046</v>
      </c>
      <c r="F247" s="6">
        <v>206.75</v>
      </c>
      <c r="G247" s="6">
        <v>206.46</v>
      </c>
      <c r="H247" s="6">
        <v>207.47</v>
      </c>
      <c r="I247" s="9">
        <v>1.48318934E8</v>
      </c>
      <c r="J247" s="6">
        <v>3.082417076217E10</v>
      </c>
    </row>
    <row r="248">
      <c r="A248" s="4" t="s">
        <v>10</v>
      </c>
      <c r="B248" s="5">
        <v>41996.0</v>
      </c>
      <c r="C248" s="6">
        <v>207.75</v>
      </c>
      <c r="D248" s="13">
        <f>+0.28</f>
        <v>0.28</v>
      </c>
      <c r="E248" s="14">
        <f>+0.13%</f>
        <v>0.0013</v>
      </c>
      <c r="F248" s="6">
        <v>208.17</v>
      </c>
      <c r="G248" s="6">
        <v>207.4</v>
      </c>
      <c r="H248" s="6">
        <v>208.23</v>
      </c>
      <c r="I248" s="9">
        <v>1.22167931E8</v>
      </c>
      <c r="J248" s="6">
        <v>2.56589153114E10</v>
      </c>
    </row>
    <row r="249">
      <c r="A249" s="4" t="s">
        <v>10</v>
      </c>
      <c r="B249" s="5">
        <v>41997.0</v>
      </c>
      <c r="C249" s="6">
        <v>207.77</v>
      </c>
      <c r="D249" s="13">
        <f>+0.02</f>
        <v>0.02</v>
      </c>
      <c r="E249" s="14">
        <f>+0.01%</f>
        <v>0.0001</v>
      </c>
      <c r="F249" s="6">
        <v>208.02</v>
      </c>
      <c r="G249" s="6">
        <v>207.72</v>
      </c>
      <c r="H249" s="6">
        <v>208.34</v>
      </c>
      <c r="I249" s="9">
        <v>4.2963399E7</v>
      </c>
      <c r="J249" s="6">
        <v>8.98123865935E9</v>
      </c>
    </row>
    <row r="250">
      <c r="A250" s="4" t="s">
        <v>10</v>
      </c>
      <c r="B250" s="5">
        <v>41999.0</v>
      </c>
      <c r="C250" s="6">
        <v>208.44</v>
      </c>
      <c r="D250" s="13">
        <f>+0.67</f>
        <v>0.67</v>
      </c>
      <c r="E250" s="14">
        <f>+0.32%</f>
        <v>0.0032</v>
      </c>
      <c r="F250" s="6">
        <v>208.31</v>
      </c>
      <c r="G250" s="6">
        <v>208.25</v>
      </c>
      <c r="H250" s="6">
        <v>208.85</v>
      </c>
      <c r="I250" s="9">
        <v>5.7326703E7</v>
      </c>
      <c r="J250" s="6">
        <v>1.233866695697E10</v>
      </c>
    </row>
    <row r="251">
      <c r="A251" s="4" t="s">
        <v>10</v>
      </c>
      <c r="B251" s="5">
        <v>42002.0</v>
      </c>
      <c r="C251" s="6">
        <v>208.72</v>
      </c>
      <c r="D251" s="13">
        <f>+0.28</f>
        <v>0.28</v>
      </c>
      <c r="E251" s="14">
        <f>+0.13%</f>
        <v>0.0013</v>
      </c>
      <c r="F251" s="6">
        <v>208.22</v>
      </c>
      <c r="G251" s="6">
        <v>208.14</v>
      </c>
      <c r="H251" s="6">
        <v>208.97</v>
      </c>
      <c r="I251" s="9">
        <v>7.9643948E7</v>
      </c>
      <c r="J251" s="6">
        <v>1.665738996121E10</v>
      </c>
    </row>
    <row r="252">
      <c r="A252" s="4" t="s">
        <v>10</v>
      </c>
      <c r="B252" s="5">
        <v>42003.0</v>
      </c>
      <c r="C252" s="6">
        <v>207.6</v>
      </c>
      <c r="D252" s="11">
        <v>-1.12</v>
      </c>
      <c r="E252" s="12">
        <v>-0.0054</v>
      </c>
      <c r="F252" s="6">
        <v>208.21</v>
      </c>
      <c r="G252" s="6">
        <v>207.51</v>
      </c>
      <c r="H252" s="6">
        <v>208.37</v>
      </c>
      <c r="I252" s="9">
        <v>7.3540761E7</v>
      </c>
      <c r="J252" s="6">
        <v>1.538839960296E10</v>
      </c>
    </row>
    <row r="253">
      <c r="A253" s="4" t="s">
        <v>10</v>
      </c>
      <c r="B253" s="5">
        <v>42004.0</v>
      </c>
      <c r="C253" s="6">
        <v>205.54</v>
      </c>
      <c r="D253" s="11">
        <v>-2.06</v>
      </c>
      <c r="E253" s="12">
        <v>-0.0099</v>
      </c>
      <c r="F253" s="6">
        <v>207.99</v>
      </c>
      <c r="G253" s="6">
        <v>205.39</v>
      </c>
      <c r="H253" s="6">
        <v>208.19</v>
      </c>
      <c r="I253" s="9">
        <v>1.30333829E8</v>
      </c>
      <c r="J253" s="6">
        <v>2.696676720754E10</v>
      </c>
    </row>
    <row r="254">
      <c r="A254" s="4" t="s">
        <v>10</v>
      </c>
      <c r="B254" s="5">
        <v>42006.0</v>
      </c>
      <c r="C254" s="6">
        <v>205.43</v>
      </c>
      <c r="D254" s="11">
        <v>-0.11</v>
      </c>
      <c r="E254" s="12">
        <v>-5.0E-4</v>
      </c>
      <c r="F254" s="6">
        <v>206.38</v>
      </c>
      <c r="G254" s="6">
        <v>204.18</v>
      </c>
      <c r="H254" s="6">
        <v>206.88</v>
      </c>
      <c r="I254" s="9">
        <v>1.21465865E8</v>
      </c>
      <c r="J254" s="6">
        <v>2.515338384029E10</v>
      </c>
    </row>
    <row r="255">
      <c r="A255" s="4" t="s">
        <v>10</v>
      </c>
      <c r="B255" s="5">
        <v>42009.0</v>
      </c>
      <c r="C255" s="6">
        <v>201.72</v>
      </c>
      <c r="D255" s="11">
        <v>-3.71</v>
      </c>
      <c r="E255" s="12">
        <v>-0.0181</v>
      </c>
      <c r="F255" s="6">
        <v>204.17</v>
      </c>
      <c r="G255" s="6">
        <v>201.35</v>
      </c>
      <c r="H255" s="6">
        <v>204.37</v>
      </c>
      <c r="I255" s="9">
        <v>1.69632646E8</v>
      </c>
      <c r="J255" s="6">
        <v>3.445842785538E10</v>
      </c>
    </row>
    <row r="256">
      <c r="A256" s="4" t="s">
        <v>10</v>
      </c>
      <c r="B256" s="5">
        <v>42010.0</v>
      </c>
      <c r="C256" s="6">
        <v>199.82</v>
      </c>
      <c r="D256" s="11">
        <v>-1.9</v>
      </c>
      <c r="E256" s="12">
        <v>-0.0094</v>
      </c>
      <c r="F256" s="6">
        <v>202.09</v>
      </c>
      <c r="G256" s="6">
        <v>198.86</v>
      </c>
      <c r="H256" s="6">
        <v>202.72</v>
      </c>
      <c r="I256" s="9">
        <v>2.09151408E8</v>
      </c>
      <c r="J256" s="10"/>
    </row>
    <row r="257">
      <c r="A257" s="4" t="s">
        <v>10</v>
      </c>
      <c r="B257" s="5">
        <v>42011.0</v>
      </c>
      <c r="C257" s="6">
        <v>202.31</v>
      </c>
      <c r="D257" s="13">
        <f>+2.49</f>
        <v>2.49</v>
      </c>
      <c r="E257" s="14">
        <f>+1.25%</f>
        <v>0.0125</v>
      </c>
      <c r="F257" s="6">
        <v>201.42</v>
      </c>
      <c r="G257" s="6">
        <v>200.88</v>
      </c>
      <c r="H257" s="6">
        <v>202.72</v>
      </c>
      <c r="I257" s="9">
        <v>1.25346709E8</v>
      </c>
      <c r="J257" s="6">
        <v>2.530305579495E10</v>
      </c>
    </row>
    <row r="258">
      <c r="A258" s="4" t="s">
        <v>10</v>
      </c>
      <c r="B258" s="5">
        <v>42012.0</v>
      </c>
      <c r="C258" s="6">
        <v>205.9</v>
      </c>
      <c r="D258" s="13">
        <f>+3.59</f>
        <v>3.59</v>
      </c>
      <c r="E258" s="14">
        <f>+1.77%</f>
        <v>0.0177</v>
      </c>
      <c r="F258" s="6">
        <v>204.01</v>
      </c>
      <c r="G258" s="6">
        <v>203.99</v>
      </c>
      <c r="H258" s="6">
        <v>206.16</v>
      </c>
      <c r="I258" s="9">
        <v>1.47217784E8</v>
      </c>
      <c r="J258" s="6">
        <v>3.050862819975E10</v>
      </c>
    </row>
    <row r="259">
      <c r="A259" s="4" t="s">
        <v>10</v>
      </c>
      <c r="B259" s="5">
        <v>42013.0</v>
      </c>
      <c r="C259" s="6">
        <v>204.25</v>
      </c>
      <c r="D259" s="11">
        <v>-1.65</v>
      </c>
      <c r="E259" s="12">
        <v>-0.008</v>
      </c>
      <c r="F259" s="6">
        <v>206.4</v>
      </c>
      <c r="G259" s="6">
        <v>203.51</v>
      </c>
      <c r="H259" s="6">
        <v>206.42</v>
      </c>
      <c r="I259" s="9">
        <v>1.58567288E8</v>
      </c>
      <c r="J259" s="6">
        <v>3.266694351176E10</v>
      </c>
    </row>
    <row r="260">
      <c r="A260" s="4" t="s">
        <v>10</v>
      </c>
      <c r="B260" s="5">
        <v>42016.0</v>
      </c>
      <c r="C260" s="6">
        <v>202.65</v>
      </c>
      <c r="D260" s="11">
        <v>-1.6</v>
      </c>
      <c r="E260" s="12">
        <v>-0.0078</v>
      </c>
      <c r="F260" s="6">
        <v>204.41</v>
      </c>
      <c r="G260" s="6">
        <v>201.92</v>
      </c>
      <c r="H260" s="6">
        <v>204.6</v>
      </c>
      <c r="I260" s="9">
        <v>1.44396067E8</v>
      </c>
      <c r="J260" s="6">
        <v>2.933462049149E10</v>
      </c>
    </row>
    <row r="261">
      <c r="A261" s="4" t="s">
        <v>10</v>
      </c>
      <c r="B261" s="5">
        <v>42017.0</v>
      </c>
      <c r="C261" s="6">
        <v>202.08</v>
      </c>
      <c r="D261" s="11">
        <v>-0.57</v>
      </c>
      <c r="E261" s="12">
        <v>-0.0028</v>
      </c>
      <c r="F261" s="6">
        <v>204.12</v>
      </c>
      <c r="G261" s="6">
        <v>200.51</v>
      </c>
      <c r="H261" s="6">
        <v>205.48</v>
      </c>
      <c r="I261" s="9">
        <v>2.14553306E8</v>
      </c>
      <c r="J261" s="10"/>
    </row>
    <row r="262">
      <c r="A262" s="4" t="s">
        <v>10</v>
      </c>
      <c r="B262" s="5">
        <v>42018.0</v>
      </c>
      <c r="C262" s="6">
        <v>200.86</v>
      </c>
      <c r="D262" s="11">
        <v>-1.22</v>
      </c>
      <c r="E262" s="12">
        <v>-0.006</v>
      </c>
      <c r="F262" s="6">
        <v>199.65</v>
      </c>
      <c r="G262" s="6">
        <v>198.57</v>
      </c>
      <c r="H262" s="6">
        <v>201.1</v>
      </c>
      <c r="I262" s="9">
        <v>1.92991092E8</v>
      </c>
      <c r="J262" s="10"/>
    </row>
    <row r="263">
      <c r="A263" s="4" t="s">
        <v>10</v>
      </c>
      <c r="B263" s="5">
        <v>42019.0</v>
      </c>
      <c r="C263" s="6">
        <v>199.02</v>
      </c>
      <c r="D263" s="11">
        <v>-1.84</v>
      </c>
      <c r="E263" s="12">
        <v>-0.0092</v>
      </c>
      <c r="F263" s="6">
        <v>201.63</v>
      </c>
      <c r="G263" s="6">
        <v>198.88</v>
      </c>
      <c r="H263" s="6">
        <v>202.01</v>
      </c>
      <c r="I263" s="9">
        <v>1.76613906E8</v>
      </c>
      <c r="J263" s="6">
        <v>3.533026339332E10</v>
      </c>
    </row>
    <row r="264">
      <c r="A264" s="4" t="s">
        <v>10</v>
      </c>
      <c r="B264" s="5">
        <v>42020.0</v>
      </c>
      <c r="C264" s="6">
        <v>201.63</v>
      </c>
      <c r="D264" s="13">
        <f>+2.61</f>
        <v>2.61</v>
      </c>
      <c r="E264" s="14">
        <f>+1.31%</f>
        <v>0.0131</v>
      </c>
      <c r="F264" s="6">
        <v>198.77</v>
      </c>
      <c r="G264" s="6">
        <v>198.55</v>
      </c>
      <c r="H264" s="6">
        <v>201.82</v>
      </c>
      <c r="I264" s="9">
        <v>2.11879605E8</v>
      </c>
      <c r="J264" s="10"/>
    </row>
    <row r="265">
      <c r="A265" s="4" t="s">
        <v>10</v>
      </c>
      <c r="B265" s="5">
        <v>42024.0</v>
      </c>
      <c r="C265" s="6">
        <v>202.06</v>
      </c>
      <c r="D265" s="13">
        <f>+0.43</f>
        <v>0.43</v>
      </c>
      <c r="E265" s="14">
        <f>+0.21%</f>
        <v>0.0021</v>
      </c>
      <c r="F265" s="6">
        <v>202.4</v>
      </c>
      <c r="G265" s="6">
        <v>200.17</v>
      </c>
      <c r="H265" s="6">
        <v>202.72</v>
      </c>
      <c r="I265" s="9">
        <v>1.30991069E8</v>
      </c>
      <c r="J265" s="6">
        <v>2.642879667993E10</v>
      </c>
    </row>
    <row r="266">
      <c r="A266" s="4" t="s">
        <v>10</v>
      </c>
      <c r="B266" s="5">
        <v>42025.0</v>
      </c>
      <c r="C266" s="6">
        <v>203.08</v>
      </c>
      <c r="D266" s="13">
        <f>+1.03</f>
        <v>1.03</v>
      </c>
      <c r="E266" s="14">
        <f>+0.51%</f>
        <v>0.0051</v>
      </c>
      <c r="F266" s="6">
        <v>201.5</v>
      </c>
      <c r="G266" s="6">
        <v>200.94</v>
      </c>
      <c r="H266" s="6">
        <v>203.66</v>
      </c>
      <c r="I266" s="9">
        <v>1.22942707E8</v>
      </c>
      <c r="J266" s="6">
        <v>2.500997099567E10</v>
      </c>
    </row>
    <row r="267">
      <c r="A267" s="4" t="s">
        <v>10</v>
      </c>
      <c r="B267" s="5">
        <v>42026.0</v>
      </c>
      <c r="C267" s="6">
        <v>206.1</v>
      </c>
      <c r="D267" s="13">
        <f>+3.02</f>
        <v>3.02</v>
      </c>
      <c r="E267" s="14">
        <f>+1.49%</f>
        <v>0.0149</v>
      </c>
      <c r="F267" s="6">
        <v>203.99</v>
      </c>
      <c r="G267" s="6">
        <v>202.33</v>
      </c>
      <c r="H267" s="6">
        <v>206.26</v>
      </c>
      <c r="I267" s="9">
        <v>1.74356029E8</v>
      </c>
      <c r="J267" s="6">
        <v>3.576208497644E10</v>
      </c>
    </row>
    <row r="268">
      <c r="A268" s="4" t="s">
        <v>10</v>
      </c>
      <c r="B268" s="5">
        <v>42027.0</v>
      </c>
      <c r="C268" s="6">
        <v>204.97</v>
      </c>
      <c r="D268" s="11">
        <v>-1.13</v>
      </c>
      <c r="E268" s="12">
        <v>-0.0055</v>
      </c>
      <c r="F268" s="6">
        <v>205.79</v>
      </c>
      <c r="G268" s="6">
        <v>204.81</v>
      </c>
      <c r="H268" s="6">
        <v>206.1</v>
      </c>
      <c r="I268" s="9">
        <v>1.17516753E8</v>
      </c>
      <c r="J268" s="6">
        <v>2.414670993911E10</v>
      </c>
    </row>
    <row r="269">
      <c r="A269" s="4" t="s">
        <v>10</v>
      </c>
      <c r="B269" s="5">
        <v>42030.0</v>
      </c>
      <c r="C269" s="6">
        <v>205.45</v>
      </c>
      <c r="D269" s="13">
        <f>+0.48</f>
        <v>0.48</v>
      </c>
      <c r="E269" s="14">
        <f>+0.23%</f>
        <v>0.0023</v>
      </c>
      <c r="F269" s="6">
        <v>204.71</v>
      </c>
      <c r="G269" s="6">
        <v>203.85</v>
      </c>
      <c r="H269" s="6">
        <v>205.56</v>
      </c>
      <c r="I269" s="9">
        <v>9.2009711E7</v>
      </c>
      <c r="J269" s="6">
        <v>1.885969262461E10</v>
      </c>
    </row>
    <row r="270">
      <c r="A270" s="4" t="s">
        <v>10</v>
      </c>
      <c r="B270" s="5">
        <v>42031.0</v>
      </c>
      <c r="C270" s="6">
        <v>202.74</v>
      </c>
      <c r="D270" s="11">
        <v>-2.71</v>
      </c>
      <c r="E270" s="12">
        <v>-0.0132</v>
      </c>
      <c r="F270" s="6">
        <v>202.97</v>
      </c>
      <c r="G270" s="6">
        <v>201.74</v>
      </c>
      <c r="H270" s="6">
        <v>204.12</v>
      </c>
      <c r="I270" s="9">
        <v>1.34044598E8</v>
      </c>
      <c r="J270" s="6">
        <v>2.722507700224E10</v>
      </c>
    </row>
    <row r="271">
      <c r="A271" s="4" t="s">
        <v>10</v>
      </c>
      <c r="B271" s="5">
        <v>42032.0</v>
      </c>
      <c r="C271" s="6">
        <v>200.14</v>
      </c>
      <c r="D271" s="11">
        <v>-2.6</v>
      </c>
      <c r="E271" s="12">
        <v>-0.0128</v>
      </c>
      <c r="F271" s="6">
        <v>204.17</v>
      </c>
      <c r="G271" s="6">
        <v>199.91</v>
      </c>
      <c r="H271" s="6">
        <v>204.29</v>
      </c>
      <c r="I271" s="9">
        <v>1.68514312E8</v>
      </c>
      <c r="J271" s="6">
        <v>3.404184288154E10</v>
      </c>
    </row>
    <row r="272">
      <c r="A272" s="4" t="s">
        <v>10</v>
      </c>
      <c r="B272" s="5">
        <v>42033.0</v>
      </c>
      <c r="C272" s="6">
        <v>201.99</v>
      </c>
      <c r="D272" s="13">
        <f>+1.85</f>
        <v>1.85</v>
      </c>
      <c r="E272" s="14">
        <f>+0.92%</f>
        <v>0.0092</v>
      </c>
      <c r="F272" s="6">
        <v>200.38</v>
      </c>
      <c r="G272" s="6">
        <v>198.68</v>
      </c>
      <c r="H272" s="6">
        <v>202.3</v>
      </c>
      <c r="I272" s="9">
        <v>1.73585424E8</v>
      </c>
      <c r="J272" s="6">
        <v>3.517927674146E10</v>
      </c>
    </row>
    <row r="273">
      <c r="A273" s="4" t="s">
        <v>10</v>
      </c>
      <c r="B273" s="5">
        <v>42034.0</v>
      </c>
      <c r="C273" s="6">
        <v>199.45</v>
      </c>
      <c r="D273" s="11">
        <v>-2.54</v>
      </c>
      <c r="E273" s="12">
        <v>-0.0126</v>
      </c>
      <c r="F273" s="6">
        <v>200.57</v>
      </c>
      <c r="G273" s="6">
        <v>199.13</v>
      </c>
      <c r="H273" s="6">
        <v>202.17</v>
      </c>
      <c r="I273" s="9">
        <v>1.97729724E8</v>
      </c>
      <c r="J273" s="10"/>
    </row>
    <row r="274">
      <c r="A274" s="4" t="s">
        <v>10</v>
      </c>
      <c r="B274" s="5">
        <v>42037.0</v>
      </c>
      <c r="C274" s="6">
        <v>201.92</v>
      </c>
      <c r="D274" s="13">
        <f>+2.47</f>
        <v>2.47</v>
      </c>
      <c r="E274" s="14">
        <f>+1.24%</f>
        <v>0.0124</v>
      </c>
      <c r="F274" s="6">
        <v>200.05</v>
      </c>
      <c r="G274" s="6">
        <v>197.86</v>
      </c>
      <c r="H274" s="6">
        <v>202.03</v>
      </c>
      <c r="I274" s="9">
        <v>1.63106969E8</v>
      </c>
      <c r="J274" s="6">
        <v>3.261619154466E10</v>
      </c>
    </row>
    <row r="275">
      <c r="A275" s="4" t="s">
        <v>10</v>
      </c>
      <c r="B275" s="5">
        <v>42038.0</v>
      </c>
      <c r="C275" s="6">
        <v>204.84</v>
      </c>
      <c r="D275" s="13">
        <f>+2.92</f>
        <v>2.92</v>
      </c>
      <c r="E275" s="14">
        <f>+1.45%</f>
        <v>0.0145</v>
      </c>
      <c r="F275" s="6">
        <v>203.0</v>
      </c>
      <c r="G275" s="6">
        <v>202.55</v>
      </c>
      <c r="H275" s="6">
        <v>204.85</v>
      </c>
      <c r="I275" s="9">
        <v>1.24212881E8</v>
      </c>
      <c r="J275" s="6">
        <v>2.551219181607E10</v>
      </c>
    </row>
    <row r="276">
      <c r="A276" s="4" t="s">
        <v>10</v>
      </c>
      <c r="B276" s="5">
        <v>42039.0</v>
      </c>
      <c r="C276" s="6">
        <v>204.06</v>
      </c>
      <c r="D276" s="11">
        <v>-0.78</v>
      </c>
      <c r="E276" s="12">
        <v>-0.0038</v>
      </c>
      <c r="F276" s="6">
        <v>203.92</v>
      </c>
      <c r="G276" s="6">
        <v>203.51</v>
      </c>
      <c r="H276" s="6">
        <v>205.38</v>
      </c>
      <c r="I276" s="9">
        <v>1.34306728E8</v>
      </c>
      <c r="J276" s="6">
        <v>2.745574074231E10</v>
      </c>
    </row>
    <row r="277">
      <c r="A277" s="4" t="s">
        <v>10</v>
      </c>
      <c r="B277" s="5">
        <v>42040.0</v>
      </c>
      <c r="C277" s="6">
        <v>206.12</v>
      </c>
      <c r="D277" s="13">
        <f>+2.06</f>
        <v>2.06</v>
      </c>
      <c r="E277" s="14">
        <f>+1.01%</f>
        <v>0.0101</v>
      </c>
      <c r="F277" s="6">
        <v>204.86</v>
      </c>
      <c r="G277" s="6">
        <v>204.77</v>
      </c>
      <c r="H277" s="6">
        <v>206.3</v>
      </c>
      <c r="I277" s="9">
        <v>9.7953181E7</v>
      </c>
      <c r="J277" s="6">
        <v>2.024623142995E10</v>
      </c>
    </row>
    <row r="278">
      <c r="A278" s="4" t="s">
        <v>10</v>
      </c>
      <c r="B278" s="5">
        <v>42041.0</v>
      </c>
      <c r="C278" s="6">
        <v>205.55</v>
      </c>
      <c r="D278" s="11">
        <v>-0.57</v>
      </c>
      <c r="E278" s="12">
        <v>-0.0028</v>
      </c>
      <c r="F278" s="6">
        <v>206.56</v>
      </c>
      <c r="G278" s="6">
        <v>204.92</v>
      </c>
      <c r="H278" s="6">
        <v>207.24</v>
      </c>
      <c r="I278" s="9">
        <v>1.25672026E8</v>
      </c>
      <c r="J278" s="6">
        <v>2.592281123493E10</v>
      </c>
    </row>
    <row r="279">
      <c r="A279" s="4" t="s">
        <v>10</v>
      </c>
      <c r="B279" s="5">
        <v>42044.0</v>
      </c>
      <c r="C279" s="6">
        <v>204.63</v>
      </c>
      <c r="D279" s="11">
        <v>-0.92</v>
      </c>
      <c r="E279" s="12">
        <v>-0.0045</v>
      </c>
      <c r="F279" s="6">
        <v>204.77</v>
      </c>
      <c r="G279" s="6">
        <v>204.14</v>
      </c>
      <c r="H279" s="6">
        <v>205.64</v>
      </c>
      <c r="I279" s="9">
        <v>8.7219016E7</v>
      </c>
      <c r="J279" s="6">
        <v>1.787903799475E10</v>
      </c>
    </row>
    <row r="280">
      <c r="A280" s="4" t="s">
        <v>10</v>
      </c>
      <c r="B280" s="5">
        <v>42045.0</v>
      </c>
      <c r="C280" s="6">
        <v>206.81</v>
      </c>
      <c r="D280" s="13">
        <f>+2.18</f>
        <v>2.18</v>
      </c>
      <c r="E280" s="14">
        <f>+1.07%</f>
        <v>0.0107</v>
      </c>
      <c r="F280" s="6">
        <v>205.88</v>
      </c>
      <c r="G280" s="6">
        <v>204.68</v>
      </c>
      <c r="H280" s="6">
        <v>207.12</v>
      </c>
      <c r="I280" s="9">
        <v>9.6164183E7</v>
      </c>
      <c r="J280" s="6">
        <v>1.980172153503E10</v>
      </c>
    </row>
    <row r="281">
      <c r="A281" s="4" t="s">
        <v>10</v>
      </c>
      <c r="B281" s="5">
        <v>42046.0</v>
      </c>
      <c r="C281" s="6">
        <v>206.93</v>
      </c>
      <c r="D281" s="13">
        <f>+0.12</f>
        <v>0.12</v>
      </c>
      <c r="E281" s="14">
        <f>+0.06%</f>
        <v>0.0006</v>
      </c>
      <c r="F281" s="6">
        <v>206.61</v>
      </c>
      <c r="G281" s="6">
        <v>205.83</v>
      </c>
      <c r="H281" s="6">
        <v>207.45</v>
      </c>
      <c r="I281" s="9">
        <v>9.1087785E7</v>
      </c>
      <c r="J281" s="6">
        <v>1.883308012834E10</v>
      </c>
    </row>
    <row r="282">
      <c r="A282" s="4" t="s">
        <v>10</v>
      </c>
      <c r="B282" s="5">
        <v>42047.0</v>
      </c>
      <c r="C282" s="6">
        <v>208.92</v>
      </c>
      <c r="D282" s="13">
        <f>+1.99</f>
        <v>1.99</v>
      </c>
      <c r="E282" s="14">
        <f>+0.96%</f>
        <v>0.0096</v>
      </c>
      <c r="F282" s="6">
        <v>207.89</v>
      </c>
      <c r="G282" s="6">
        <v>206.97</v>
      </c>
      <c r="H282" s="6">
        <v>208.99</v>
      </c>
      <c r="I282" s="9">
        <v>9.7545949E7</v>
      </c>
      <c r="J282" s="6">
        <v>2.033842914793E10</v>
      </c>
    </row>
    <row r="283">
      <c r="A283" s="4" t="s">
        <v>10</v>
      </c>
      <c r="B283" s="5">
        <v>42048.0</v>
      </c>
      <c r="C283" s="6">
        <v>209.78</v>
      </c>
      <c r="D283" s="13">
        <f>+0.86</f>
        <v>0.86</v>
      </c>
      <c r="E283" s="14">
        <f>+0.41%</f>
        <v>0.0041</v>
      </c>
      <c r="F283" s="6">
        <v>209.07</v>
      </c>
      <c r="G283" s="6">
        <v>208.76</v>
      </c>
      <c r="H283" s="6">
        <v>209.84</v>
      </c>
      <c r="I283" s="9">
        <v>9.367043E7</v>
      </c>
      <c r="J283" s="6">
        <v>1.96269096544E10</v>
      </c>
    </row>
    <row r="284">
      <c r="A284" s="4" t="s">
        <v>10</v>
      </c>
      <c r="B284" s="5">
        <v>42052.0</v>
      </c>
      <c r="C284" s="6">
        <v>210.11</v>
      </c>
      <c r="D284" s="13">
        <f>+0.33</f>
        <v>0.33</v>
      </c>
      <c r="E284" s="14">
        <f>+0.16%</f>
        <v>0.0016</v>
      </c>
      <c r="F284" s="6">
        <v>209.4</v>
      </c>
      <c r="G284" s="6">
        <v>209.1</v>
      </c>
      <c r="H284" s="6">
        <v>210.32</v>
      </c>
      <c r="I284" s="9">
        <v>7.6968199E7</v>
      </c>
      <c r="J284" s="6">
        <v>1.615226816678E10</v>
      </c>
    </row>
    <row r="285">
      <c r="A285" s="4" t="s">
        <v>10</v>
      </c>
      <c r="B285" s="5">
        <v>42053.0</v>
      </c>
      <c r="C285" s="6">
        <v>210.13</v>
      </c>
      <c r="D285" s="13">
        <f>+0.02</f>
        <v>0.02</v>
      </c>
      <c r="E285" s="14">
        <f>+0.01%</f>
        <v>0.0001</v>
      </c>
      <c r="F285" s="6">
        <v>209.66</v>
      </c>
      <c r="G285" s="6">
        <v>209.34</v>
      </c>
      <c r="H285" s="6">
        <v>210.22</v>
      </c>
      <c r="I285" s="9">
        <v>8.0652941E7</v>
      </c>
      <c r="J285" s="6">
        <v>1.692671594534E10</v>
      </c>
    </row>
    <row r="286">
      <c r="A286" s="4" t="s">
        <v>10</v>
      </c>
      <c r="B286" s="5">
        <v>42054.0</v>
      </c>
      <c r="C286" s="6">
        <v>209.98</v>
      </c>
      <c r="D286" s="11">
        <v>-0.15</v>
      </c>
      <c r="E286" s="12">
        <v>-7.0E-4</v>
      </c>
      <c r="F286" s="6">
        <v>209.41</v>
      </c>
      <c r="G286" s="6">
        <v>209.24</v>
      </c>
      <c r="H286" s="6">
        <v>210.42</v>
      </c>
      <c r="I286" s="9">
        <v>9.1462491E7</v>
      </c>
      <c r="J286" s="6">
        <v>1.930770962989E10</v>
      </c>
    </row>
    <row r="287">
      <c r="A287" s="4" t="s">
        <v>10</v>
      </c>
      <c r="B287" s="5">
        <v>42055.0</v>
      </c>
      <c r="C287" s="6">
        <v>211.24</v>
      </c>
      <c r="D287" s="13">
        <f>+1.26</f>
        <v>1.26</v>
      </c>
      <c r="E287" s="14">
        <f>+0.6%</f>
        <v>0.006</v>
      </c>
      <c r="F287" s="6">
        <v>209.48</v>
      </c>
      <c r="G287" s="6">
        <v>208.73</v>
      </c>
      <c r="H287" s="6">
        <v>211.33</v>
      </c>
      <c r="I287" s="9">
        <v>1.40896392E8</v>
      </c>
      <c r="J287" s="6">
        <v>2.989693676837E10</v>
      </c>
    </row>
    <row r="288">
      <c r="A288" s="4" t="s">
        <v>10</v>
      </c>
      <c r="B288" s="5">
        <v>42058.0</v>
      </c>
      <c r="C288" s="6">
        <v>211.21</v>
      </c>
      <c r="D288" s="11">
        <v>-0.03</v>
      </c>
      <c r="E288" s="12">
        <v>-1.0E-4</v>
      </c>
      <c r="F288" s="6">
        <v>210.94</v>
      </c>
      <c r="G288" s="6">
        <v>210.48</v>
      </c>
      <c r="H288" s="6">
        <v>211.21</v>
      </c>
      <c r="I288" s="9">
        <v>7.4411054E7</v>
      </c>
      <c r="J288" s="6">
        <v>1.569783601333E10</v>
      </c>
    </row>
    <row r="289">
      <c r="A289" s="4" t="s">
        <v>10</v>
      </c>
      <c r="B289" s="5">
        <v>42059.0</v>
      </c>
      <c r="C289" s="6">
        <v>211.81</v>
      </c>
      <c r="D289" s="13">
        <f>+0.6</f>
        <v>0.6</v>
      </c>
      <c r="E289" s="14">
        <f>+0.28%</f>
        <v>0.0028</v>
      </c>
      <c r="F289" s="6">
        <v>211.12</v>
      </c>
      <c r="G289" s="6">
        <v>210.76</v>
      </c>
      <c r="H289" s="6">
        <v>212.05</v>
      </c>
      <c r="I289" s="9">
        <v>7.2472263E7</v>
      </c>
      <c r="J289" s="6">
        <v>1.533180508241E10</v>
      </c>
    </row>
    <row r="290">
      <c r="A290" s="4" t="s">
        <v>10</v>
      </c>
      <c r="B290" s="5">
        <v>42060.0</v>
      </c>
      <c r="C290" s="6">
        <v>211.63</v>
      </c>
      <c r="D290" s="11">
        <v>-0.18</v>
      </c>
      <c r="E290" s="12">
        <v>-8.0E-4</v>
      </c>
      <c r="F290" s="6">
        <v>211.66</v>
      </c>
      <c r="G290" s="6">
        <v>211.22</v>
      </c>
      <c r="H290" s="6">
        <v>212.24</v>
      </c>
      <c r="I290" s="9">
        <v>7.3061687E7</v>
      </c>
      <c r="J290" s="6">
        <v>1.559565341227E10</v>
      </c>
    </row>
    <row r="291">
      <c r="A291" s="4" t="s">
        <v>10</v>
      </c>
      <c r="B291" s="5">
        <v>42061.0</v>
      </c>
      <c r="C291" s="6">
        <v>211.38</v>
      </c>
      <c r="D291" s="11">
        <v>-0.25</v>
      </c>
      <c r="E291" s="12">
        <v>-0.0012</v>
      </c>
      <c r="F291" s="6">
        <v>211.52</v>
      </c>
      <c r="G291" s="6">
        <v>210.65</v>
      </c>
      <c r="H291" s="6">
        <v>211.71</v>
      </c>
      <c r="I291" s="9">
        <v>7.2697868E7</v>
      </c>
      <c r="J291" s="6">
        <v>1.536984553611E10</v>
      </c>
    </row>
    <row r="292">
      <c r="A292" s="4" t="s">
        <v>10</v>
      </c>
      <c r="B292" s="5">
        <v>42062.0</v>
      </c>
      <c r="C292" s="6">
        <v>210.66</v>
      </c>
      <c r="D292" s="11">
        <v>-0.72</v>
      </c>
      <c r="E292" s="12">
        <v>-0.0034</v>
      </c>
      <c r="F292" s="6">
        <v>211.26</v>
      </c>
      <c r="G292" s="6">
        <v>210.6</v>
      </c>
      <c r="H292" s="6">
        <v>211.58</v>
      </c>
      <c r="I292" s="9">
        <v>1.08075972E8</v>
      </c>
      <c r="J292" s="6">
        <v>2.280885104599E10</v>
      </c>
    </row>
    <row r="293">
      <c r="A293" s="4" t="s">
        <v>10</v>
      </c>
      <c r="B293" s="5">
        <v>42065.0</v>
      </c>
      <c r="C293" s="6">
        <v>211.99</v>
      </c>
      <c r="D293" s="13">
        <f>+1.33</f>
        <v>1.33</v>
      </c>
      <c r="E293" s="14">
        <f>+0.63%</f>
        <v>0.0063</v>
      </c>
      <c r="F293" s="6">
        <v>210.78</v>
      </c>
      <c r="G293" s="6">
        <v>210.72</v>
      </c>
      <c r="H293" s="6">
        <v>212.06</v>
      </c>
      <c r="I293" s="9">
        <v>8.7491428E7</v>
      </c>
      <c r="J293" s="6">
        <v>1.850991970343E10</v>
      </c>
    </row>
    <row r="294">
      <c r="A294" s="4" t="s">
        <v>10</v>
      </c>
      <c r="B294" s="5">
        <v>42066.0</v>
      </c>
      <c r="C294" s="6">
        <v>211.12</v>
      </c>
      <c r="D294" s="11">
        <v>-0.87</v>
      </c>
      <c r="E294" s="12">
        <v>-0.0041</v>
      </c>
      <c r="F294" s="6">
        <v>211.47</v>
      </c>
      <c r="G294" s="6">
        <v>210.08</v>
      </c>
      <c r="H294" s="6">
        <v>212.05</v>
      </c>
      <c r="I294" s="9">
        <v>1.10325809E8</v>
      </c>
      <c r="J294" s="6">
        <v>2.339240141578E10</v>
      </c>
    </row>
    <row r="295">
      <c r="A295" s="4" t="s">
        <v>10</v>
      </c>
      <c r="B295" s="5">
        <v>42067.0</v>
      </c>
      <c r="C295" s="6">
        <v>210.23</v>
      </c>
      <c r="D295" s="11">
        <v>-0.89</v>
      </c>
      <c r="E295" s="12">
        <v>-0.0042</v>
      </c>
      <c r="F295" s="6">
        <v>210.4</v>
      </c>
      <c r="G295" s="6">
        <v>209.06</v>
      </c>
      <c r="H295" s="6">
        <v>210.49</v>
      </c>
      <c r="I295" s="9">
        <v>1.14497192E8</v>
      </c>
      <c r="J295" s="6">
        <v>2.406046599224E10</v>
      </c>
    </row>
    <row r="296">
      <c r="A296" s="4" t="s">
        <v>10</v>
      </c>
      <c r="B296" s="5">
        <v>42068.0</v>
      </c>
      <c r="C296" s="6">
        <v>210.46</v>
      </c>
      <c r="D296" s="13">
        <f>+0.23</f>
        <v>0.23</v>
      </c>
      <c r="E296" s="14">
        <f>+0.11%</f>
        <v>0.0011</v>
      </c>
      <c r="F296" s="6">
        <v>210.62</v>
      </c>
      <c r="G296" s="6">
        <v>209.85</v>
      </c>
      <c r="H296" s="6">
        <v>210.8</v>
      </c>
      <c r="I296" s="9">
        <v>7.6872957E7</v>
      </c>
      <c r="J296" s="6">
        <v>1.628168462565E10</v>
      </c>
    </row>
    <row r="297">
      <c r="A297" s="4" t="s">
        <v>10</v>
      </c>
      <c r="B297" s="5">
        <v>42069.0</v>
      </c>
      <c r="C297" s="6">
        <v>207.5</v>
      </c>
      <c r="D297" s="11">
        <v>-2.96</v>
      </c>
      <c r="E297" s="12">
        <v>-0.0141</v>
      </c>
      <c r="F297" s="6">
        <v>209.42</v>
      </c>
      <c r="G297" s="6">
        <v>207.1</v>
      </c>
      <c r="H297" s="6">
        <v>209.94</v>
      </c>
      <c r="I297" s="9">
        <v>1.88127982E8</v>
      </c>
      <c r="J297" s="10"/>
    </row>
    <row r="298">
      <c r="A298" s="4" t="s">
        <v>10</v>
      </c>
      <c r="B298" s="5">
        <v>42072.0</v>
      </c>
      <c r="C298" s="6">
        <v>208.36</v>
      </c>
      <c r="D298" s="13">
        <f>+0.86</f>
        <v>0.86</v>
      </c>
      <c r="E298" s="14">
        <f>+0.41%</f>
        <v>0.0041</v>
      </c>
      <c r="F298" s="6">
        <v>207.74</v>
      </c>
      <c r="G298" s="6">
        <v>207.55</v>
      </c>
      <c r="H298" s="6">
        <v>208.79</v>
      </c>
      <c r="I298" s="9">
        <v>8.9818893E7</v>
      </c>
      <c r="J298" s="6">
        <v>1.870163021648E10</v>
      </c>
    </row>
    <row r="299">
      <c r="A299" s="4" t="s">
        <v>10</v>
      </c>
      <c r="B299" s="5">
        <v>42073.0</v>
      </c>
      <c r="C299" s="6">
        <v>204.98</v>
      </c>
      <c r="D299" s="11">
        <v>-3.38</v>
      </c>
      <c r="E299" s="12">
        <v>-0.0162</v>
      </c>
      <c r="F299" s="6">
        <v>206.71</v>
      </c>
      <c r="G299" s="6">
        <v>204.93</v>
      </c>
      <c r="H299" s="6">
        <v>206.81</v>
      </c>
      <c r="I299" s="9">
        <v>1.57121263E8</v>
      </c>
      <c r="J299" s="6">
        <v>3.240972305804E10</v>
      </c>
    </row>
    <row r="300">
      <c r="A300" s="4" t="s">
        <v>10</v>
      </c>
      <c r="B300" s="5">
        <v>42074.0</v>
      </c>
      <c r="C300" s="6">
        <v>204.5</v>
      </c>
      <c r="D300" s="11">
        <v>-0.48</v>
      </c>
      <c r="E300" s="12">
        <v>-0.0023</v>
      </c>
      <c r="F300" s="6">
        <v>205.29</v>
      </c>
      <c r="G300" s="6">
        <v>204.4</v>
      </c>
      <c r="H300" s="6">
        <v>205.5</v>
      </c>
      <c r="I300" s="9">
        <v>1.10145718E8</v>
      </c>
      <c r="J300" s="6">
        <v>2.2668740527E10</v>
      </c>
    </row>
    <row r="301">
      <c r="A301" s="4" t="s">
        <v>10</v>
      </c>
      <c r="B301" s="5">
        <v>42075.0</v>
      </c>
      <c r="C301" s="6">
        <v>207.1</v>
      </c>
      <c r="D301" s="13">
        <f>+2.6</f>
        <v>2.6</v>
      </c>
      <c r="E301" s="14">
        <f>+1.27%</f>
        <v>0.0127</v>
      </c>
      <c r="F301" s="6">
        <v>205.26</v>
      </c>
      <c r="G301" s="6">
        <v>205.2</v>
      </c>
      <c r="H301" s="6">
        <v>207.18</v>
      </c>
      <c r="I301" s="9">
        <v>9.3993523E7</v>
      </c>
      <c r="J301" s="6">
        <v>1.940362753974E10</v>
      </c>
    </row>
    <row r="302">
      <c r="A302" s="4" t="s">
        <v>10</v>
      </c>
      <c r="B302" s="5">
        <v>42076.0</v>
      </c>
      <c r="C302" s="6">
        <v>205.83</v>
      </c>
      <c r="D302" s="11">
        <v>-1.27</v>
      </c>
      <c r="E302" s="12">
        <v>-0.0061</v>
      </c>
      <c r="F302" s="6">
        <v>206.77</v>
      </c>
      <c r="G302" s="6">
        <v>204.58</v>
      </c>
      <c r="H302" s="6">
        <v>207.93</v>
      </c>
      <c r="I302" s="9">
        <v>1.62410893E8</v>
      </c>
      <c r="J302" s="6">
        <v>3.373471579098E10</v>
      </c>
    </row>
    <row r="303">
      <c r="A303" s="4" t="s">
        <v>10</v>
      </c>
      <c r="B303" s="5">
        <v>42079.0</v>
      </c>
      <c r="C303" s="6">
        <v>208.58</v>
      </c>
      <c r="D303" s="13">
        <f>+2.75</f>
        <v>2.75</v>
      </c>
      <c r="E303" s="14">
        <f>+1.34%</f>
        <v>0.0134</v>
      </c>
      <c r="F303" s="6">
        <v>206.71</v>
      </c>
      <c r="G303" s="6">
        <v>205.86</v>
      </c>
      <c r="H303" s="6">
        <v>208.69</v>
      </c>
      <c r="I303" s="9">
        <v>1.36099192E8</v>
      </c>
      <c r="J303" s="6">
        <v>2.853231934971E10</v>
      </c>
    </row>
    <row r="304">
      <c r="A304" s="4" t="s">
        <v>10</v>
      </c>
      <c r="B304" s="5">
        <v>42080.0</v>
      </c>
      <c r="C304" s="6">
        <v>207.96</v>
      </c>
      <c r="D304" s="11">
        <v>-0.62</v>
      </c>
      <c r="E304" s="12">
        <v>-0.003</v>
      </c>
      <c r="F304" s="6">
        <v>207.69</v>
      </c>
      <c r="G304" s="6">
        <v>206.98</v>
      </c>
      <c r="H304" s="6">
        <v>208.42</v>
      </c>
      <c r="I304" s="9">
        <v>9.4510422E7</v>
      </c>
      <c r="J304" s="6">
        <v>1.974928169008E10</v>
      </c>
    </row>
    <row r="305">
      <c r="A305" s="4" t="s">
        <v>10</v>
      </c>
      <c r="B305" s="5">
        <v>42081.0</v>
      </c>
      <c r="C305" s="6">
        <v>210.46</v>
      </c>
      <c r="D305" s="13">
        <f>+2.5</f>
        <v>2.5</v>
      </c>
      <c r="E305" s="14">
        <f>+1.2%</f>
        <v>0.012</v>
      </c>
      <c r="F305" s="6">
        <v>207.39</v>
      </c>
      <c r="G305" s="6">
        <v>206.62</v>
      </c>
      <c r="H305" s="6">
        <v>211.27</v>
      </c>
      <c r="I305" s="9">
        <v>2.28808524E8</v>
      </c>
      <c r="J305" s="10"/>
    </row>
    <row r="306">
      <c r="A306" s="4" t="s">
        <v>10</v>
      </c>
      <c r="B306" s="5">
        <v>42082.0</v>
      </c>
      <c r="C306" s="6">
        <v>209.5</v>
      </c>
      <c r="D306" s="11">
        <v>-0.96</v>
      </c>
      <c r="E306" s="12">
        <v>-0.0046</v>
      </c>
      <c r="F306" s="6">
        <v>209.96</v>
      </c>
      <c r="G306" s="6">
        <v>209.03</v>
      </c>
      <c r="H306" s="6">
        <v>210.47</v>
      </c>
      <c r="I306" s="9">
        <v>1.17917302E8</v>
      </c>
      <c r="J306" s="6">
        <v>2.530470198936E10</v>
      </c>
    </row>
    <row r="307">
      <c r="A307" s="4" t="s">
        <v>10</v>
      </c>
      <c r="B307" s="5">
        <v>42083.0</v>
      </c>
      <c r="C307" s="6">
        <v>210.41</v>
      </c>
      <c r="D307" s="13">
        <f>+0.91</f>
        <v>0.91</v>
      </c>
      <c r="E307" s="14">
        <f>+0.43%</f>
        <v>0.0043</v>
      </c>
      <c r="F307" s="6">
        <v>209.71</v>
      </c>
      <c r="G307" s="6">
        <v>209.49</v>
      </c>
      <c r="H307" s="6">
        <v>211.02</v>
      </c>
      <c r="I307" s="9">
        <v>1.77715081E8</v>
      </c>
      <c r="J307" s="10"/>
    </row>
    <row r="308">
      <c r="A308" s="4" t="s">
        <v>10</v>
      </c>
      <c r="B308" s="5">
        <v>42086.0</v>
      </c>
      <c r="C308" s="6">
        <v>210.0</v>
      </c>
      <c r="D308" s="11">
        <v>-0.41</v>
      </c>
      <c r="E308" s="12">
        <v>-0.0019</v>
      </c>
      <c r="F308" s="6">
        <v>210.42</v>
      </c>
      <c r="G308" s="6">
        <v>210.0</v>
      </c>
      <c r="H308" s="6">
        <v>211.11</v>
      </c>
      <c r="I308" s="9">
        <v>7.1784536E7</v>
      </c>
      <c r="J308" s="6">
        <v>1.51111268591E10</v>
      </c>
    </row>
    <row r="309">
      <c r="A309" s="4" t="s">
        <v>10</v>
      </c>
      <c r="B309" s="5">
        <v>42087.0</v>
      </c>
      <c r="C309" s="6">
        <v>208.82</v>
      </c>
      <c r="D309" s="11">
        <v>-1.18</v>
      </c>
      <c r="E309" s="12">
        <v>-0.0056</v>
      </c>
      <c r="F309" s="6">
        <v>209.85</v>
      </c>
      <c r="G309" s="6">
        <v>208.74</v>
      </c>
      <c r="H309" s="6">
        <v>210.4</v>
      </c>
      <c r="I309" s="9">
        <v>7.7805321E7</v>
      </c>
      <c r="J309" s="6">
        <v>1.630203016631E10</v>
      </c>
    </row>
    <row r="310">
      <c r="A310" s="4" t="s">
        <v>10</v>
      </c>
      <c r="B310" s="5">
        <v>42088.0</v>
      </c>
      <c r="C310" s="6">
        <v>205.76</v>
      </c>
      <c r="D310" s="11">
        <v>-3.06</v>
      </c>
      <c r="E310" s="12">
        <v>-0.0147</v>
      </c>
      <c r="F310" s="6">
        <v>209.07</v>
      </c>
      <c r="G310" s="6">
        <v>205.71</v>
      </c>
      <c r="H310" s="6">
        <v>209.35</v>
      </c>
      <c r="I310" s="9">
        <v>1.59521708E8</v>
      </c>
      <c r="J310" s="6">
        <v>3.399041429047E10</v>
      </c>
    </row>
    <row r="311">
      <c r="A311" s="4" t="s">
        <v>10</v>
      </c>
      <c r="B311" s="5">
        <v>42089.0</v>
      </c>
      <c r="C311" s="6">
        <v>205.27</v>
      </c>
      <c r="D311" s="11">
        <v>-0.49</v>
      </c>
      <c r="E311" s="12">
        <v>-0.0024</v>
      </c>
      <c r="F311" s="6">
        <v>204.96</v>
      </c>
      <c r="G311" s="6">
        <v>204.12</v>
      </c>
      <c r="H311" s="6">
        <v>206.37</v>
      </c>
      <c r="I311" s="9">
        <v>1.53067241E8</v>
      </c>
      <c r="J311" s="6">
        <v>3.15487154588E10</v>
      </c>
    </row>
    <row r="312">
      <c r="A312" s="4" t="s">
        <v>10</v>
      </c>
      <c r="B312" s="5">
        <v>42090.0</v>
      </c>
      <c r="C312" s="6">
        <v>205.74</v>
      </c>
      <c r="D312" s="13">
        <f>+0.47</f>
        <v>0.47</v>
      </c>
      <c r="E312" s="14">
        <f>+0.23%</f>
        <v>0.0023</v>
      </c>
      <c r="F312" s="6">
        <v>205.13</v>
      </c>
      <c r="G312" s="6">
        <v>204.9</v>
      </c>
      <c r="H312" s="6">
        <v>205.95</v>
      </c>
      <c r="I312" s="9">
        <v>1.18938966E8</v>
      </c>
      <c r="J312" s="6">
        <v>2.447821516411E10</v>
      </c>
    </row>
    <row r="313">
      <c r="A313" s="4" t="s">
        <v>10</v>
      </c>
      <c r="B313" s="5">
        <v>42093.0</v>
      </c>
      <c r="C313" s="6">
        <v>208.25</v>
      </c>
      <c r="D313" s="13">
        <f>+2.51</f>
        <v>2.51</v>
      </c>
      <c r="E313" s="14">
        <f>+1.22%</f>
        <v>0.0122</v>
      </c>
      <c r="F313" s="6">
        <v>206.98</v>
      </c>
      <c r="G313" s="6">
        <v>206.96</v>
      </c>
      <c r="H313" s="6">
        <v>208.61</v>
      </c>
      <c r="I313" s="9">
        <v>9.6180365E7</v>
      </c>
      <c r="J313" s="6">
        <v>2.002562537333E10</v>
      </c>
    </row>
    <row r="314">
      <c r="A314" s="4" t="s">
        <v>10</v>
      </c>
      <c r="B314" s="5">
        <v>42094.0</v>
      </c>
      <c r="C314" s="6">
        <v>206.43</v>
      </c>
      <c r="D314" s="11">
        <v>-1.82</v>
      </c>
      <c r="E314" s="12">
        <v>-0.0087</v>
      </c>
      <c r="F314" s="6">
        <v>207.26</v>
      </c>
      <c r="G314" s="6">
        <v>206.36</v>
      </c>
      <c r="H314" s="6">
        <v>208.1</v>
      </c>
      <c r="I314" s="9">
        <v>1.26768703E8</v>
      </c>
      <c r="J314" s="6">
        <v>2.646593737479E10</v>
      </c>
    </row>
    <row r="315">
      <c r="A315" s="4" t="s">
        <v>10</v>
      </c>
      <c r="B315" s="5">
        <v>42095.0</v>
      </c>
      <c r="C315" s="6">
        <v>205.7</v>
      </c>
      <c r="D315" s="11">
        <v>-0.73</v>
      </c>
      <c r="E315" s="12">
        <v>-0.0035</v>
      </c>
      <c r="F315" s="6">
        <v>206.39</v>
      </c>
      <c r="G315" s="6">
        <v>204.51</v>
      </c>
      <c r="H315" s="6">
        <v>206.42</v>
      </c>
      <c r="I315" s="9">
        <v>1.37303584E8</v>
      </c>
      <c r="J315" s="6">
        <v>2.821842446169E10</v>
      </c>
    </row>
    <row r="316">
      <c r="A316" s="4" t="s">
        <v>10</v>
      </c>
      <c r="B316" s="5">
        <v>42096.0</v>
      </c>
      <c r="C316" s="6">
        <v>206.44</v>
      </c>
      <c r="D316" s="13">
        <f>+0.74</f>
        <v>0.74</v>
      </c>
      <c r="E316" s="14">
        <f>+0.36%</f>
        <v>0.0036</v>
      </c>
      <c r="F316" s="6">
        <v>205.62</v>
      </c>
      <c r="G316" s="6">
        <v>205.4</v>
      </c>
      <c r="H316" s="6">
        <v>206.98</v>
      </c>
      <c r="I316" s="9">
        <v>8.6900906E7</v>
      </c>
      <c r="J316" s="6">
        <v>1.793514706706E10</v>
      </c>
    </row>
    <row r="317">
      <c r="A317" s="4" t="s">
        <v>10</v>
      </c>
      <c r="B317" s="5">
        <v>42100.0</v>
      </c>
      <c r="C317" s="6">
        <v>207.83</v>
      </c>
      <c r="D317" s="13">
        <f>+1.4</f>
        <v>1.4</v>
      </c>
      <c r="E317" s="14">
        <f>+0.68%</f>
        <v>0.0068</v>
      </c>
      <c r="F317" s="6">
        <v>205.37</v>
      </c>
      <c r="G317" s="6">
        <v>205.21</v>
      </c>
      <c r="H317" s="6">
        <v>208.45</v>
      </c>
      <c r="I317" s="9">
        <v>1.14368155E8</v>
      </c>
      <c r="J317" s="6">
        <v>2.372216800211E10</v>
      </c>
    </row>
    <row r="318">
      <c r="A318" s="4" t="s">
        <v>10</v>
      </c>
      <c r="B318" s="5">
        <v>42101.0</v>
      </c>
      <c r="C318" s="6">
        <v>207.28</v>
      </c>
      <c r="D318" s="11">
        <v>-0.55</v>
      </c>
      <c r="E318" s="12">
        <v>-0.0026</v>
      </c>
      <c r="F318" s="6">
        <v>207.86</v>
      </c>
      <c r="G318" s="6">
        <v>207.24</v>
      </c>
      <c r="H318" s="6">
        <v>208.76</v>
      </c>
      <c r="I318" s="9">
        <v>8.1236337E7</v>
      </c>
      <c r="J318" s="6">
        <v>1.840104370823E10</v>
      </c>
    </row>
    <row r="319">
      <c r="A319" s="4" t="s">
        <v>10</v>
      </c>
      <c r="B319" s="5">
        <v>42102.0</v>
      </c>
      <c r="C319" s="6">
        <v>207.98</v>
      </c>
      <c r="D319" s="13">
        <f>+0.69</f>
        <v>0.69</v>
      </c>
      <c r="E319" s="14">
        <f>+0.34%</f>
        <v>0.0034</v>
      </c>
      <c r="F319" s="6">
        <v>207.55</v>
      </c>
      <c r="G319" s="6">
        <v>207.08</v>
      </c>
      <c r="H319" s="6">
        <v>208.51</v>
      </c>
      <c r="I319" s="9">
        <v>8.9351939E7</v>
      </c>
      <c r="J319" s="6">
        <v>1.857293570858E10</v>
      </c>
    </row>
    <row r="320">
      <c r="A320" s="4" t="s">
        <v>10</v>
      </c>
      <c r="B320" s="5">
        <v>42103.0</v>
      </c>
      <c r="C320" s="6">
        <v>208.9</v>
      </c>
      <c r="D320" s="13">
        <f>+0.93</f>
        <v>0.93</v>
      </c>
      <c r="E320" s="14">
        <f>+0.44%</f>
        <v>0.0044</v>
      </c>
      <c r="F320" s="6">
        <v>207.78</v>
      </c>
      <c r="G320" s="6">
        <v>207.19</v>
      </c>
      <c r="H320" s="6">
        <v>209.18</v>
      </c>
      <c r="I320" s="9">
        <v>8.5548854E7</v>
      </c>
      <c r="J320" s="6">
        <v>1.782591944435E10</v>
      </c>
    </row>
    <row r="321">
      <c r="A321" s="4" t="s">
        <v>10</v>
      </c>
      <c r="B321" s="5">
        <v>42104.0</v>
      </c>
      <c r="C321" s="6">
        <v>210.04</v>
      </c>
      <c r="D321" s="13">
        <f>+1.14</f>
        <v>1.14</v>
      </c>
      <c r="E321" s="14">
        <f>+0.55%</f>
        <v>0.0055</v>
      </c>
      <c r="F321" s="6">
        <v>209.2</v>
      </c>
      <c r="G321" s="6">
        <v>208.96</v>
      </c>
      <c r="H321" s="6">
        <v>210.09</v>
      </c>
      <c r="I321" s="9">
        <v>7.2722915E7</v>
      </c>
      <c r="J321" s="6">
        <v>1.568194198378E10</v>
      </c>
    </row>
    <row r="322">
      <c r="A322" s="4" t="s">
        <v>10</v>
      </c>
      <c r="B322" s="5">
        <v>42107.0</v>
      </c>
      <c r="C322" s="6">
        <v>209.09</v>
      </c>
      <c r="D322" s="11">
        <v>-0.95</v>
      </c>
      <c r="E322" s="12">
        <v>-0.0045</v>
      </c>
      <c r="F322" s="6">
        <v>209.87</v>
      </c>
      <c r="G322" s="6">
        <v>209.03</v>
      </c>
      <c r="H322" s="6">
        <v>210.63</v>
      </c>
      <c r="I322" s="9">
        <v>7.4436594E7</v>
      </c>
      <c r="J322" s="6">
        <v>1.562857695065E10</v>
      </c>
    </row>
    <row r="323">
      <c r="A323" s="4" t="s">
        <v>10</v>
      </c>
      <c r="B323" s="5">
        <v>42108.0</v>
      </c>
      <c r="C323" s="6">
        <v>209.49</v>
      </c>
      <c r="D323" s="13">
        <f>+0.4</f>
        <v>0.4</v>
      </c>
      <c r="E323" s="14">
        <f>+0.19%</f>
        <v>0.0019</v>
      </c>
      <c r="F323" s="6">
        <v>208.85</v>
      </c>
      <c r="G323" s="6">
        <v>208.1</v>
      </c>
      <c r="H323" s="6">
        <v>209.71</v>
      </c>
      <c r="I323" s="9">
        <v>7.5099866E7</v>
      </c>
      <c r="J323" s="6">
        <v>1.570811148211E10</v>
      </c>
    </row>
    <row r="324">
      <c r="A324" s="4" t="s">
        <v>10</v>
      </c>
      <c r="B324" s="5">
        <v>42109.0</v>
      </c>
      <c r="C324" s="6">
        <v>210.43</v>
      </c>
      <c r="D324" s="13">
        <f>+0.94</f>
        <v>0.94</v>
      </c>
      <c r="E324" s="14">
        <f>+0.45%</f>
        <v>0.0045</v>
      </c>
      <c r="F324" s="6">
        <v>210.05</v>
      </c>
      <c r="G324" s="6">
        <v>209.95</v>
      </c>
      <c r="H324" s="6">
        <v>211.04</v>
      </c>
      <c r="I324" s="9">
        <v>9.952932E7</v>
      </c>
      <c r="J324" s="6">
        <v>2.095424207125E10</v>
      </c>
    </row>
    <row r="325">
      <c r="A325" s="4" t="s">
        <v>10</v>
      </c>
      <c r="B325" s="5">
        <v>42110.0</v>
      </c>
      <c r="C325" s="6">
        <v>210.37</v>
      </c>
      <c r="D325" s="11">
        <v>-0.06</v>
      </c>
      <c r="E325" s="12">
        <v>-3.0E-4</v>
      </c>
      <c r="F325" s="6">
        <v>210.03</v>
      </c>
      <c r="G325" s="6">
        <v>209.79</v>
      </c>
      <c r="H325" s="6">
        <v>210.98</v>
      </c>
      <c r="I325" s="9">
        <v>6.8934864E7</v>
      </c>
      <c r="J325" s="6">
        <v>1.453659361949E10</v>
      </c>
    </row>
    <row r="326">
      <c r="A326" s="4" t="s">
        <v>10</v>
      </c>
      <c r="B326" s="5">
        <v>42111.0</v>
      </c>
      <c r="C326" s="6">
        <v>207.95</v>
      </c>
      <c r="D326" s="11">
        <v>-2.42</v>
      </c>
      <c r="E326" s="12">
        <v>-0.0115</v>
      </c>
      <c r="F326" s="6">
        <v>208.94</v>
      </c>
      <c r="G326" s="6">
        <v>207.01</v>
      </c>
      <c r="H326" s="6">
        <v>209.23</v>
      </c>
      <c r="I326" s="9">
        <v>1.9111323E8</v>
      </c>
      <c r="J326" s="10"/>
    </row>
    <row r="327">
      <c r="A327" s="4" t="s">
        <v>10</v>
      </c>
      <c r="B327" s="5">
        <v>42114.0</v>
      </c>
      <c r="C327" s="6">
        <v>209.85</v>
      </c>
      <c r="D327" s="13">
        <f>+1.9</f>
        <v>1.9</v>
      </c>
      <c r="E327" s="14">
        <f>+0.91%</f>
        <v>0.0091</v>
      </c>
      <c r="F327" s="6">
        <v>209.06</v>
      </c>
      <c r="G327" s="6">
        <v>208.96</v>
      </c>
      <c r="H327" s="6">
        <v>210.25</v>
      </c>
      <c r="I327" s="9">
        <v>9.2189481E7</v>
      </c>
      <c r="J327" s="6">
        <v>1.933777144361E10</v>
      </c>
    </row>
    <row r="328">
      <c r="A328" s="4" t="s">
        <v>10</v>
      </c>
      <c r="B328" s="5">
        <v>42115.0</v>
      </c>
      <c r="C328" s="6">
        <v>209.6</v>
      </c>
      <c r="D328" s="11">
        <v>-0.25</v>
      </c>
      <c r="E328" s="12">
        <v>-0.0012</v>
      </c>
      <c r="F328" s="6">
        <v>210.67</v>
      </c>
      <c r="G328" s="6">
        <v>209.24</v>
      </c>
      <c r="H328" s="6">
        <v>210.86</v>
      </c>
      <c r="I328" s="9">
        <v>7.2559831E7</v>
      </c>
      <c r="J328" s="6">
        <v>1.533469357626E10</v>
      </c>
    </row>
    <row r="329">
      <c r="A329" s="4" t="s">
        <v>10</v>
      </c>
      <c r="B329" s="5">
        <v>42116.0</v>
      </c>
      <c r="C329" s="6">
        <v>210.63</v>
      </c>
      <c r="D329" s="13">
        <f>+1.03</f>
        <v>1.03</v>
      </c>
      <c r="E329" s="14">
        <f>+0.49%</f>
        <v>0.0049</v>
      </c>
      <c r="F329" s="6">
        <v>210.01</v>
      </c>
      <c r="G329" s="6">
        <v>208.9</v>
      </c>
      <c r="H329" s="6">
        <v>210.85</v>
      </c>
      <c r="I329" s="9">
        <v>7.8264616E7</v>
      </c>
      <c r="J329" s="6">
        <v>1.653754787658E10</v>
      </c>
    </row>
    <row r="330">
      <c r="A330" s="4" t="s">
        <v>10</v>
      </c>
      <c r="B330" s="5">
        <v>42117.0</v>
      </c>
      <c r="C330" s="6">
        <v>211.16</v>
      </c>
      <c r="D330" s="13">
        <f>+0.53</f>
        <v>0.53</v>
      </c>
      <c r="E330" s="14">
        <f>+0.25%</f>
        <v>0.0025</v>
      </c>
      <c r="F330" s="6">
        <v>210.15</v>
      </c>
      <c r="G330" s="6">
        <v>210.01</v>
      </c>
      <c r="H330" s="6">
        <v>211.94</v>
      </c>
      <c r="I330" s="9">
        <v>1.02585942E8</v>
      </c>
      <c r="J330" s="6">
        <v>2.176155833548E10</v>
      </c>
    </row>
    <row r="331">
      <c r="A331" s="4" t="s">
        <v>10</v>
      </c>
      <c r="B331" s="5">
        <v>42118.0</v>
      </c>
      <c r="C331" s="6">
        <v>211.65</v>
      </c>
      <c r="D331" s="13">
        <f>+0.49</f>
        <v>0.49</v>
      </c>
      <c r="E331" s="14">
        <f>+0.23%</f>
        <v>0.0023</v>
      </c>
      <c r="F331" s="6">
        <v>211.66</v>
      </c>
      <c r="G331" s="6">
        <v>211.11</v>
      </c>
      <c r="H331" s="6">
        <v>211.97</v>
      </c>
      <c r="I331" s="9">
        <v>6.1327387E7</v>
      </c>
      <c r="J331" s="6">
        <v>1.306357374287E10</v>
      </c>
    </row>
    <row r="332">
      <c r="A332" s="4" t="s">
        <v>10</v>
      </c>
      <c r="B332" s="5">
        <v>42121.0</v>
      </c>
      <c r="C332" s="6">
        <v>210.77</v>
      </c>
      <c r="D332" s="11">
        <v>-0.88</v>
      </c>
      <c r="E332" s="12">
        <v>-0.0042</v>
      </c>
      <c r="F332" s="6">
        <v>212.33</v>
      </c>
      <c r="G332" s="6">
        <v>210.54</v>
      </c>
      <c r="H332" s="6">
        <v>212.48</v>
      </c>
      <c r="I332" s="9">
        <v>7.9358126E7</v>
      </c>
      <c r="J332" s="6">
        <v>1.677404866456E10</v>
      </c>
    </row>
    <row r="333">
      <c r="A333" s="4" t="s">
        <v>10</v>
      </c>
      <c r="B333" s="5">
        <v>42122.0</v>
      </c>
      <c r="C333" s="6">
        <v>211.44</v>
      </c>
      <c r="D333" s="13">
        <f>+0.67</f>
        <v>0.67</v>
      </c>
      <c r="E333" s="14">
        <f>+0.32%</f>
        <v>0.0032</v>
      </c>
      <c r="F333" s="6">
        <v>210.74</v>
      </c>
      <c r="G333" s="6">
        <v>209.33</v>
      </c>
      <c r="H333" s="6">
        <v>211.5</v>
      </c>
      <c r="I333" s="9">
        <v>8.6863531E7</v>
      </c>
      <c r="J333" s="6">
        <v>1.837905590467E10</v>
      </c>
    </row>
    <row r="334">
      <c r="A334" s="4" t="s">
        <v>10</v>
      </c>
      <c r="B334" s="5">
        <v>42123.0</v>
      </c>
      <c r="C334" s="6">
        <v>210.57</v>
      </c>
      <c r="D334" s="11">
        <v>-0.87</v>
      </c>
      <c r="E334" s="12">
        <v>-0.0041</v>
      </c>
      <c r="F334" s="6">
        <v>210.37</v>
      </c>
      <c r="G334" s="6">
        <v>209.6</v>
      </c>
      <c r="H334" s="6">
        <v>211.29</v>
      </c>
      <c r="I334" s="9">
        <v>1.25684903E8</v>
      </c>
      <c r="J334" s="6">
        <v>2.64851815702E10</v>
      </c>
    </row>
    <row r="335">
      <c r="A335" s="4" t="s">
        <v>10</v>
      </c>
      <c r="B335" s="5">
        <v>42124.0</v>
      </c>
      <c r="C335" s="6">
        <v>208.46</v>
      </c>
      <c r="D335" s="11">
        <v>-2.11</v>
      </c>
      <c r="E335" s="12">
        <v>-0.01</v>
      </c>
      <c r="F335" s="6">
        <v>209.88</v>
      </c>
      <c r="G335" s="6">
        <v>207.62</v>
      </c>
      <c r="H335" s="6">
        <v>210.35</v>
      </c>
      <c r="I335" s="9">
        <v>1.6130489E8</v>
      </c>
      <c r="J335" s="6">
        <v>3.417539252361E10</v>
      </c>
    </row>
    <row r="336">
      <c r="A336" s="4" t="s">
        <v>10</v>
      </c>
      <c r="B336" s="5">
        <v>42125.0</v>
      </c>
      <c r="C336" s="6">
        <v>210.72</v>
      </c>
      <c r="D336" s="13">
        <f>+2.26</f>
        <v>2.26</v>
      </c>
      <c r="E336" s="14">
        <f>+1.08%</f>
        <v>0.0108</v>
      </c>
      <c r="F336" s="6">
        <v>209.4</v>
      </c>
      <c r="G336" s="6">
        <v>209.28</v>
      </c>
      <c r="H336" s="6">
        <v>210.77</v>
      </c>
      <c r="I336" s="9">
        <v>1.03399711E8</v>
      </c>
      <c r="J336" s="6">
        <v>2.173636466673E10</v>
      </c>
    </row>
    <row r="337">
      <c r="A337" s="4" t="s">
        <v>10</v>
      </c>
      <c r="B337" s="5">
        <v>42128.0</v>
      </c>
      <c r="C337" s="6">
        <v>211.32</v>
      </c>
      <c r="D337" s="13">
        <f>+0.6</f>
        <v>0.6</v>
      </c>
      <c r="E337" s="14">
        <f>+0.28%</f>
        <v>0.0028</v>
      </c>
      <c r="F337" s="6">
        <v>211.23</v>
      </c>
      <c r="G337" s="6">
        <v>211.1</v>
      </c>
      <c r="H337" s="6">
        <v>212.02</v>
      </c>
      <c r="I337" s="9">
        <v>7.0927235E7</v>
      </c>
      <c r="J337" s="6">
        <v>1.499976403215E10</v>
      </c>
    </row>
    <row r="338">
      <c r="A338" s="4" t="s">
        <v>10</v>
      </c>
      <c r="B338" s="5">
        <v>42129.0</v>
      </c>
      <c r="C338" s="6">
        <v>208.9</v>
      </c>
      <c r="D338" s="11">
        <v>-2.42</v>
      </c>
      <c r="E338" s="12">
        <v>-0.0115</v>
      </c>
      <c r="F338" s="6">
        <v>211.03</v>
      </c>
      <c r="G338" s="6">
        <v>208.73</v>
      </c>
      <c r="H338" s="6">
        <v>211.46</v>
      </c>
      <c r="I338" s="9">
        <v>1.13326156E8</v>
      </c>
      <c r="J338" s="6">
        <v>2.377833481955E10</v>
      </c>
    </row>
    <row r="339">
      <c r="A339" s="4" t="s">
        <v>10</v>
      </c>
      <c r="B339" s="5">
        <v>42130.0</v>
      </c>
      <c r="C339" s="6">
        <v>208.04</v>
      </c>
      <c r="D339" s="11">
        <v>-0.86</v>
      </c>
      <c r="E339" s="12">
        <v>-0.0041</v>
      </c>
      <c r="F339" s="6">
        <v>209.56</v>
      </c>
      <c r="G339" s="6">
        <v>206.76</v>
      </c>
      <c r="H339" s="6">
        <v>209.93</v>
      </c>
      <c r="I339" s="9">
        <v>1.35060151E8</v>
      </c>
      <c r="J339" s="6">
        <v>2.811136893278E10</v>
      </c>
    </row>
    <row r="340">
      <c r="A340" s="4" t="s">
        <v>10</v>
      </c>
      <c r="B340" s="5">
        <v>42131.0</v>
      </c>
      <c r="C340" s="6">
        <v>208.87</v>
      </c>
      <c r="D340" s="13">
        <f>+0.83</f>
        <v>0.83</v>
      </c>
      <c r="E340" s="14">
        <f>+0.4%</f>
        <v>0.004</v>
      </c>
      <c r="F340" s="6">
        <v>207.92</v>
      </c>
      <c r="G340" s="6">
        <v>207.52</v>
      </c>
      <c r="H340" s="6">
        <v>209.38</v>
      </c>
      <c r="I340" s="9">
        <v>8.824494E7</v>
      </c>
      <c r="J340" s="6">
        <v>1.840065319478E10</v>
      </c>
    </row>
    <row r="341">
      <c r="A341" s="4" t="s">
        <v>10</v>
      </c>
      <c r="B341" s="5">
        <v>42132.0</v>
      </c>
      <c r="C341" s="6">
        <v>211.62</v>
      </c>
      <c r="D341" s="13">
        <f>+2.75</f>
        <v>2.75</v>
      </c>
      <c r="E341" s="14">
        <f>+1.32%</f>
        <v>0.0132</v>
      </c>
      <c r="F341" s="6">
        <v>210.88</v>
      </c>
      <c r="G341" s="6">
        <v>210.78</v>
      </c>
      <c r="H341" s="6">
        <v>211.86</v>
      </c>
      <c r="I341" s="9">
        <v>1.5587726E8</v>
      </c>
      <c r="J341" s="6">
        <v>3.287155982375E10</v>
      </c>
    </row>
    <row r="342">
      <c r="A342" s="4" t="s">
        <v>10</v>
      </c>
      <c r="B342" s="5">
        <v>42135.0</v>
      </c>
      <c r="C342" s="6">
        <v>210.61</v>
      </c>
      <c r="D342" s="11">
        <v>-1.02</v>
      </c>
      <c r="E342" s="12">
        <v>-0.0048</v>
      </c>
      <c r="F342" s="6">
        <v>211.57</v>
      </c>
      <c r="G342" s="6">
        <v>210.52</v>
      </c>
      <c r="H342" s="6">
        <v>211.89</v>
      </c>
      <c r="I342" s="9">
        <v>7.5708065E7</v>
      </c>
      <c r="J342" s="6">
        <v>1.598816464633E10</v>
      </c>
    </row>
    <row r="343">
      <c r="A343" s="4" t="s">
        <v>10</v>
      </c>
      <c r="B343" s="5">
        <v>42136.0</v>
      </c>
      <c r="C343" s="6">
        <v>209.98</v>
      </c>
      <c r="D343" s="11">
        <v>-0.63</v>
      </c>
      <c r="E343" s="12">
        <v>-0.003</v>
      </c>
      <c r="F343" s="6">
        <v>209.61</v>
      </c>
      <c r="G343" s="6">
        <v>208.62</v>
      </c>
      <c r="H343" s="6">
        <v>210.63</v>
      </c>
      <c r="I343" s="9">
        <v>1.19727592E8</v>
      </c>
      <c r="J343" s="6">
        <v>2.512295033929E10</v>
      </c>
    </row>
    <row r="344">
      <c r="A344" s="4" t="s">
        <v>10</v>
      </c>
      <c r="B344" s="5">
        <v>42137.0</v>
      </c>
      <c r="C344" s="6">
        <v>210.02</v>
      </c>
      <c r="D344" s="13">
        <f>+0.04</f>
        <v>0.04</v>
      </c>
      <c r="E344" s="14">
        <f>+0.02%</f>
        <v>0.0002</v>
      </c>
      <c r="F344" s="6">
        <v>210.47</v>
      </c>
      <c r="G344" s="6">
        <v>209.74</v>
      </c>
      <c r="H344" s="6">
        <v>211.22</v>
      </c>
      <c r="I344" s="9">
        <v>9.4667943E7</v>
      </c>
      <c r="J344" s="6">
        <v>1.990386756872E10</v>
      </c>
    </row>
    <row r="345">
      <c r="A345" s="4" t="s">
        <v>10</v>
      </c>
      <c r="B345" s="5">
        <v>42138.0</v>
      </c>
      <c r="C345" s="6">
        <v>212.21</v>
      </c>
      <c r="D345" s="13">
        <f>+2.19</f>
        <v>2.19</v>
      </c>
      <c r="E345" s="14">
        <f>+1.04%</f>
        <v>0.0104</v>
      </c>
      <c r="F345" s="6">
        <v>211.24</v>
      </c>
      <c r="G345" s="6">
        <v>210.91</v>
      </c>
      <c r="H345" s="6">
        <v>212.32</v>
      </c>
      <c r="I345" s="9">
        <v>9.5934006E7</v>
      </c>
      <c r="J345" s="6">
        <v>2.029667367538E10</v>
      </c>
    </row>
    <row r="346">
      <c r="A346" s="4" t="s">
        <v>10</v>
      </c>
      <c r="B346" s="5">
        <v>42139.0</v>
      </c>
      <c r="C346" s="6">
        <v>212.44</v>
      </c>
      <c r="D346" s="13">
        <f>+0.23</f>
        <v>0.23</v>
      </c>
      <c r="E346" s="14">
        <f>+0.11%</f>
        <v>0.0011</v>
      </c>
      <c r="F346" s="6">
        <v>212.44</v>
      </c>
      <c r="G346" s="6">
        <v>211.86</v>
      </c>
      <c r="H346" s="6">
        <v>212.61</v>
      </c>
      <c r="I346" s="9">
        <v>7.6510099E7</v>
      </c>
      <c r="J346" s="6">
        <v>1.624125999691E10</v>
      </c>
    </row>
    <row r="347">
      <c r="A347" s="4" t="s">
        <v>10</v>
      </c>
      <c r="B347" s="5">
        <v>42142.0</v>
      </c>
      <c r="C347" s="6">
        <v>213.1</v>
      </c>
      <c r="D347" s="13">
        <f>+0.66</f>
        <v>0.66</v>
      </c>
      <c r="E347" s="14">
        <f>+0.31%</f>
        <v>0.0031</v>
      </c>
      <c r="F347" s="6">
        <v>212.24</v>
      </c>
      <c r="G347" s="6">
        <v>212.16</v>
      </c>
      <c r="H347" s="6">
        <v>213.4</v>
      </c>
      <c r="I347" s="9">
        <v>7.4549685E7</v>
      </c>
      <c r="J347" s="6">
        <v>1.586627759972E10</v>
      </c>
    </row>
    <row r="348">
      <c r="A348" s="4" t="s">
        <v>10</v>
      </c>
      <c r="B348" s="5">
        <v>42143.0</v>
      </c>
      <c r="C348" s="6">
        <v>213.03</v>
      </c>
      <c r="D348" s="11">
        <v>-0.07</v>
      </c>
      <c r="E348" s="12">
        <v>-3.0E-4</v>
      </c>
      <c r="F348" s="6">
        <v>213.24</v>
      </c>
      <c r="G348" s="6">
        <v>212.69</v>
      </c>
      <c r="H348" s="6">
        <v>213.57</v>
      </c>
      <c r="I348" s="9">
        <v>7.211461E7</v>
      </c>
      <c r="J348" s="6">
        <v>1.536781065554E10</v>
      </c>
    </row>
    <row r="349">
      <c r="A349" s="4" t="s">
        <v>10</v>
      </c>
      <c r="B349" s="5">
        <v>42144.0</v>
      </c>
      <c r="C349" s="6">
        <v>212.88</v>
      </c>
      <c r="D349" s="11">
        <v>-0.15</v>
      </c>
      <c r="E349" s="12">
        <v>-7.0E-4</v>
      </c>
      <c r="F349" s="6">
        <v>213.15</v>
      </c>
      <c r="G349" s="6">
        <v>212.5</v>
      </c>
      <c r="H349" s="6">
        <v>213.78</v>
      </c>
      <c r="I349" s="9">
        <v>7.685753E7</v>
      </c>
      <c r="J349" s="6">
        <v>1.637140668196E10</v>
      </c>
    </row>
    <row r="350">
      <c r="A350" s="4" t="s">
        <v>10</v>
      </c>
      <c r="B350" s="5">
        <v>42145.0</v>
      </c>
      <c r="C350" s="6">
        <v>213.5</v>
      </c>
      <c r="D350" s="13">
        <f>+0.62</f>
        <v>0.62</v>
      </c>
      <c r="E350" s="14">
        <f>+0.29%</f>
        <v>0.0029</v>
      </c>
      <c r="F350" s="6">
        <v>212.71</v>
      </c>
      <c r="G350" s="6">
        <v>212.51</v>
      </c>
      <c r="H350" s="6">
        <v>213.75</v>
      </c>
      <c r="I350" s="9">
        <v>6.4764585E7</v>
      </c>
      <c r="J350" s="6">
        <v>1.38152077248E10</v>
      </c>
    </row>
    <row r="351">
      <c r="A351" s="4" t="s">
        <v>10</v>
      </c>
      <c r="B351" s="5">
        <v>42146.0</v>
      </c>
      <c r="C351" s="6">
        <v>212.99</v>
      </c>
      <c r="D351" s="11">
        <v>-0.51</v>
      </c>
      <c r="E351" s="12">
        <v>-0.0024</v>
      </c>
      <c r="F351" s="6">
        <v>213.04</v>
      </c>
      <c r="G351" s="6">
        <v>212.91</v>
      </c>
      <c r="H351" s="6">
        <v>213.54</v>
      </c>
      <c r="I351" s="9">
        <v>5.7433495E7</v>
      </c>
      <c r="J351" s="6">
        <v>1.224341577144E10</v>
      </c>
    </row>
    <row r="352">
      <c r="A352" s="4" t="s">
        <v>10</v>
      </c>
      <c r="B352" s="5">
        <v>42150.0</v>
      </c>
      <c r="C352" s="6">
        <v>210.7</v>
      </c>
      <c r="D352" s="11">
        <v>-2.29</v>
      </c>
      <c r="E352" s="12">
        <v>-0.0108</v>
      </c>
      <c r="F352" s="6">
        <v>212.4</v>
      </c>
      <c r="G352" s="6">
        <v>210.2</v>
      </c>
      <c r="H352" s="6">
        <v>212.91</v>
      </c>
      <c r="I352" s="9">
        <v>1.24308584E8</v>
      </c>
      <c r="J352" s="6">
        <v>2.626207416493E10</v>
      </c>
    </row>
    <row r="353">
      <c r="A353" s="4" t="s">
        <v>10</v>
      </c>
      <c r="B353" s="5">
        <v>42151.0</v>
      </c>
      <c r="C353" s="6">
        <v>212.7</v>
      </c>
      <c r="D353" s="13">
        <f>+2</f>
        <v>2</v>
      </c>
      <c r="E353" s="14">
        <f>+0.95%</f>
        <v>0.0095</v>
      </c>
      <c r="F353" s="6">
        <v>211.25</v>
      </c>
      <c r="G353" s="6">
        <v>210.76</v>
      </c>
      <c r="H353" s="6">
        <v>212.98</v>
      </c>
      <c r="I353" s="9">
        <v>9.3213981E7</v>
      </c>
      <c r="J353" s="6">
        <v>1.977507341125E10</v>
      </c>
    </row>
    <row r="354">
      <c r="A354" s="4" t="s">
        <v>10</v>
      </c>
      <c r="B354" s="5">
        <v>42152.0</v>
      </c>
      <c r="C354" s="6">
        <v>212.46</v>
      </c>
      <c r="D354" s="11">
        <v>-0.24</v>
      </c>
      <c r="E354" s="12">
        <v>-0.0011</v>
      </c>
      <c r="F354" s="6">
        <v>212.33</v>
      </c>
      <c r="G354" s="6">
        <v>211.63</v>
      </c>
      <c r="H354" s="6">
        <v>212.59</v>
      </c>
      <c r="I354" s="9">
        <v>7.497456E7</v>
      </c>
      <c r="J354" s="6">
        <v>1.591132139721E10</v>
      </c>
    </row>
    <row r="355">
      <c r="A355" s="4" t="s">
        <v>10</v>
      </c>
      <c r="B355" s="5">
        <v>42153.0</v>
      </c>
      <c r="C355" s="6">
        <v>211.14</v>
      </c>
      <c r="D355" s="11">
        <v>-1.32</v>
      </c>
      <c r="E355" s="12">
        <v>-0.0062</v>
      </c>
      <c r="F355" s="6">
        <v>212.38</v>
      </c>
      <c r="G355" s="6">
        <v>210.82</v>
      </c>
      <c r="H355" s="6">
        <v>212.43</v>
      </c>
      <c r="I355" s="9">
        <v>1.24919611E8</v>
      </c>
      <c r="J355" s="6">
        <v>2.642681802692E10</v>
      </c>
    </row>
    <row r="356">
      <c r="A356" s="4" t="s">
        <v>10</v>
      </c>
      <c r="B356" s="5">
        <v>42156.0</v>
      </c>
      <c r="C356" s="6">
        <v>211.57</v>
      </c>
      <c r="D356" s="13">
        <f>+0.43</f>
        <v>0.43</v>
      </c>
      <c r="E356" s="14">
        <f>+0.2%</f>
        <v>0.002</v>
      </c>
      <c r="F356" s="6">
        <v>211.94</v>
      </c>
      <c r="G356" s="6">
        <v>210.62</v>
      </c>
      <c r="H356" s="6">
        <v>212.34</v>
      </c>
      <c r="I356" s="9">
        <v>9.333875E7</v>
      </c>
      <c r="J356" s="6">
        <v>1.974604947201E10</v>
      </c>
    </row>
    <row r="357">
      <c r="A357" s="4" t="s">
        <v>10</v>
      </c>
      <c r="B357" s="5">
        <v>42157.0</v>
      </c>
      <c r="C357" s="6">
        <v>211.36</v>
      </c>
      <c r="D357" s="11">
        <v>-0.21</v>
      </c>
      <c r="E357" s="12">
        <v>-0.001</v>
      </c>
      <c r="F357" s="6">
        <v>211.02</v>
      </c>
      <c r="G357" s="6">
        <v>210.27</v>
      </c>
      <c r="H357" s="6">
        <v>212.19</v>
      </c>
      <c r="I357" s="9">
        <v>9.1531012E7</v>
      </c>
      <c r="J357" s="6">
        <v>1.933985303008E10</v>
      </c>
    </row>
    <row r="358">
      <c r="A358" s="4" t="s">
        <v>10</v>
      </c>
      <c r="B358" s="5">
        <v>42158.0</v>
      </c>
      <c r="C358" s="6">
        <v>211.92</v>
      </c>
      <c r="D358" s="13">
        <f>+0.56</f>
        <v>0.56</v>
      </c>
      <c r="E358" s="14">
        <f>+0.26%</f>
        <v>0.0026</v>
      </c>
      <c r="F358" s="6">
        <v>212.0</v>
      </c>
      <c r="G358" s="6">
        <v>211.33</v>
      </c>
      <c r="H358" s="6">
        <v>212.67</v>
      </c>
      <c r="I358" s="9">
        <v>8.7820909E7</v>
      </c>
      <c r="J358" s="6">
        <v>1.861302010765E10</v>
      </c>
    </row>
    <row r="359">
      <c r="A359" s="4" t="s">
        <v>10</v>
      </c>
      <c r="B359" s="5">
        <v>42159.0</v>
      </c>
      <c r="C359" s="6">
        <v>210.13</v>
      </c>
      <c r="D359" s="11">
        <v>-1.79</v>
      </c>
      <c r="E359" s="12">
        <v>-0.0085</v>
      </c>
      <c r="F359" s="6">
        <v>211.07</v>
      </c>
      <c r="G359" s="6">
        <v>209.75</v>
      </c>
      <c r="H359" s="6">
        <v>211.86</v>
      </c>
      <c r="I359" s="9">
        <v>1.5188282E8</v>
      </c>
      <c r="J359" s="6">
        <v>3.199996888693E10</v>
      </c>
    </row>
    <row r="360">
      <c r="A360" s="4" t="s">
        <v>10</v>
      </c>
      <c r="B360" s="5">
        <v>42160.0</v>
      </c>
      <c r="C360" s="6">
        <v>209.77</v>
      </c>
      <c r="D360" s="11">
        <v>-0.36</v>
      </c>
      <c r="E360" s="12">
        <v>-0.0017</v>
      </c>
      <c r="F360" s="6">
        <v>209.95</v>
      </c>
      <c r="G360" s="6">
        <v>208.98</v>
      </c>
      <c r="H360" s="6">
        <v>210.58</v>
      </c>
      <c r="I360" s="9">
        <v>1.21704676E8</v>
      </c>
      <c r="J360" s="6">
        <v>2.554098516818E10</v>
      </c>
    </row>
    <row r="361">
      <c r="A361" s="4" t="s">
        <v>10</v>
      </c>
      <c r="B361" s="5">
        <v>42163.0</v>
      </c>
      <c r="C361" s="6">
        <v>208.48</v>
      </c>
      <c r="D361" s="11">
        <v>-1.29</v>
      </c>
      <c r="E361" s="12">
        <v>-0.0061</v>
      </c>
      <c r="F361" s="6">
        <v>209.64</v>
      </c>
      <c r="G361" s="6">
        <v>208.39</v>
      </c>
      <c r="H361" s="6">
        <v>209.82</v>
      </c>
      <c r="I361" s="9">
        <v>8.906333E7</v>
      </c>
      <c r="J361" s="6">
        <v>1.861334343674E10</v>
      </c>
    </row>
    <row r="362">
      <c r="A362" s="4" t="s">
        <v>10</v>
      </c>
      <c r="B362" s="5">
        <v>42164.0</v>
      </c>
      <c r="C362" s="6">
        <v>208.45</v>
      </c>
      <c r="D362" s="11">
        <v>-0.03</v>
      </c>
      <c r="E362" s="12">
        <v>-1.0E-4</v>
      </c>
      <c r="F362" s="6">
        <v>208.45</v>
      </c>
      <c r="G362" s="6">
        <v>207.69</v>
      </c>
      <c r="H362" s="6">
        <v>209.1</v>
      </c>
      <c r="I362" s="9">
        <v>1.0503469E8</v>
      </c>
      <c r="J362" s="6">
        <v>2.189672099776E10</v>
      </c>
    </row>
    <row r="363">
      <c r="A363" s="4" t="s">
        <v>10</v>
      </c>
      <c r="B363" s="5">
        <v>42165.0</v>
      </c>
      <c r="C363" s="6">
        <v>210.95</v>
      </c>
      <c r="D363" s="13">
        <f>+2.5</f>
        <v>2.5</v>
      </c>
      <c r="E363" s="14">
        <f>+1.2%</f>
        <v>0.012</v>
      </c>
      <c r="F363" s="6">
        <v>209.37</v>
      </c>
      <c r="G363" s="6">
        <v>209.3</v>
      </c>
      <c r="H363" s="6">
        <v>211.41</v>
      </c>
      <c r="I363" s="9">
        <v>1.34551285E8</v>
      </c>
      <c r="J363" s="6">
        <v>2.83254303257E10</v>
      </c>
    </row>
    <row r="364">
      <c r="A364" s="4" t="s">
        <v>10</v>
      </c>
      <c r="B364" s="5">
        <v>42166.0</v>
      </c>
      <c r="C364" s="6">
        <v>211.63</v>
      </c>
      <c r="D364" s="13">
        <f>+0.68</f>
        <v>0.68</v>
      </c>
      <c r="E364" s="14">
        <f>+0.32%</f>
        <v>0.0032</v>
      </c>
      <c r="F364" s="6">
        <v>211.48</v>
      </c>
      <c r="G364" s="6">
        <v>211.2</v>
      </c>
      <c r="H364" s="6">
        <v>212.09</v>
      </c>
      <c r="I364" s="9">
        <v>7.3876447E7</v>
      </c>
      <c r="J364" s="6">
        <v>1.563175950542E10</v>
      </c>
    </row>
    <row r="365">
      <c r="A365" s="4" t="s">
        <v>10</v>
      </c>
      <c r="B365" s="5">
        <v>42167.0</v>
      </c>
      <c r="C365" s="6">
        <v>210.01</v>
      </c>
      <c r="D365" s="11">
        <v>-1.62</v>
      </c>
      <c r="E365" s="12">
        <v>-0.0077</v>
      </c>
      <c r="F365" s="6">
        <v>210.64</v>
      </c>
      <c r="G365" s="6">
        <v>209.68</v>
      </c>
      <c r="H365" s="6">
        <v>211.48</v>
      </c>
      <c r="I365" s="9">
        <v>1.35382369E8</v>
      </c>
      <c r="J365" s="6">
        <v>2.848431248506E10</v>
      </c>
    </row>
    <row r="366">
      <c r="A366" s="4" t="s">
        <v>10</v>
      </c>
      <c r="B366" s="5">
        <v>42170.0</v>
      </c>
      <c r="C366" s="6">
        <v>209.11</v>
      </c>
      <c r="D366" s="11">
        <v>-0.9</v>
      </c>
      <c r="E366" s="12">
        <v>-0.0043</v>
      </c>
      <c r="F366" s="6">
        <v>208.64</v>
      </c>
      <c r="G366" s="6">
        <v>207.79</v>
      </c>
      <c r="H366" s="6">
        <v>209.45</v>
      </c>
      <c r="I366" s="9">
        <v>1.24384184E8</v>
      </c>
      <c r="J366" s="6">
        <v>2.598835881896E10</v>
      </c>
    </row>
    <row r="367">
      <c r="A367" s="4" t="s">
        <v>10</v>
      </c>
      <c r="B367" s="5">
        <v>42171.0</v>
      </c>
      <c r="C367" s="6">
        <v>210.25</v>
      </c>
      <c r="D367" s="13">
        <f>+1.14</f>
        <v>1.14</v>
      </c>
      <c r="E367" s="14">
        <f>+0.55%</f>
        <v>0.0055</v>
      </c>
      <c r="F367" s="6">
        <v>208.93</v>
      </c>
      <c r="G367" s="6">
        <v>208.72</v>
      </c>
      <c r="H367" s="6">
        <v>210.35</v>
      </c>
      <c r="I367" s="9">
        <v>8.5308227E7</v>
      </c>
      <c r="J367" s="6">
        <v>1.788369580805E10</v>
      </c>
    </row>
    <row r="368">
      <c r="A368" s="4" t="s">
        <v>10</v>
      </c>
      <c r="B368" s="5">
        <v>42172.0</v>
      </c>
      <c r="C368" s="6">
        <v>210.59</v>
      </c>
      <c r="D368" s="13">
        <f>+0.34</f>
        <v>0.34</v>
      </c>
      <c r="E368" s="14">
        <f>+0.16%</f>
        <v>0.0016</v>
      </c>
      <c r="F368" s="6">
        <v>210.59</v>
      </c>
      <c r="G368" s="6">
        <v>209.36</v>
      </c>
      <c r="H368" s="6">
        <v>211.32</v>
      </c>
      <c r="I368" s="9">
        <v>1.26708635E8</v>
      </c>
      <c r="J368" s="6">
        <v>2.66707664861E10</v>
      </c>
    </row>
    <row r="369">
      <c r="A369" s="4" t="s">
        <v>10</v>
      </c>
      <c r="B369" s="5">
        <v>42173.0</v>
      </c>
      <c r="C369" s="6">
        <v>212.78</v>
      </c>
      <c r="D369" s="13">
        <f>+2.19</f>
        <v>2.19</v>
      </c>
      <c r="E369" s="14">
        <f>+1.04%</f>
        <v>0.0104</v>
      </c>
      <c r="F369" s="6">
        <v>211.31</v>
      </c>
      <c r="G369" s="6">
        <v>210.63</v>
      </c>
      <c r="H369" s="6">
        <v>213.34</v>
      </c>
      <c r="I369" s="9">
        <v>1.65867949E8</v>
      </c>
      <c r="J369" s="6">
        <v>3.521092621782E10</v>
      </c>
    </row>
    <row r="370">
      <c r="A370" s="4" t="s">
        <v>10</v>
      </c>
      <c r="B370" s="5">
        <v>42174.0</v>
      </c>
      <c r="C370" s="6">
        <v>210.81</v>
      </c>
      <c r="D370" s="11">
        <v>-1.97</v>
      </c>
      <c r="E370" s="12">
        <v>-0.0093</v>
      </c>
      <c r="F370" s="6">
        <v>211.46</v>
      </c>
      <c r="G370" s="6">
        <v>210.36</v>
      </c>
      <c r="H370" s="6">
        <v>211.55</v>
      </c>
      <c r="I370" s="9">
        <v>1.30478689E8</v>
      </c>
      <c r="J370" s="6">
        <v>2.754316127062E10</v>
      </c>
    </row>
    <row r="371">
      <c r="A371" s="4" t="s">
        <v>10</v>
      </c>
      <c r="B371" s="5">
        <v>42177.0</v>
      </c>
      <c r="C371" s="6">
        <v>211.89</v>
      </c>
      <c r="D371" s="13">
        <f>+1.08</f>
        <v>1.08</v>
      </c>
      <c r="E371" s="14">
        <f>+0.51%</f>
        <v>0.0051</v>
      </c>
      <c r="F371" s="6">
        <v>211.91</v>
      </c>
      <c r="G371" s="6">
        <v>211.64</v>
      </c>
      <c r="H371" s="6">
        <v>212.59</v>
      </c>
      <c r="I371" s="9">
        <v>7.0696027E7</v>
      </c>
      <c r="J371" s="6">
        <v>1.498575455403E10</v>
      </c>
    </row>
    <row r="372">
      <c r="A372" s="4" t="s">
        <v>10</v>
      </c>
      <c r="B372" s="5">
        <v>42178.0</v>
      </c>
      <c r="C372" s="6">
        <v>212.04</v>
      </c>
      <c r="D372" s="13">
        <f>+0.15</f>
        <v>0.15</v>
      </c>
      <c r="E372" s="14">
        <f>+0.07%</f>
        <v>0.0007</v>
      </c>
      <c r="F372" s="6">
        <v>212.14</v>
      </c>
      <c r="G372" s="6">
        <v>211.57</v>
      </c>
      <c r="H372" s="6">
        <v>212.44</v>
      </c>
      <c r="I372" s="9">
        <v>6.8476797E7</v>
      </c>
      <c r="J372" s="6">
        <v>1.451541869212E10</v>
      </c>
    </row>
    <row r="373">
      <c r="A373" s="4" t="s">
        <v>10</v>
      </c>
      <c r="B373" s="5">
        <v>42179.0</v>
      </c>
      <c r="C373" s="6">
        <v>210.5</v>
      </c>
      <c r="D373" s="11">
        <v>-1.54</v>
      </c>
      <c r="E373" s="12">
        <v>-0.0073</v>
      </c>
      <c r="F373" s="6">
        <v>211.72</v>
      </c>
      <c r="G373" s="6">
        <v>210.47</v>
      </c>
      <c r="H373" s="6">
        <v>212.17</v>
      </c>
      <c r="I373" s="9">
        <v>9.2307318E7</v>
      </c>
      <c r="J373" s="6">
        <v>1.948979046396E10</v>
      </c>
    </row>
    <row r="374">
      <c r="A374" s="4" t="s">
        <v>10</v>
      </c>
      <c r="B374" s="5">
        <v>42180.0</v>
      </c>
      <c r="C374" s="6">
        <v>209.86</v>
      </c>
      <c r="D374" s="11">
        <v>-0.64</v>
      </c>
      <c r="E374" s="12">
        <v>-0.003</v>
      </c>
      <c r="F374" s="6">
        <v>211.1</v>
      </c>
      <c r="G374" s="6">
        <v>209.77</v>
      </c>
      <c r="H374" s="6">
        <v>211.25</v>
      </c>
      <c r="I374" s="9">
        <v>9.7107361E7</v>
      </c>
      <c r="J374" s="6">
        <v>2.043327987973E10</v>
      </c>
    </row>
    <row r="375">
      <c r="A375" s="4" t="s">
        <v>10</v>
      </c>
      <c r="B375" s="5">
        <v>42181.0</v>
      </c>
      <c r="C375" s="6">
        <v>209.82</v>
      </c>
      <c r="D375" s="11">
        <v>-0.04</v>
      </c>
      <c r="E375" s="12">
        <v>-2.0E-4</v>
      </c>
      <c r="F375" s="6">
        <v>210.29</v>
      </c>
      <c r="G375" s="6">
        <v>209.16</v>
      </c>
      <c r="H375" s="6">
        <v>210.58</v>
      </c>
      <c r="I375" s="9">
        <v>1.0417484E8</v>
      </c>
      <c r="J375" s="6">
        <v>2.186580081492E10</v>
      </c>
    </row>
    <row r="376">
      <c r="A376" s="4" t="s">
        <v>10</v>
      </c>
      <c r="B376" s="5">
        <v>42184.0</v>
      </c>
      <c r="C376" s="6">
        <v>205.42</v>
      </c>
      <c r="D376" s="11">
        <v>-4.4</v>
      </c>
      <c r="E376" s="12">
        <v>-0.021</v>
      </c>
      <c r="F376" s="6">
        <v>208.05</v>
      </c>
      <c r="G376" s="6">
        <v>205.33</v>
      </c>
      <c r="H376" s="6">
        <v>209.83</v>
      </c>
      <c r="I376" s="9">
        <v>2.02621332E8</v>
      </c>
      <c r="J376" s="10"/>
    </row>
    <row r="377">
      <c r="A377" s="4" t="s">
        <v>10</v>
      </c>
      <c r="B377" s="5">
        <v>42185.0</v>
      </c>
      <c r="C377" s="6">
        <v>205.85</v>
      </c>
      <c r="D377" s="13">
        <f>+0.43</f>
        <v>0.43</v>
      </c>
      <c r="E377" s="14">
        <f>+0.21%</f>
        <v>0.0021</v>
      </c>
      <c r="F377" s="6">
        <v>207.26</v>
      </c>
      <c r="G377" s="6">
        <v>205.28</v>
      </c>
      <c r="H377" s="6">
        <v>207.32</v>
      </c>
      <c r="I377" s="9">
        <v>1.82925106E8</v>
      </c>
      <c r="J377" s="10"/>
    </row>
    <row r="378">
      <c r="A378" s="4" t="s">
        <v>10</v>
      </c>
      <c r="B378" s="5">
        <v>42186.0</v>
      </c>
      <c r="C378" s="6">
        <v>207.5</v>
      </c>
      <c r="D378" s="13">
        <f>+1.65</f>
        <v>1.65</v>
      </c>
      <c r="E378" s="14">
        <f>+0.8%</f>
        <v>0.008</v>
      </c>
      <c r="F378" s="6">
        <v>207.73</v>
      </c>
      <c r="G378" s="6">
        <v>206.56</v>
      </c>
      <c r="H378" s="6">
        <v>208.03</v>
      </c>
      <c r="I378" s="9">
        <v>1.35979873E8</v>
      </c>
      <c r="J378" s="6">
        <v>2.816409794136E10</v>
      </c>
    </row>
    <row r="379">
      <c r="A379" s="4" t="s">
        <v>10</v>
      </c>
      <c r="B379" s="5">
        <v>42187.0</v>
      </c>
      <c r="C379" s="6">
        <v>207.31</v>
      </c>
      <c r="D379" s="11">
        <v>-0.19</v>
      </c>
      <c r="E379" s="12">
        <v>-9.0E-4</v>
      </c>
      <c r="F379" s="6">
        <v>208.07</v>
      </c>
      <c r="G379" s="6">
        <v>206.81</v>
      </c>
      <c r="H379" s="6">
        <v>208.27</v>
      </c>
      <c r="I379" s="9">
        <v>1.04373652E8</v>
      </c>
      <c r="J379" s="6">
        <v>2.165158103136E10</v>
      </c>
    </row>
    <row r="380">
      <c r="A380" s="4" t="s">
        <v>10</v>
      </c>
      <c r="B380" s="5">
        <v>42191.0</v>
      </c>
      <c r="C380" s="6">
        <v>206.72</v>
      </c>
      <c r="D380" s="11">
        <v>-0.59</v>
      </c>
      <c r="E380" s="12">
        <v>-0.0028</v>
      </c>
      <c r="F380" s="6">
        <v>205.77</v>
      </c>
      <c r="G380" s="6">
        <v>205.53</v>
      </c>
      <c r="H380" s="6">
        <v>207.65</v>
      </c>
      <c r="I380" s="9">
        <v>1.17975369E8</v>
      </c>
      <c r="J380" s="6">
        <v>2.436971024721E10</v>
      </c>
    </row>
    <row r="381">
      <c r="A381" s="4" t="s">
        <v>10</v>
      </c>
      <c r="B381" s="5">
        <v>42192.0</v>
      </c>
      <c r="C381" s="6">
        <v>208.02</v>
      </c>
      <c r="D381" s="13">
        <f>+1.3</f>
        <v>1.3</v>
      </c>
      <c r="E381" s="14">
        <f>+0.63%</f>
        <v>0.0063</v>
      </c>
      <c r="F381" s="6">
        <v>206.96</v>
      </c>
      <c r="G381" s="6">
        <v>204.11</v>
      </c>
      <c r="H381" s="6">
        <v>208.17</v>
      </c>
      <c r="I381" s="9">
        <v>1.73820249E8</v>
      </c>
      <c r="J381" s="6">
        <v>3.585399362372E10</v>
      </c>
    </row>
    <row r="382">
      <c r="A382" s="4" t="s">
        <v>10</v>
      </c>
      <c r="B382" s="5">
        <v>42193.0</v>
      </c>
      <c r="C382" s="6">
        <v>204.53</v>
      </c>
      <c r="D382" s="11">
        <v>-3.49</v>
      </c>
      <c r="E382" s="12">
        <v>-0.0168</v>
      </c>
      <c r="F382" s="6">
        <v>206.42</v>
      </c>
      <c r="G382" s="6">
        <v>204.25</v>
      </c>
      <c r="H382" s="6">
        <v>206.76</v>
      </c>
      <c r="I382" s="9">
        <v>1.64020059E8</v>
      </c>
      <c r="J382" s="6">
        <v>3.370352241514E10</v>
      </c>
    </row>
    <row r="383">
      <c r="A383" s="4" t="s">
        <v>10</v>
      </c>
      <c r="B383" s="5">
        <v>42194.0</v>
      </c>
      <c r="C383" s="6">
        <v>204.9</v>
      </c>
      <c r="D383" s="13">
        <f>+0.37</f>
        <v>0.37</v>
      </c>
      <c r="E383" s="14">
        <f>+0.18%</f>
        <v>0.0018</v>
      </c>
      <c r="F383" s="6">
        <v>207.04</v>
      </c>
      <c r="G383" s="6">
        <v>204.77</v>
      </c>
      <c r="H383" s="6">
        <v>207.35</v>
      </c>
      <c r="I383" s="9">
        <v>1.44113107E8</v>
      </c>
      <c r="J383" s="6">
        <v>2.9657597541E10</v>
      </c>
    </row>
    <row r="384">
      <c r="A384" s="4" t="s">
        <v>10</v>
      </c>
      <c r="B384" s="5">
        <v>42195.0</v>
      </c>
      <c r="C384" s="6">
        <v>207.48</v>
      </c>
      <c r="D384" s="13">
        <f>+2.58</f>
        <v>2.58</v>
      </c>
      <c r="E384" s="14">
        <f>+1.26%</f>
        <v>0.0126</v>
      </c>
      <c r="F384" s="6">
        <v>207.29</v>
      </c>
      <c r="G384" s="6">
        <v>204.95</v>
      </c>
      <c r="H384" s="6">
        <v>207.98</v>
      </c>
      <c r="I384" s="9">
        <v>1.2945689E8</v>
      </c>
      <c r="J384" s="6">
        <v>2.681864219873E10</v>
      </c>
    </row>
    <row r="385">
      <c r="A385" s="4" t="s">
        <v>10</v>
      </c>
      <c r="B385" s="5">
        <v>42198.0</v>
      </c>
      <c r="C385" s="6">
        <v>209.77</v>
      </c>
      <c r="D385" s="13">
        <f>+2.29</f>
        <v>2.29</v>
      </c>
      <c r="E385" s="14">
        <f>+1.1%</f>
        <v>0.011</v>
      </c>
      <c r="F385" s="6">
        <v>208.99</v>
      </c>
      <c r="G385" s="6">
        <v>208.94</v>
      </c>
      <c r="H385" s="6">
        <v>209.9</v>
      </c>
      <c r="I385" s="9">
        <v>1.060694E8</v>
      </c>
      <c r="J385" s="6">
        <v>2.219621289763E10</v>
      </c>
    </row>
    <row r="386">
      <c r="A386" s="4" t="s">
        <v>10</v>
      </c>
      <c r="B386" s="5">
        <v>42199.0</v>
      </c>
      <c r="C386" s="6">
        <v>210.68</v>
      </c>
      <c r="D386" s="13">
        <f>+0.91</f>
        <v>0.91</v>
      </c>
      <c r="E386" s="14">
        <f>+0.43%</f>
        <v>0.0043</v>
      </c>
      <c r="F386" s="6">
        <v>209.72</v>
      </c>
      <c r="G386" s="6">
        <v>209.65</v>
      </c>
      <c r="H386" s="6">
        <v>211.05</v>
      </c>
      <c r="I386" s="9">
        <v>8.1709575E7</v>
      </c>
      <c r="J386" s="6">
        <v>1.720003003619E10</v>
      </c>
    </row>
    <row r="387">
      <c r="A387" s="4" t="s">
        <v>10</v>
      </c>
      <c r="B387" s="5">
        <v>42200.0</v>
      </c>
      <c r="C387" s="6">
        <v>210.61</v>
      </c>
      <c r="D387" s="11">
        <v>-0.07</v>
      </c>
      <c r="E387" s="12">
        <v>-3.0E-4</v>
      </c>
      <c r="F387" s="6">
        <v>210.73</v>
      </c>
      <c r="G387" s="6">
        <v>210.04</v>
      </c>
      <c r="H387" s="6">
        <v>211.28</v>
      </c>
      <c r="I387" s="9">
        <v>9.7914141E7</v>
      </c>
      <c r="J387" s="6">
        <v>2.063056591174E10</v>
      </c>
    </row>
    <row r="388">
      <c r="A388" s="4" t="s">
        <v>10</v>
      </c>
      <c r="B388" s="5">
        <v>42201.0</v>
      </c>
      <c r="C388" s="6">
        <v>212.3</v>
      </c>
      <c r="D388" s="13">
        <f>+1.69</f>
        <v>1.69</v>
      </c>
      <c r="E388" s="14">
        <f>+0.8%</f>
        <v>0.008</v>
      </c>
      <c r="F388" s="6">
        <v>211.87</v>
      </c>
      <c r="G388" s="6">
        <v>211.58</v>
      </c>
      <c r="H388" s="6">
        <v>212.3</v>
      </c>
      <c r="I388" s="9">
        <v>1.06683266E8</v>
      </c>
      <c r="J388" s="6">
        <v>2.259597740609E10</v>
      </c>
    </row>
    <row r="389">
      <c r="A389" s="4" t="s">
        <v>10</v>
      </c>
      <c r="B389" s="5">
        <v>42202.0</v>
      </c>
      <c r="C389" s="6">
        <v>212.48</v>
      </c>
      <c r="D389" s="13">
        <f>+0.18</f>
        <v>0.18</v>
      </c>
      <c r="E389" s="14">
        <f>+0.08%</f>
        <v>0.0008</v>
      </c>
      <c r="F389" s="6">
        <v>212.29</v>
      </c>
      <c r="G389" s="6">
        <v>211.8</v>
      </c>
      <c r="H389" s="6">
        <v>212.55</v>
      </c>
      <c r="I389" s="9">
        <v>8.9029973E7</v>
      </c>
      <c r="J389" s="6">
        <v>1.8893163297E10</v>
      </c>
    </row>
    <row r="390">
      <c r="A390" s="4" t="s">
        <v>10</v>
      </c>
      <c r="B390" s="5">
        <v>42205.0</v>
      </c>
      <c r="C390" s="6">
        <v>212.59</v>
      </c>
      <c r="D390" s="13">
        <f>+0.11</f>
        <v>0.11</v>
      </c>
      <c r="E390" s="14">
        <f>+0.05%</f>
        <v>0.0005</v>
      </c>
      <c r="F390" s="6">
        <v>212.75</v>
      </c>
      <c r="G390" s="6">
        <v>212.21</v>
      </c>
      <c r="H390" s="6">
        <v>213.18</v>
      </c>
      <c r="I390" s="9">
        <v>7.0446821E7</v>
      </c>
      <c r="J390" s="6">
        <v>1.49856307793E10</v>
      </c>
    </row>
    <row r="391">
      <c r="A391" s="4" t="s">
        <v>10</v>
      </c>
      <c r="B391" s="5">
        <v>42206.0</v>
      </c>
      <c r="C391" s="6">
        <v>211.75</v>
      </c>
      <c r="D391" s="11">
        <v>-0.84</v>
      </c>
      <c r="E391" s="12">
        <v>-0.004</v>
      </c>
      <c r="F391" s="6">
        <v>212.43</v>
      </c>
      <c r="G391" s="6">
        <v>211.39</v>
      </c>
      <c r="H391" s="6">
        <v>212.74</v>
      </c>
      <c r="I391" s="9">
        <v>7.7965048E7</v>
      </c>
      <c r="J391" s="6">
        <v>1.652406072524E10</v>
      </c>
    </row>
    <row r="392">
      <c r="A392" s="4" t="s">
        <v>10</v>
      </c>
      <c r="B392" s="5">
        <v>42207.0</v>
      </c>
      <c r="C392" s="6">
        <v>211.37</v>
      </c>
      <c r="D392" s="11">
        <v>-0.38</v>
      </c>
      <c r="E392" s="12">
        <v>-0.0018</v>
      </c>
      <c r="F392" s="6">
        <v>210.93</v>
      </c>
      <c r="G392" s="6">
        <v>210.89</v>
      </c>
      <c r="H392" s="6">
        <v>211.77</v>
      </c>
      <c r="I392" s="9">
        <v>8.866792E7</v>
      </c>
      <c r="J392" s="6">
        <v>1.873671727782E10</v>
      </c>
    </row>
    <row r="393">
      <c r="A393" s="4" t="s">
        <v>10</v>
      </c>
      <c r="B393" s="5">
        <v>42208.0</v>
      </c>
      <c r="C393" s="6">
        <v>210.18</v>
      </c>
      <c r="D393" s="11">
        <v>-1.19</v>
      </c>
      <c r="E393" s="12">
        <v>-0.0056</v>
      </c>
      <c r="F393" s="6">
        <v>211.53</v>
      </c>
      <c r="G393" s="6">
        <v>209.75</v>
      </c>
      <c r="H393" s="6">
        <v>211.65</v>
      </c>
      <c r="I393" s="9">
        <v>9.0509128E7</v>
      </c>
      <c r="J393" s="6">
        <v>1.905812782354E10</v>
      </c>
    </row>
    <row r="394">
      <c r="A394" s="4" t="s">
        <v>10</v>
      </c>
      <c r="B394" s="5">
        <v>42209.0</v>
      </c>
      <c r="C394" s="6">
        <v>208.0</v>
      </c>
      <c r="D394" s="11">
        <v>-2.18</v>
      </c>
      <c r="E394" s="12">
        <v>-0.0104</v>
      </c>
      <c r="F394" s="6">
        <v>210.3</v>
      </c>
      <c r="G394" s="6">
        <v>207.6</v>
      </c>
      <c r="H394" s="6">
        <v>210.37</v>
      </c>
      <c r="I394" s="9">
        <v>1.17754979E8</v>
      </c>
      <c r="J394" s="6">
        <v>2.457143377025E10</v>
      </c>
    </row>
    <row r="395">
      <c r="A395" s="4" t="s">
        <v>10</v>
      </c>
      <c r="B395" s="5">
        <v>42212.0</v>
      </c>
      <c r="C395" s="6">
        <v>206.79</v>
      </c>
      <c r="D395" s="11">
        <v>-1.21</v>
      </c>
      <c r="E395" s="12">
        <v>-0.0058</v>
      </c>
      <c r="F395" s="6">
        <v>206.94</v>
      </c>
      <c r="G395" s="6">
        <v>206.26</v>
      </c>
      <c r="H395" s="6">
        <v>207.55</v>
      </c>
      <c r="I395" s="9">
        <v>1.32361082E8</v>
      </c>
      <c r="J395" s="6">
        <v>2.738045864125E10</v>
      </c>
    </row>
    <row r="396">
      <c r="A396" s="4" t="s">
        <v>10</v>
      </c>
      <c r="B396" s="5">
        <v>42213.0</v>
      </c>
      <c r="C396" s="6">
        <v>209.33</v>
      </c>
      <c r="D396" s="13">
        <f>+2.54</f>
        <v>2.54</v>
      </c>
      <c r="E396" s="14">
        <f>+1.23%</f>
        <v>0.0123</v>
      </c>
      <c r="F396" s="6">
        <v>207.79</v>
      </c>
      <c r="G396" s="6">
        <v>206.8</v>
      </c>
      <c r="H396" s="6">
        <v>209.5</v>
      </c>
      <c r="I396" s="9">
        <v>1.23544845E8</v>
      </c>
      <c r="J396" s="6">
        <v>2.573458289064E10</v>
      </c>
    </row>
    <row r="397">
      <c r="A397" s="4" t="s">
        <v>10</v>
      </c>
      <c r="B397" s="5">
        <v>42214.0</v>
      </c>
      <c r="C397" s="6">
        <v>210.77</v>
      </c>
      <c r="D397" s="13">
        <f>+1.44</f>
        <v>1.44</v>
      </c>
      <c r="E397" s="14">
        <f>+0.69%</f>
        <v>0.0069</v>
      </c>
      <c r="F397" s="6">
        <v>209.48</v>
      </c>
      <c r="G397" s="6">
        <v>209.31</v>
      </c>
      <c r="H397" s="6">
        <v>211.04</v>
      </c>
      <c r="I397" s="9">
        <v>1.05791255E8</v>
      </c>
      <c r="J397" s="6">
        <v>2.224927283792E10</v>
      </c>
    </row>
    <row r="398">
      <c r="A398" s="4" t="s">
        <v>10</v>
      </c>
      <c r="B398" s="5">
        <v>42215.0</v>
      </c>
      <c r="C398" s="6">
        <v>210.82</v>
      </c>
      <c r="D398" s="13">
        <f>+0.05</f>
        <v>0.05</v>
      </c>
      <c r="E398" s="14">
        <f>+0.02%</f>
        <v>0.0002</v>
      </c>
      <c r="F398" s="6">
        <v>210.16</v>
      </c>
      <c r="G398" s="6">
        <v>209.42</v>
      </c>
      <c r="H398" s="6">
        <v>211.02</v>
      </c>
      <c r="I398" s="9">
        <v>9.1304374E7</v>
      </c>
      <c r="J398" s="6">
        <v>1.921808843403E10</v>
      </c>
    </row>
    <row r="399">
      <c r="A399" s="4" t="s">
        <v>10</v>
      </c>
      <c r="B399" s="5">
        <v>42216.0</v>
      </c>
      <c r="C399" s="6">
        <v>210.5</v>
      </c>
      <c r="D399" s="11">
        <v>-0.32</v>
      </c>
      <c r="E399" s="12">
        <v>-0.0015</v>
      </c>
      <c r="F399" s="6">
        <v>211.42</v>
      </c>
      <c r="G399" s="6">
        <v>210.16</v>
      </c>
      <c r="H399" s="6">
        <v>211.45</v>
      </c>
      <c r="I399" s="9">
        <v>1.03266857E8</v>
      </c>
      <c r="J399" s="6">
        <v>2.175864070053E10</v>
      </c>
    </row>
    <row r="400">
      <c r="A400" s="4" t="s">
        <v>10</v>
      </c>
      <c r="B400" s="5">
        <v>42219.0</v>
      </c>
      <c r="C400" s="6">
        <v>209.79</v>
      </c>
      <c r="D400" s="11">
        <v>-0.71</v>
      </c>
      <c r="E400" s="12">
        <v>-0.0034</v>
      </c>
      <c r="F400" s="6">
        <v>210.46</v>
      </c>
      <c r="G400" s="6">
        <v>208.65</v>
      </c>
      <c r="H400" s="6">
        <v>210.53</v>
      </c>
      <c r="I400" s="9">
        <v>1.13965728E8</v>
      </c>
      <c r="J400" s="6">
        <v>2.389018517013E10</v>
      </c>
    </row>
    <row r="401">
      <c r="A401" s="4" t="s">
        <v>10</v>
      </c>
      <c r="B401" s="5">
        <v>42220.0</v>
      </c>
      <c r="C401" s="6">
        <v>209.38</v>
      </c>
      <c r="D401" s="11">
        <v>-0.41</v>
      </c>
      <c r="E401" s="12">
        <v>-0.002</v>
      </c>
      <c r="F401" s="6">
        <v>209.7</v>
      </c>
      <c r="G401" s="6">
        <v>208.8</v>
      </c>
      <c r="H401" s="6">
        <v>210.25</v>
      </c>
      <c r="I401" s="9">
        <v>8.1820823E7</v>
      </c>
      <c r="J401" s="6">
        <v>1.714302681542E10</v>
      </c>
    </row>
    <row r="402">
      <c r="A402" s="4" t="s">
        <v>10</v>
      </c>
      <c r="B402" s="5">
        <v>42221.0</v>
      </c>
      <c r="C402" s="6">
        <v>210.07</v>
      </c>
      <c r="D402" s="13">
        <f>+0.69</f>
        <v>0.69</v>
      </c>
      <c r="E402" s="14">
        <f>+0.33%</f>
        <v>0.0033</v>
      </c>
      <c r="F402" s="6">
        <v>210.45</v>
      </c>
      <c r="G402" s="6">
        <v>209.73</v>
      </c>
      <c r="H402" s="6">
        <v>211.31</v>
      </c>
      <c r="I402" s="9">
        <v>8.5786817E7</v>
      </c>
      <c r="J402" s="6">
        <v>1.805188822068E10</v>
      </c>
    </row>
    <row r="403">
      <c r="A403" s="4" t="s">
        <v>10</v>
      </c>
      <c r="B403" s="5">
        <v>42222.0</v>
      </c>
      <c r="C403" s="6">
        <v>208.35</v>
      </c>
      <c r="D403" s="11">
        <v>-1.72</v>
      </c>
      <c r="E403" s="12">
        <v>-0.0082</v>
      </c>
      <c r="F403" s="6">
        <v>210.29</v>
      </c>
      <c r="G403" s="6">
        <v>207.65</v>
      </c>
      <c r="H403" s="6">
        <v>210.42</v>
      </c>
      <c r="I403" s="9">
        <v>1.16030803E8</v>
      </c>
      <c r="J403" s="6">
        <v>2.4205259634E10</v>
      </c>
    </row>
    <row r="404">
      <c r="A404" s="4" t="s">
        <v>10</v>
      </c>
      <c r="B404" s="5">
        <v>42223.0</v>
      </c>
      <c r="C404" s="6">
        <v>207.95</v>
      </c>
      <c r="D404" s="11">
        <v>-0.4</v>
      </c>
      <c r="E404" s="12">
        <v>-0.0019</v>
      </c>
      <c r="F404" s="6">
        <v>208.16</v>
      </c>
      <c r="G404" s="6">
        <v>206.87</v>
      </c>
      <c r="H404" s="6">
        <v>208.34</v>
      </c>
      <c r="I404" s="9">
        <v>1.17857956E8</v>
      </c>
      <c r="J404" s="6">
        <v>2.447821660829E10</v>
      </c>
    </row>
    <row r="405">
      <c r="A405" s="4" t="s">
        <v>10</v>
      </c>
      <c r="B405" s="5">
        <v>42226.0</v>
      </c>
      <c r="C405" s="6">
        <v>210.57</v>
      </c>
      <c r="D405" s="13">
        <f>+2.62</f>
        <v>2.62</v>
      </c>
      <c r="E405" s="14">
        <f>+1.26%</f>
        <v>0.0126</v>
      </c>
      <c r="F405" s="6">
        <v>209.28</v>
      </c>
      <c r="G405" s="6">
        <v>209.28</v>
      </c>
      <c r="H405" s="6">
        <v>210.67</v>
      </c>
      <c r="I405" s="9">
        <v>8.0270676E7</v>
      </c>
      <c r="J405" s="6">
        <v>1.686938170312E10</v>
      </c>
    </row>
    <row r="406">
      <c r="A406" s="4" t="s">
        <v>10</v>
      </c>
      <c r="B406" s="5">
        <v>42227.0</v>
      </c>
      <c r="C406" s="6">
        <v>208.67</v>
      </c>
      <c r="D406" s="11">
        <v>-1.9</v>
      </c>
      <c r="E406" s="12">
        <v>-0.009</v>
      </c>
      <c r="F406" s="6">
        <v>208.97</v>
      </c>
      <c r="G406" s="6">
        <v>207.76</v>
      </c>
      <c r="H406" s="6">
        <v>209.47</v>
      </c>
      <c r="I406" s="9">
        <v>1.26081377E8</v>
      </c>
      <c r="J406" s="6">
        <v>2.632957242499E10</v>
      </c>
    </row>
    <row r="407">
      <c r="A407" s="4" t="s">
        <v>10</v>
      </c>
      <c r="B407" s="5">
        <v>42228.0</v>
      </c>
      <c r="C407" s="6">
        <v>208.92</v>
      </c>
      <c r="D407" s="13">
        <f>+0.25</f>
        <v>0.25</v>
      </c>
      <c r="E407" s="14">
        <f>+0.12%</f>
        <v>0.0012</v>
      </c>
      <c r="F407" s="6">
        <v>207.11</v>
      </c>
      <c r="G407" s="6">
        <v>205.36</v>
      </c>
      <c r="H407" s="6">
        <v>209.14</v>
      </c>
      <c r="I407" s="9">
        <v>1.72123672E8</v>
      </c>
      <c r="J407" s="6">
        <v>3.569407207127E10</v>
      </c>
    </row>
    <row r="408">
      <c r="A408" s="4" t="s">
        <v>10</v>
      </c>
      <c r="B408" s="5">
        <v>42229.0</v>
      </c>
      <c r="C408" s="6">
        <v>208.66</v>
      </c>
      <c r="D408" s="11">
        <v>-0.26</v>
      </c>
      <c r="E408" s="12">
        <v>-0.0012</v>
      </c>
      <c r="F408" s="6">
        <v>208.73</v>
      </c>
      <c r="G408" s="6">
        <v>208.01</v>
      </c>
      <c r="H408" s="6">
        <v>209.55</v>
      </c>
      <c r="I408" s="9">
        <v>8.9383253E7</v>
      </c>
      <c r="J408" s="6">
        <v>1.866712535446E10</v>
      </c>
    </row>
    <row r="409">
      <c r="A409" s="4" t="s">
        <v>10</v>
      </c>
      <c r="B409" s="5">
        <v>42230.0</v>
      </c>
      <c r="C409" s="6">
        <v>209.42</v>
      </c>
      <c r="D409" s="13">
        <f>+0.76</f>
        <v>0.76</v>
      </c>
      <c r="E409" s="14">
        <f>+0.36%</f>
        <v>0.0036</v>
      </c>
      <c r="F409" s="6">
        <v>208.43</v>
      </c>
      <c r="G409" s="6">
        <v>208.26</v>
      </c>
      <c r="H409" s="6">
        <v>209.51</v>
      </c>
      <c r="I409" s="9">
        <v>7.2786528E7</v>
      </c>
      <c r="J409" s="6">
        <v>1.521491892416E10</v>
      </c>
    </row>
    <row r="410">
      <c r="A410" s="4" t="s">
        <v>10</v>
      </c>
      <c r="B410" s="5">
        <v>42233.0</v>
      </c>
      <c r="C410" s="6">
        <v>210.59</v>
      </c>
      <c r="D410" s="13">
        <f>+1.17</f>
        <v>1.17</v>
      </c>
      <c r="E410" s="14">
        <f>+0.56%</f>
        <v>0.0056</v>
      </c>
      <c r="F410" s="6">
        <v>208.71</v>
      </c>
      <c r="G410" s="6">
        <v>208.16</v>
      </c>
      <c r="H410" s="6">
        <v>210.59</v>
      </c>
      <c r="I410" s="9">
        <v>7.9072643E7</v>
      </c>
      <c r="J410" s="6">
        <v>1.657986792436E10</v>
      </c>
    </row>
    <row r="411">
      <c r="A411" s="4" t="s">
        <v>10</v>
      </c>
      <c r="B411" s="5">
        <v>42234.0</v>
      </c>
      <c r="C411" s="6">
        <v>209.98</v>
      </c>
      <c r="D411" s="11">
        <v>-0.61</v>
      </c>
      <c r="E411" s="12">
        <v>-0.0029</v>
      </c>
      <c r="F411" s="6">
        <v>210.26</v>
      </c>
      <c r="G411" s="6">
        <v>209.7</v>
      </c>
      <c r="H411" s="6">
        <v>210.68</v>
      </c>
      <c r="I411" s="9">
        <v>7.1692678E7</v>
      </c>
      <c r="J411" s="6">
        <v>1.506320800545E10</v>
      </c>
    </row>
    <row r="412">
      <c r="A412" s="4" t="s">
        <v>10</v>
      </c>
      <c r="B412" s="5">
        <v>42235.0</v>
      </c>
      <c r="C412" s="6">
        <v>208.32</v>
      </c>
      <c r="D412" s="11">
        <v>-1.66</v>
      </c>
      <c r="E412" s="12">
        <v>-0.0079</v>
      </c>
      <c r="F412" s="6">
        <v>209.09</v>
      </c>
      <c r="G412" s="6">
        <v>207.35</v>
      </c>
      <c r="H412" s="6">
        <v>210.01</v>
      </c>
      <c r="I412" s="9">
        <v>1.72945975E8</v>
      </c>
      <c r="J412" s="6">
        <v>3.607495413617E10</v>
      </c>
    </row>
    <row r="413">
      <c r="A413" s="4" t="s">
        <v>10</v>
      </c>
      <c r="B413" s="5">
        <v>42236.0</v>
      </c>
      <c r="C413" s="6">
        <v>203.97</v>
      </c>
      <c r="D413" s="11">
        <v>-4.35</v>
      </c>
      <c r="E413" s="12">
        <v>-0.0209</v>
      </c>
      <c r="F413" s="6">
        <v>206.51</v>
      </c>
      <c r="G413" s="6">
        <v>203.9</v>
      </c>
      <c r="H413" s="6">
        <v>208.29</v>
      </c>
      <c r="I413" s="9">
        <v>1.94327884E8</v>
      </c>
      <c r="J413" s="6">
        <v>3.994258908802E10</v>
      </c>
    </row>
    <row r="414">
      <c r="A414" s="4" t="s">
        <v>10</v>
      </c>
      <c r="B414" s="5">
        <v>42237.0</v>
      </c>
      <c r="C414" s="6">
        <v>197.83</v>
      </c>
      <c r="D414" s="11">
        <v>-6.14</v>
      </c>
      <c r="E414" s="12">
        <v>-0.0301</v>
      </c>
      <c r="F414" s="6">
        <v>201.73</v>
      </c>
      <c r="G414" s="6">
        <v>197.52</v>
      </c>
      <c r="H414" s="6">
        <v>203.94</v>
      </c>
      <c r="I414" s="9">
        <v>3.46588469E8</v>
      </c>
      <c r="J414" s="6">
        <v>6.945531457711E10</v>
      </c>
    </row>
    <row r="415">
      <c r="A415" s="4" t="s">
        <v>10</v>
      </c>
      <c r="B415" s="5">
        <v>42240.0</v>
      </c>
      <c r="C415" s="6">
        <v>189.5</v>
      </c>
      <c r="D415" s="11">
        <v>-8.33</v>
      </c>
      <c r="E415" s="12">
        <v>-0.0421</v>
      </c>
      <c r="F415" s="6">
        <v>187.49</v>
      </c>
      <c r="G415" s="6">
        <v>182.4</v>
      </c>
      <c r="H415" s="6">
        <v>197.48</v>
      </c>
      <c r="I415" s="9">
        <v>5.07244333E8</v>
      </c>
      <c r="J415" s="6">
        <v>9.734621974967E10</v>
      </c>
    </row>
    <row r="416">
      <c r="A416" s="4" t="s">
        <v>10</v>
      </c>
      <c r="B416" s="5">
        <v>42241.0</v>
      </c>
      <c r="C416" s="6">
        <v>187.27</v>
      </c>
      <c r="D416" s="11">
        <v>-2.23</v>
      </c>
      <c r="E416" s="12">
        <v>-0.0118</v>
      </c>
      <c r="F416" s="6">
        <v>195.43</v>
      </c>
      <c r="G416" s="6">
        <v>186.92</v>
      </c>
      <c r="H416" s="6">
        <v>195.45</v>
      </c>
      <c r="I416" s="9">
        <v>3.69833071E8</v>
      </c>
      <c r="J416" s="6">
        <v>7.095365929278E10</v>
      </c>
    </row>
    <row r="417">
      <c r="A417" s="4" t="s">
        <v>10</v>
      </c>
      <c r="B417" s="5">
        <v>42242.0</v>
      </c>
      <c r="C417" s="6">
        <v>194.46</v>
      </c>
      <c r="D417" s="13">
        <f>+7.19</f>
        <v>7.19</v>
      </c>
      <c r="E417" s="14">
        <f>+3.84%</f>
        <v>0.0384</v>
      </c>
      <c r="F417" s="6">
        <v>192.08</v>
      </c>
      <c r="G417" s="6">
        <v>188.37</v>
      </c>
      <c r="H417" s="6">
        <v>194.79</v>
      </c>
      <c r="I417" s="9">
        <v>3.39256986E8</v>
      </c>
      <c r="J417" s="6">
        <v>6.481887587774E10</v>
      </c>
    </row>
    <row r="418">
      <c r="A418" s="4" t="s">
        <v>10</v>
      </c>
      <c r="B418" s="5">
        <v>42243.0</v>
      </c>
      <c r="C418" s="6">
        <v>199.27</v>
      </c>
      <c r="D418" s="13">
        <f>+4.81</f>
        <v>4.81</v>
      </c>
      <c r="E418" s="14">
        <f>+2.47%</f>
        <v>0.0247</v>
      </c>
      <c r="F418" s="6">
        <v>197.02</v>
      </c>
      <c r="G418" s="6">
        <v>195.21</v>
      </c>
      <c r="H418" s="6">
        <v>199.42</v>
      </c>
      <c r="I418" s="9">
        <v>2.74143906E8</v>
      </c>
      <c r="J418" s="6">
        <v>5.416878105186E10</v>
      </c>
    </row>
    <row r="419">
      <c r="A419" s="4" t="s">
        <v>10</v>
      </c>
      <c r="B419" s="5">
        <v>42244.0</v>
      </c>
      <c r="C419" s="6">
        <v>199.28</v>
      </c>
      <c r="D419" s="13">
        <f>+0.01</f>
        <v>0.01</v>
      </c>
      <c r="E419" s="14">
        <f>+0.01%</f>
        <v>0.0001</v>
      </c>
      <c r="F419" s="6">
        <v>198.5</v>
      </c>
      <c r="G419" s="6">
        <v>197.92</v>
      </c>
      <c r="H419" s="6">
        <v>199.84</v>
      </c>
      <c r="I419" s="9">
        <v>1.60414352E8</v>
      </c>
      <c r="J419" s="6">
        <v>3.190681762821E10</v>
      </c>
    </row>
    <row r="420">
      <c r="A420" s="4" t="s">
        <v>10</v>
      </c>
      <c r="B420" s="5">
        <v>42247.0</v>
      </c>
      <c r="C420" s="6">
        <v>197.67</v>
      </c>
      <c r="D420" s="11">
        <v>-1.61</v>
      </c>
      <c r="E420" s="12">
        <v>-0.0081</v>
      </c>
      <c r="F420" s="6">
        <v>198.11</v>
      </c>
      <c r="G420" s="6">
        <v>197.01</v>
      </c>
      <c r="H420" s="6">
        <v>199.13</v>
      </c>
      <c r="I420" s="9">
        <v>1.63298816E8</v>
      </c>
      <c r="J420" s="6">
        <v>3.234060511205E10</v>
      </c>
    </row>
    <row r="421">
      <c r="A421" s="4" t="s">
        <v>10</v>
      </c>
      <c r="B421" s="5">
        <v>42248.0</v>
      </c>
      <c r="C421" s="6">
        <v>191.77</v>
      </c>
      <c r="D421" s="11">
        <v>-5.9</v>
      </c>
      <c r="E421" s="12">
        <v>-0.0298</v>
      </c>
      <c r="F421" s="6">
        <v>193.12</v>
      </c>
      <c r="G421" s="6">
        <v>190.73</v>
      </c>
      <c r="H421" s="6">
        <v>194.77</v>
      </c>
      <c r="I421" s="9">
        <v>2.56000392E8</v>
      </c>
      <c r="J421" s="6">
        <v>4.960213144686E10</v>
      </c>
    </row>
    <row r="422">
      <c r="A422" s="4" t="s">
        <v>10</v>
      </c>
      <c r="B422" s="5">
        <v>42249.0</v>
      </c>
      <c r="C422" s="6">
        <v>195.41</v>
      </c>
      <c r="D422" s="13">
        <f>+3.64</f>
        <v>3.64</v>
      </c>
      <c r="E422" s="14">
        <f>+1.9%</f>
        <v>0.019</v>
      </c>
      <c r="F422" s="6">
        <v>194.62</v>
      </c>
      <c r="G422" s="6">
        <v>192.42</v>
      </c>
      <c r="H422" s="6">
        <v>195.46</v>
      </c>
      <c r="I422" s="9">
        <v>1.60269331E8</v>
      </c>
      <c r="J422" s="6">
        <v>3.106972155926E10</v>
      </c>
    </row>
    <row r="423">
      <c r="A423" s="4" t="s">
        <v>10</v>
      </c>
      <c r="B423" s="5">
        <v>42250.0</v>
      </c>
      <c r="C423" s="6">
        <v>195.55</v>
      </c>
      <c r="D423" s="13">
        <f>+0.14</f>
        <v>0.14</v>
      </c>
      <c r="E423" s="14">
        <f>+0.07%</f>
        <v>0.0007</v>
      </c>
      <c r="F423" s="6">
        <v>196.26</v>
      </c>
      <c r="G423" s="6">
        <v>194.96</v>
      </c>
      <c r="H423" s="6">
        <v>198.05</v>
      </c>
      <c r="I423" s="9">
        <v>1.52087836E8</v>
      </c>
      <c r="J423" s="6">
        <v>2.985020291423E10</v>
      </c>
    </row>
    <row r="424">
      <c r="A424" s="4" t="s">
        <v>10</v>
      </c>
      <c r="B424" s="5">
        <v>42251.0</v>
      </c>
      <c r="C424" s="6">
        <v>192.59</v>
      </c>
      <c r="D424" s="11">
        <v>-2.96</v>
      </c>
      <c r="E424" s="12">
        <v>-0.0151</v>
      </c>
      <c r="F424" s="6">
        <v>192.85</v>
      </c>
      <c r="G424" s="6">
        <v>191.61</v>
      </c>
      <c r="H424" s="6">
        <v>193.86</v>
      </c>
      <c r="I424" s="9">
        <v>2.07080961E8</v>
      </c>
      <c r="J424" s="6">
        <v>4.002422862656E10</v>
      </c>
    </row>
    <row r="425">
      <c r="A425" s="4" t="s">
        <v>10</v>
      </c>
      <c r="B425" s="5">
        <v>42255.0</v>
      </c>
      <c r="C425" s="6">
        <v>197.43</v>
      </c>
      <c r="D425" s="13">
        <f>+4.84</f>
        <v>4.84</v>
      </c>
      <c r="E425" s="14">
        <f>+2.51%</f>
        <v>0.0251</v>
      </c>
      <c r="F425" s="6">
        <v>195.94</v>
      </c>
      <c r="G425" s="6">
        <v>195.17</v>
      </c>
      <c r="H425" s="6">
        <v>197.61</v>
      </c>
      <c r="I425" s="9">
        <v>1.16025739E8</v>
      </c>
      <c r="J425" s="6">
        <v>2.278426173332E10</v>
      </c>
    </row>
    <row r="426">
      <c r="A426" s="4" t="s">
        <v>10</v>
      </c>
      <c r="B426" s="5">
        <v>42256.0</v>
      </c>
      <c r="C426" s="6">
        <v>194.79</v>
      </c>
      <c r="D426" s="11">
        <v>-2.64</v>
      </c>
      <c r="E426" s="12">
        <v>-0.0134</v>
      </c>
      <c r="F426" s="6">
        <v>199.32</v>
      </c>
      <c r="G426" s="6">
        <v>194.35</v>
      </c>
      <c r="H426" s="6">
        <v>199.47</v>
      </c>
      <c r="I426" s="9">
        <v>1.49347735E8</v>
      </c>
      <c r="J426" s="6">
        <v>2.940516479925E10</v>
      </c>
    </row>
    <row r="427">
      <c r="A427" s="4" t="s">
        <v>10</v>
      </c>
      <c r="B427" s="5">
        <v>42257.0</v>
      </c>
      <c r="C427" s="6">
        <v>195.85</v>
      </c>
      <c r="D427" s="13">
        <f>+1.06</f>
        <v>1.06</v>
      </c>
      <c r="E427" s="14">
        <f>+0.54%</f>
        <v>0.0054</v>
      </c>
      <c r="F427" s="6">
        <v>194.56</v>
      </c>
      <c r="G427" s="6">
        <v>194.25</v>
      </c>
      <c r="H427" s="6">
        <v>197.22</v>
      </c>
      <c r="I427" s="9">
        <v>1.58611063E8</v>
      </c>
      <c r="J427" s="6">
        <v>3.101196985567E10</v>
      </c>
    </row>
    <row r="428">
      <c r="A428" s="4" t="s">
        <v>10</v>
      </c>
      <c r="B428" s="5">
        <v>42258.0</v>
      </c>
      <c r="C428" s="6">
        <v>196.74</v>
      </c>
      <c r="D428" s="13">
        <f>+0.89</f>
        <v>0.89</v>
      </c>
      <c r="E428" s="14">
        <f>+0.45%</f>
        <v>0.0045</v>
      </c>
      <c r="F428" s="6">
        <v>195.38</v>
      </c>
      <c r="G428" s="6">
        <v>194.53</v>
      </c>
      <c r="H428" s="6">
        <v>196.82</v>
      </c>
      <c r="I428" s="9">
        <v>1.19691212E8</v>
      </c>
      <c r="J428" s="6">
        <v>2.343864466037E10</v>
      </c>
    </row>
    <row r="429">
      <c r="A429" s="4" t="s">
        <v>10</v>
      </c>
      <c r="B429" s="5">
        <v>42261.0</v>
      </c>
      <c r="C429" s="6">
        <v>196.01</v>
      </c>
      <c r="D429" s="11">
        <v>-0.73</v>
      </c>
      <c r="E429" s="12">
        <v>-0.0037</v>
      </c>
      <c r="F429" s="6">
        <v>196.95</v>
      </c>
      <c r="G429" s="6">
        <v>195.43</v>
      </c>
      <c r="H429" s="6">
        <v>197.01</v>
      </c>
      <c r="I429" s="9">
        <v>7.9451983E7</v>
      </c>
      <c r="J429" s="6">
        <v>1.557834872652E10</v>
      </c>
    </row>
    <row r="430">
      <c r="A430" s="4" t="s">
        <v>10</v>
      </c>
      <c r="B430" s="5">
        <v>42262.0</v>
      </c>
      <c r="C430" s="6">
        <v>198.46</v>
      </c>
      <c r="D430" s="13">
        <f>+2.45</f>
        <v>2.45</v>
      </c>
      <c r="E430" s="14">
        <f>+1.25%</f>
        <v>0.0125</v>
      </c>
      <c r="F430" s="6">
        <v>196.61</v>
      </c>
      <c r="G430" s="6">
        <v>195.96</v>
      </c>
      <c r="H430" s="6">
        <v>198.99</v>
      </c>
      <c r="I430" s="9">
        <v>1.13806176E8</v>
      </c>
      <c r="J430" s="6">
        <v>2.250483303756E10</v>
      </c>
    </row>
    <row r="431">
      <c r="A431" s="4" t="s">
        <v>10</v>
      </c>
      <c r="B431" s="5">
        <v>42263.0</v>
      </c>
      <c r="C431" s="6">
        <v>200.18</v>
      </c>
      <c r="D431" s="13">
        <f>+1.72</f>
        <v>1.72</v>
      </c>
      <c r="E431" s="14">
        <f>+0.87%</f>
        <v>0.0087</v>
      </c>
      <c r="F431" s="6">
        <v>198.82</v>
      </c>
      <c r="G431" s="6">
        <v>198.41</v>
      </c>
      <c r="H431" s="6">
        <v>200.41</v>
      </c>
      <c r="I431" s="9">
        <v>9.9581557E7</v>
      </c>
      <c r="J431" s="6">
        <v>1.98665738276E10</v>
      </c>
    </row>
    <row r="432">
      <c r="A432" s="4" t="s">
        <v>10</v>
      </c>
      <c r="B432" s="5">
        <v>42264.0</v>
      </c>
      <c r="C432" s="6">
        <v>199.73</v>
      </c>
      <c r="D432" s="11">
        <v>-0.45</v>
      </c>
      <c r="E432" s="12">
        <v>-0.0022</v>
      </c>
      <c r="F432" s="6">
        <v>200.02</v>
      </c>
      <c r="G432" s="6">
        <v>199.28</v>
      </c>
      <c r="H432" s="6">
        <v>202.89</v>
      </c>
      <c r="I432" s="9">
        <v>2.76046618E8</v>
      </c>
      <c r="J432" s="6">
        <v>5.5363460794E10</v>
      </c>
    </row>
    <row r="433">
      <c r="A433" s="4" t="s">
        <v>10</v>
      </c>
      <c r="B433" s="5">
        <v>42265.0</v>
      </c>
      <c r="C433" s="6">
        <v>195.45</v>
      </c>
      <c r="D433" s="11">
        <v>-4.28</v>
      </c>
      <c r="E433" s="12">
        <v>-0.0214</v>
      </c>
      <c r="F433" s="6">
        <v>195.71</v>
      </c>
      <c r="G433" s="6">
        <v>194.96</v>
      </c>
      <c r="H433" s="6">
        <v>198.68</v>
      </c>
      <c r="I433" s="9">
        <v>2.23657456E8</v>
      </c>
      <c r="J433" s="6">
        <v>4.3931070563E10</v>
      </c>
    </row>
    <row r="434">
      <c r="A434" s="4" t="s">
        <v>10</v>
      </c>
      <c r="B434" s="5">
        <v>42268.0</v>
      </c>
      <c r="C434" s="6">
        <v>196.46</v>
      </c>
      <c r="D434" s="13">
        <f>+1.01</f>
        <v>1.01</v>
      </c>
      <c r="E434" s="14">
        <f>+0.52%</f>
        <v>0.0052</v>
      </c>
      <c r="F434" s="6">
        <v>196.44</v>
      </c>
      <c r="G434" s="6">
        <v>195.21</v>
      </c>
      <c r="H434" s="6">
        <v>197.68</v>
      </c>
      <c r="I434" s="9">
        <v>1.05726209E8</v>
      </c>
      <c r="J434" s="6">
        <v>2.077159003686E10</v>
      </c>
    </row>
    <row r="435">
      <c r="A435" s="4" t="s">
        <v>10</v>
      </c>
      <c r="B435" s="5">
        <v>42269.0</v>
      </c>
      <c r="C435" s="6">
        <v>193.91</v>
      </c>
      <c r="D435" s="11">
        <v>-2.55</v>
      </c>
      <c r="E435" s="12">
        <v>-0.013</v>
      </c>
      <c r="F435" s="6">
        <v>193.88</v>
      </c>
      <c r="G435" s="6">
        <v>192.56</v>
      </c>
      <c r="H435" s="6">
        <v>194.46</v>
      </c>
      <c r="I435" s="9">
        <v>1.53890876E8</v>
      </c>
      <c r="J435" s="6">
        <v>2.984343656417E10</v>
      </c>
    </row>
    <row r="436">
      <c r="A436" s="4" t="s">
        <v>10</v>
      </c>
      <c r="B436" s="5">
        <v>42270.0</v>
      </c>
      <c r="C436" s="6">
        <v>193.6</v>
      </c>
      <c r="D436" s="11">
        <v>-0.31</v>
      </c>
      <c r="E436" s="12">
        <v>-0.0016</v>
      </c>
      <c r="F436" s="6">
        <v>194.11</v>
      </c>
      <c r="G436" s="6">
        <v>192.91</v>
      </c>
      <c r="H436" s="6">
        <v>194.67</v>
      </c>
      <c r="I436" s="9">
        <v>9.279062E7</v>
      </c>
      <c r="J436" s="6">
        <v>1.797657166644E10</v>
      </c>
    </row>
    <row r="437">
      <c r="A437" s="4" t="s">
        <v>10</v>
      </c>
      <c r="B437" s="5">
        <v>42271.0</v>
      </c>
      <c r="C437" s="6">
        <v>192.9</v>
      </c>
      <c r="D437" s="11">
        <v>-0.7</v>
      </c>
      <c r="E437" s="12">
        <v>-0.0036</v>
      </c>
      <c r="F437" s="6">
        <v>192.15</v>
      </c>
      <c r="G437" s="6">
        <v>190.56</v>
      </c>
      <c r="H437" s="6">
        <v>193.45</v>
      </c>
      <c r="I437" s="9">
        <v>1.5937884E8</v>
      </c>
      <c r="J437" s="6">
        <v>3.060866802475E10</v>
      </c>
    </row>
    <row r="438">
      <c r="A438" s="4" t="s">
        <v>10</v>
      </c>
      <c r="B438" s="5">
        <v>42272.0</v>
      </c>
      <c r="C438" s="6">
        <v>192.85</v>
      </c>
      <c r="D438" s="11">
        <v>-0.05</v>
      </c>
      <c r="E438" s="12">
        <v>-3.0E-4</v>
      </c>
      <c r="F438" s="6">
        <v>194.64</v>
      </c>
      <c r="G438" s="6">
        <v>191.81</v>
      </c>
      <c r="H438" s="6">
        <v>195.0</v>
      </c>
      <c r="I438" s="9">
        <v>1.55054777E8</v>
      </c>
      <c r="J438" s="6">
        <v>3.001711869999E10</v>
      </c>
    </row>
    <row r="439">
      <c r="A439" s="4" t="s">
        <v>10</v>
      </c>
      <c r="B439" s="5">
        <v>42275.0</v>
      </c>
      <c r="C439" s="6">
        <v>188.01</v>
      </c>
      <c r="D439" s="11">
        <v>-4.84</v>
      </c>
      <c r="E439" s="12">
        <v>-0.0251</v>
      </c>
      <c r="F439" s="6">
        <v>191.78</v>
      </c>
      <c r="G439" s="6">
        <v>187.64</v>
      </c>
      <c r="H439" s="6">
        <v>191.91</v>
      </c>
      <c r="I439" s="9">
        <v>1.78515871E8</v>
      </c>
      <c r="J439" s="6">
        <v>3.378277245066E10</v>
      </c>
    </row>
    <row r="440">
      <c r="A440" s="4" t="s">
        <v>10</v>
      </c>
      <c r="B440" s="5">
        <v>42276.0</v>
      </c>
      <c r="C440" s="6">
        <v>188.12</v>
      </c>
      <c r="D440" s="13">
        <f>+0.11</f>
        <v>0.11</v>
      </c>
      <c r="E440" s="14">
        <f>+0.06%</f>
        <v>0.0006</v>
      </c>
      <c r="F440" s="6">
        <v>188.27</v>
      </c>
      <c r="G440" s="6">
        <v>186.93</v>
      </c>
      <c r="H440" s="6">
        <v>189.74</v>
      </c>
      <c r="I440" s="9">
        <v>1.59045572E8</v>
      </c>
      <c r="J440" s="6">
        <v>2.993831229551E10</v>
      </c>
    </row>
    <row r="441">
      <c r="A441" s="4" t="s">
        <v>10</v>
      </c>
      <c r="B441" s="5">
        <v>42277.0</v>
      </c>
      <c r="C441" s="6">
        <v>191.63</v>
      </c>
      <c r="D441" s="13">
        <f>+3.51</f>
        <v>3.51</v>
      </c>
      <c r="E441" s="14">
        <f>+1.87%</f>
        <v>0.0187</v>
      </c>
      <c r="F441" s="6">
        <v>190.37</v>
      </c>
      <c r="G441" s="6">
        <v>189.44</v>
      </c>
      <c r="H441" s="6">
        <v>191.83</v>
      </c>
      <c r="I441" s="9">
        <v>1.63452044E8</v>
      </c>
      <c r="J441" s="6">
        <v>3.118271291015E10</v>
      </c>
    </row>
    <row r="442">
      <c r="A442" s="4" t="s">
        <v>10</v>
      </c>
      <c r="B442" s="5">
        <v>42278.0</v>
      </c>
      <c r="C442" s="6">
        <v>192.13</v>
      </c>
      <c r="D442" s="13">
        <f>+0.5</f>
        <v>0.5</v>
      </c>
      <c r="E442" s="14">
        <f>+0.26%</f>
        <v>0.0026</v>
      </c>
      <c r="F442" s="6">
        <v>192.08</v>
      </c>
      <c r="G442" s="6">
        <v>189.82</v>
      </c>
      <c r="H442" s="6">
        <v>192.49</v>
      </c>
      <c r="I442" s="9">
        <v>1.31078964E8</v>
      </c>
      <c r="J442" s="6">
        <v>2.507281839102E10</v>
      </c>
    </row>
    <row r="443">
      <c r="A443" s="4" t="s">
        <v>10</v>
      </c>
      <c r="B443" s="5">
        <v>42279.0</v>
      </c>
      <c r="C443" s="6">
        <v>195.0</v>
      </c>
      <c r="D443" s="13">
        <f>+2.87</f>
        <v>2.87</v>
      </c>
      <c r="E443" s="14">
        <f>+1.49%</f>
        <v>0.0149</v>
      </c>
      <c r="F443" s="6">
        <v>189.77</v>
      </c>
      <c r="G443" s="6">
        <v>189.12</v>
      </c>
      <c r="H443" s="6">
        <v>195.03</v>
      </c>
      <c r="I443" s="9">
        <v>2.11003342E8</v>
      </c>
      <c r="J443" s="6">
        <v>4.059166206E10</v>
      </c>
    </row>
    <row r="444">
      <c r="A444" s="4" t="s">
        <v>10</v>
      </c>
      <c r="B444" s="5">
        <v>42282.0</v>
      </c>
      <c r="C444" s="6">
        <v>198.47</v>
      </c>
      <c r="D444" s="13">
        <f>+3.47</f>
        <v>3.47</v>
      </c>
      <c r="E444" s="14">
        <f>+1.78%</f>
        <v>0.0178</v>
      </c>
      <c r="F444" s="6">
        <v>196.46</v>
      </c>
      <c r="G444" s="6">
        <v>196.33</v>
      </c>
      <c r="H444" s="6">
        <v>198.74</v>
      </c>
      <c r="I444" s="9">
        <v>1.26320842E8</v>
      </c>
      <c r="J444" s="6">
        <v>2.497286818356E10</v>
      </c>
    </row>
    <row r="445">
      <c r="A445" s="4" t="s">
        <v>10</v>
      </c>
      <c r="B445" s="5">
        <v>42283.0</v>
      </c>
      <c r="C445" s="6">
        <v>197.79</v>
      </c>
      <c r="D445" s="11">
        <v>-0.68</v>
      </c>
      <c r="E445" s="12">
        <v>-0.0034</v>
      </c>
      <c r="F445" s="6">
        <v>198.31</v>
      </c>
      <c r="G445" s="6">
        <v>197.0</v>
      </c>
      <c r="H445" s="6">
        <v>198.98</v>
      </c>
      <c r="I445" s="9">
        <v>1.1027453E8</v>
      </c>
      <c r="J445" s="6">
        <v>2.182505138886E10</v>
      </c>
    </row>
    <row r="446">
      <c r="A446" s="4" t="s">
        <v>10</v>
      </c>
      <c r="B446" s="5">
        <v>42284.0</v>
      </c>
      <c r="C446" s="6">
        <v>199.41</v>
      </c>
      <c r="D446" s="13">
        <f>+1.62</f>
        <v>1.62</v>
      </c>
      <c r="E446" s="14">
        <f>+0.82%</f>
        <v>0.0082</v>
      </c>
      <c r="F446" s="6">
        <v>198.9</v>
      </c>
      <c r="G446" s="6">
        <v>197.48</v>
      </c>
      <c r="H446" s="6">
        <v>199.83</v>
      </c>
      <c r="I446" s="9">
        <v>1.24307295E8</v>
      </c>
      <c r="J446" s="6">
        <v>2.470343009282E10</v>
      </c>
    </row>
    <row r="447">
      <c r="A447" s="4" t="s">
        <v>10</v>
      </c>
      <c r="B447" s="5">
        <v>42285.0</v>
      </c>
      <c r="C447" s="6">
        <v>201.21</v>
      </c>
      <c r="D447" s="13">
        <f>+1.8</f>
        <v>1.8</v>
      </c>
      <c r="E447" s="14">
        <f>+0.9%</f>
        <v>0.009</v>
      </c>
      <c r="F447" s="6">
        <v>198.95</v>
      </c>
      <c r="G447" s="6">
        <v>198.59</v>
      </c>
      <c r="H447" s="6">
        <v>201.55</v>
      </c>
      <c r="I447" s="9">
        <v>1.53055231E8</v>
      </c>
      <c r="J447" s="6">
        <v>3.060866392437E10</v>
      </c>
    </row>
    <row r="448">
      <c r="A448" s="4" t="s">
        <v>10</v>
      </c>
      <c r="B448" s="5">
        <v>42286.0</v>
      </c>
      <c r="C448" s="6">
        <v>201.33</v>
      </c>
      <c r="D448" s="13">
        <f>+0.12</f>
        <v>0.12</v>
      </c>
      <c r="E448" s="14">
        <f>+0.06%</f>
        <v>0.0006</v>
      </c>
      <c r="F448" s="6">
        <v>201.38</v>
      </c>
      <c r="G448" s="6">
        <v>200.58</v>
      </c>
      <c r="H448" s="6">
        <v>201.9</v>
      </c>
      <c r="I448" s="9">
        <v>1.0706924E8</v>
      </c>
      <c r="J448" s="6">
        <v>2.155301432464E10</v>
      </c>
    </row>
    <row r="449">
      <c r="A449" s="4" t="s">
        <v>10</v>
      </c>
      <c r="B449" s="5">
        <v>42289.0</v>
      </c>
      <c r="C449" s="6">
        <v>201.52</v>
      </c>
      <c r="D449" s="13">
        <f>+0.19</f>
        <v>0.19</v>
      </c>
      <c r="E449" s="14">
        <f>+0.09%</f>
        <v>0.0009</v>
      </c>
      <c r="F449" s="6">
        <v>201.42</v>
      </c>
      <c r="G449" s="6">
        <v>200.91</v>
      </c>
      <c r="H449" s="6">
        <v>201.76</v>
      </c>
      <c r="I449" s="9">
        <v>5.6395585E7</v>
      </c>
      <c r="J449" s="6">
        <v>1.135807279276E10</v>
      </c>
    </row>
    <row r="450">
      <c r="A450" s="4" t="s">
        <v>10</v>
      </c>
      <c r="B450" s="5">
        <v>42290.0</v>
      </c>
      <c r="C450" s="6">
        <v>200.25</v>
      </c>
      <c r="D450" s="11">
        <v>-1.27</v>
      </c>
      <c r="E450" s="12">
        <v>-0.0063</v>
      </c>
      <c r="F450" s="6">
        <v>200.65</v>
      </c>
      <c r="G450" s="6">
        <v>200.05</v>
      </c>
      <c r="H450" s="6">
        <v>202.16</v>
      </c>
      <c r="I450" s="9">
        <v>8.8038718E7</v>
      </c>
      <c r="J450" s="6">
        <v>1.768993023109E10</v>
      </c>
    </row>
    <row r="451">
      <c r="A451" s="4" t="s">
        <v>10</v>
      </c>
      <c r="B451" s="5">
        <v>42291.0</v>
      </c>
      <c r="C451" s="6">
        <v>199.29</v>
      </c>
      <c r="D451" s="11">
        <v>-0.96</v>
      </c>
      <c r="E451" s="12">
        <v>-0.0048</v>
      </c>
      <c r="F451" s="6">
        <v>200.18</v>
      </c>
      <c r="G451" s="6">
        <v>198.94</v>
      </c>
      <c r="H451" s="6">
        <v>200.87</v>
      </c>
      <c r="I451" s="9">
        <v>9.9106161E7</v>
      </c>
      <c r="J451" s="6">
        <v>1.979333832995E10</v>
      </c>
    </row>
    <row r="452">
      <c r="A452" s="4" t="s">
        <v>10</v>
      </c>
      <c r="B452" s="5">
        <v>42292.0</v>
      </c>
      <c r="C452" s="6">
        <v>202.35</v>
      </c>
      <c r="D452" s="13">
        <f>+3.06</f>
        <v>3.06</v>
      </c>
      <c r="E452" s="14">
        <f>+1.54%</f>
        <v>0.0154</v>
      </c>
      <c r="F452" s="6">
        <v>200.08</v>
      </c>
      <c r="G452" s="6">
        <v>199.64</v>
      </c>
      <c r="H452" s="6">
        <v>202.36</v>
      </c>
      <c r="I452" s="9">
        <v>1.34142195E8</v>
      </c>
      <c r="J452" s="6">
        <v>2.696190327813E10</v>
      </c>
    </row>
    <row r="453">
      <c r="A453" s="4" t="s">
        <v>10</v>
      </c>
      <c r="B453" s="5">
        <v>42293.0</v>
      </c>
      <c r="C453" s="6">
        <v>203.27</v>
      </c>
      <c r="D453" s="13">
        <f>+0.92</f>
        <v>0.92</v>
      </c>
      <c r="E453" s="14">
        <f>+0.45%</f>
        <v>0.0045</v>
      </c>
      <c r="F453" s="6">
        <v>202.83</v>
      </c>
      <c r="G453" s="6">
        <v>201.92</v>
      </c>
      <c r="H453" s="6">
        <v>203.29</v>
      </c>
      <c r="I453" s="9">
        <v>1.14580052E8</v>
      </c>
      <c r="J453" s="6">
        <v>2.323667415039E10</v>
      </c>
    </row>
    <row r="454">
      <c r="A454" s="4" t="s">
        <v>10</v>
      </c>
      <c r="B454" s="5">
        <v>42296.0</v>
      </c>
      <c r="C454" s="6">
        <v>203.37</v>
      </c>
      <c r="D454" s="13">
        <f>+0.1</f>
        <v>0.1</v>
      </c>
      <c r="E454" s="14">
        <f>+0.05%</f>
        <v>0.0005</v>
      </c>
      <c r="F454" s="6">
        <v>202.5</v>
      </c>
      <c r="G454" s="6">
        <v>202.13</v>
      </c>
      <c r="H454" s="6">
        <v>203.37</v>
      </c>
      <c r="I454" s="9">
        <v>7.6523897E7</v>
      </c>
      <c r="J454" s="6">
        <v>1.55282047087E10</v>
      </c>
    </row>
    <row r="455">
      <c r="A455" s="4" t="s">
        <v>10</v>
      </c>
      <c r="B455" s="5">
        <v>42297.0</v>
      </c>
      <c r="C455" s="6">
        <v>203.11</v>
      </c>
      <c r="D455" s="11">
        <v>-0.26</v>
      </c>
      <c r="E455" s="12">
        <v>-0.0013</v>
      </c>
      <c r="F455" s="6">
        <v>202.85</v>
      </c>
      <c r="G455" s="6">
        <v>202.55</v>
      </c>
      <c r="H455" s="6">
        <v>203.84</v>
      </c>
      <c r="I455" s="9">
        <v>7.8448484E7</v>
      </c>
      <c r="J455" s="6">
        <v>1.593440655127E10</v>
      </c>
    </row>
    <row r="456">
      <c r="A456" s="4" t="s">
        <v>10</v>
      </c>
      <c r="B456" s="5">
        <v>42298.0</v>
      </c>
      <c r="C456" s="6">
        <v>201.85</v>
      </c>
      <c r="D456" s="11">
        <v>-1.26</v>
      </c>
      <c r="E456" s="12">
        <v>-0.0062</v>
      </c>
      <c r="F456" s="6">
        <v>203.61</v>
      </c>
      <c r="G456" s="6">
        <v>201.65</v>
      </c>
      <c r="H456" s="6">
        <v>203.79</v>
      </c>
      <c r="I456" s="9">
        <v>1.02038033E8</v>
      </c>
      <c r="J456" s="6">
        <v>2.068416156049E10</v>
      </c>
    </row>
    <row r="457">
      <c r="A457" s="4" t="s">
        <v>10</v>
      </c>
      <c r="B457" s="5">
        <v>42299.0</v>
      </c>
      <c r="C457" s="6">
        <v>205.26</v>
      </c>
      <c r="D457" s="13">
        <f>+3.41</f>
        <v>3.41</v>
      </c>
      <c r="E457" s="14">
        <f>+1.69%</f>
        <v>0.0169</v>
      </c>
      <c r="F457" s="6">
        <v>202.98</v>
      </c>
      <c r="G457" s="6">
        <v>201.85</v>
      </c>
      <c r="H457" s="6">
        <v>205.51</v>
      </c>
      <c r="I457" s="9">
        <v>1.74911723E8</v>
      </c>
      <c r="J457" s="6">
        <v>3.570451267119E10</v>
      </c>
    </row>
    <row r="458">
      <c r="A458" s="4" t="s">
        <v>10</v>
      </c>
      <c r="B458" s="5">
        <v>42300.0</v>
      </c>
      <c r="C458" s="6">
        <v>207.51</v>
      </c>
      <c r="D458" s="13">
        <f>+2.25</f>
        <v>2.25</v>
      </c>
      <c r="E458" s="14">
        <f>+1.1%</f>
        <v>0.011</v>
      </c>
      <c r="F458" s="6">
        <v>207.25</v>
      </c>
      <c r="G458" s="6">
        <v>206.3</v>
      </c>
      <c r="H458" s="6">
        <v>207.95</v>
      </c>
      <c r="I458" s="9">
        <v>1.4444234E8</v>
      </c>
      <c r="J458" s="6">
        <v>2.98993841792E10</v>
      </c>
    </row>
    <row r="459">
      <c r="A459" s="4" t="s">
        <v>10</v>
      </c>
      <c r="B459" s="5">
        <v>42303.0</v>
      </c>
      <c r="C459" s="6">
        <v>207.0</v>
      </c>
      <c r="D459" s="11">
        <v>-0.51</v>
      </c>
      <c r="E459" s="12">
        <v>-0.0025</v>
      </c>
      <c r="F459" s="6">
        <v>207.3</v>
      </c>
      <c r="G459" s="6">
        <v>206.56</v>
      </c>
      <c r="H459" s="6">
        <v>207.37</v>
      </c>
      <c r="I459" s="9">
        <v>6.9032965E7</v>
      </c>
      <c r="J459" s="6">
        <v>1.429400651161E10</v>
      </c>
    </row>
    <row r="460">
      <c r="A460" s="4" t="s">
        <v>10</v>
      </c>
      <c r="B460" s="5">
        <v>42304.0</v>
      </c>
      <c r="C460" s="6">
        <v>206.6</v>
      </c>
      <c r="D460" s="11">
        <v>-0.4</v>
      </c>
      <c r="E460" s="12">
        <v>-0.0019</v>
      </c>
      <c r="F460" s="6">
        <v>206.2</v>
      </c>
      <c r="G460" s="6">
        <v>205.79</v>
      </c>
      <c r="H460" s="6">
        <v>207.0</v>
      </c>
      <c r="I460" s="9">
        <v>7.790577E7</v>
      </c>
      <c r="J460" s="6">
        <v>1.607796221132E10</v>
      </c>
    </row>
    <row r="461">
      <c r="A461" s="4" t="s">
        <v>10</v>
      </c>
      <c r="B461" s="5">
        <v>42305.0</v>
      </c>
      <c r="C461" s="6">
        <v>208.95</v>
      </c>
      <c r="D461" s="13">
        <f>+2.35</f>
        <v>2.35</v>
      </c>
      <c r="E461" s="14">
        <f>+1.14%</f>
        <v>0.0114</v>
      </c>
      <c r="F461" s="6">
        <v>207.0</v>
      </c>
      <c r="G461" s="6">
        <v>206.21</v>
      </c>
      <c r="H461" s="6">
        <v>208.98</v>
      </c>
      <c r="I461" s="9">
        <v>1.35906725E8</v>
      </c>
      <c r="J461" s="6">
        <v>2.821745126702E10</v>
      </c>
    </row>
    <row r="462">
      <c r="A462" s="4" t="s">
        <v>10</v>
      </c>
      <c r="B462" s="5">
        <v>42306.0</v>
      </c>
      <c r="C462" s="6">
        <v>208.83</v>
      </c>
      <c r="D462" s="11">
        <v>-0.12</v>
      </c>
      <c r="E462" s="12">
        <v>-6.0E-4</v>
      </c>
      <c r="F462" s="6">
        <v>208.35</v>
      </c>
      <c r="G462" s="6">
        <v>208.21</v>
      </c>
      <c r="H462" s="6">
        <v>209.27</v>
      </c>
      <c r="I462" s="9">
        <v>9.0525498E7</v>
      </c>
      <c r="J462" s="6">
        <v>1.889843237965E10</v>
      </c>
    </row>
    <row r="463">
      <c r="A463" s="4" t="s">
        <v>10</v>
      </c>
      <c r="B463" s="5">
        <v>42307.0</v>
      </c>
      <c r="C463" s="6">
        <v>207.93</v>
      </c>
      <c r="D463" s="11">
        <v>-0.9</v>
      </c>
      <c r="E463" s="12">
        <v>-0.0043</v>
      </c>
      <c r="F463" s="6">
        <v>209.06</v>
      </c>
      <c r="G463" s="6">
        <v>207.74</v>
      </c>
      <c r="H463" s="6">
        <v>209.44</v>
      </c>
      <c r="I463" s="9">
        <v>1.31076942E8</v>
      </c>
      <c r="J463" s="6">
        <v>2.734424382156E10</v>
      </c>
    </row>
    <row r="464">
      <c r="A464" s="4" t="s">
        <v>10</v>
      </c>
      <c r="B464" s="5">
        <v>42310.0</v>
      </c>
      <c r="C464" s="6">
        <v>210.39</v>
      </c>
      <c r="D464" s="13">
        <f>+2.46</f>
        <v>2.46</v>
      </c>
      <c r="E464" s="14">
        <f>+1.18%</f>
        <v>0.0118</v>
      </c>
      <c r="F464" s="6">
        <v>208.32</v>
      </c>
      <c r="G464" s="6">
        <v>208.17</v>
      </c>
      <c r="H464" s="6">
        <v>210.62</v>
      </c>
      <c r="I464" s="9">
        <v>8.6270811E7</v>
      </c>
      <c r="J464" s="6">
        <v>1.808304566237E10</v>
      </c>
    </row>
    <row r="465">
      <c r="A465" s="4" t="s">
        <v>10</v>
      </c>
      <c r="B465" s="5">
        <v>42311.0</v>
      </c>
      <c r="C465" s="6">
        <v>211.0</v>
      </c>
      <c r="D465" s="13">
        <f>+0.61</f>
        <v>0.61</v>
      </c>
      <c r="E465" s="14">
        <f>+0.29%</f>
        <v>0.0029</v>
      </c>
      <c r="F465" s="6">
        <v>209.97</v>
      </c>
      <c r="G465" s="6">
        <v>209.7</v>
      </c>
      <c r="H465" s="6">
        <v>211.66</v>
      </c>
      <c r="I465" s="9">
        <v>9.5246052E7</v>
      </c>
      <c r="J465" s="6">
        <v>2.007651354736E10</v>
      </c>
    </row>
    <row r="466">
      <c r="A466" s="4" t="s">
        <v>10</v>
      </c>
      <c r="B466" s="5">
        <v>42312.0</v>
      </c>
      <c r="C466" s="6">
        <v>210.36</v>
      </c>
      <c r="D466" s="11">
        <v>-0.64</v>
      </c>
      <c r="E466" s="12">
        <v>-0.003</v>
      </c>
      <c r="F466" s="6">
        <v>211.35</v>
      </c>
      <c r="G466" s="6">
        <v>209.72</v>
      </c>
      <c r="H466" s="6">
        <v>211.5</v>
      </c>
      <c r="I466" s="9">
        <v>9.6224477E7</v>
      </c>
      <c r="J466" s="6">
        <v>2.025552613894E10</v>
      </c>
    </row>
    <row r="467">
      <c r="A467" s="4" t="s">
        <v>10</v>
      </c>
      <c r="B467" s="5">
        <v>42313.0</v>
      </c>
      <c r="C467" s="6">
        <v>210.15</v>
      </c>
      <c r="D467" s="11">
        <v>-0.21</v>
      </c>
      <c r="E467" s="12">
        <v>-0.001</v>
      </c>
      <c r="F467" s="6">
        <v>210.43</v>
      </c>
      <c r="G467" s="6">
        <v>209.09</v>
      </c>
      <c r="H467" s="6">
        <v>210.98</v>
      </c>
      <c r="I467" s="9">
        <v>7.8408744E7</v>
      </c>
      <c r="J467" s="6">
        <v>1.647017716104E10</v>
      </c>
    </row>
    <row r="468">
      <c r="A468" s="4" t="s">
        <v>10</v>
      </c>
      <c r="B468" s="5">
        <v>42314.0</v>
      </c>
      <c r="C468" s="6">
        <v>210.04</v>
      </c>
      <c r="D468" s="11">
        <v>-0.11</v>
      </c>
      <c r="E468" s="12">
        <v>-5.0E-4</v>
      </c>
      <c r="F468" s="6">
        <v>209.74</v>
      </c>
      <c r="G468" s="6">
        <v>208.46</v>
      </c>
      <c r="H468" s="6">
        <v>210.32</v>
      </c>
      <c r="I468" s="9">
        <v>1.10471473E8</v>
      </c>
      <c r="J468" s="6">
        <v>2.314471738954E10</v>
      </c>
    </row>
    <row r="469">
      <c r="A469" s="4" t="s">
        <v>10</v>
      </c>
      <c r="B469" s="5">
        <v>42317.0</v>
      </c>
      <c r="C469" s="6">
        <v>208.08</v>
      </c>
      <c r="D469" s="11">
        <v>-1.96</v>
      </c>
      <c r="E469" s="12">
        <v>-0.0093</v>
      </c>
      <c r="F469" s="6">
        <v>209.31</v>
      </c>
      <c r="G469" s="6">
        <v>206.95</v>
      </c>
      <c r="H469" s="6">
        <v>209.49</v>
      </c>
      <c r="I469" s="9">
        <v>1.3100866E8</v>
      </c>
      <c r="J469" s="6">
        <v>2.72868440521E10</v>
      </c>
    </row>
    <row r="470">
      <c r="A470" s="4" t="s">
        <v>10</v>
      </c>
      <c r="B470" s="5">
        <v>42318.0</v>
      </c>
      <c r="C470" s="6">
        <v>208.56</v>
      </c>
      <c r="D470" s="13">
        <f>+0.48</f>
        <v>0.48</v>
      </c>
      <c r="E470" s="14">
        <f>+0.23%</f>
        <v>0.0023</v>
      </c>
      <c r="F470" s="6">
        <v>207.51</v>
      </c>
      <c r="G470" s="6">
        <v>207.19</v>
      </c>
      <c r="H470" s="6">
        <v>208.6</v>
      </c>
      <c r="I470" s="9">
        <v>7.5874602E7</v>
      </c>
      <c r="J470" s="6">
        <v>1.578227011191E10</v>
      </c>
    </row>
    <row r="471">
      <c r="A471" s="4" t="s">
        <v>10</v>
      </c>
      <c r="B471" s="5">
        <v>42319.0</v>
      </c>
      <c r="C471" s="6">
        <v>207.74</v>
      </c>
      <c r="D471" s="11">
        <v>-0.82</v>
      </c>
      <c r="E471" s="12">
        <v>-0.0039</v>
      </c>
      <c r="F471" s="6">
        <v>208.88</v>
      </c>
      <c r="G471" s="6">
        <v>207.66</v>
      </c>
      <c r="H471" s="6">
        <v>208.94</v>
      </c>
      <c r="I471" s="9">
        <v>6.7845971E7</v>
      </c>
      <c r="J471" s="6">
        <v>1.412678862318E10</v>
      </c>
    </row>
    <row r="472">
      <c r="A472" s="4" t="s">
        <v>10</v>
      </c>
      <c r="B472" s="5">
        <v>42320.0</v>
      </c>
      <c r="C472" s="6">
        <v>204.84</v>
      </c>
      <c r="D472" s="11">
        <v>-2.9</v>
      </c>
      <c r="E472" s="12">
        <v>-0.014</v>
      </c>
      <c r="F472" s="6">
        <v>206.5</v>
      </c>
      <c r="G472" s="6">
        <v>204.82</v>
      </c>
      <c r="H472" s="6">
        <v>207.06</v>
      </c>
      <c r="I472" s="9">
        <v>1.213152E8</v>
      </c>
      <c r="J472" s="6">
        <v>2.500174843327E10</v>
      </c>
    </row>
    <row r="473">
      <c r="A473" s="4" t="s">
        <v>10</v>
      </c>
      <c r="B473" s="5">
        <v>42321.0</v>
      </c>
      <c r="C473" s="6">
        <v>202.54</v>
      </c>
      <c r="D473" s="11">
        <v>-2.3</v>
      </c>
      <c r="E473" s="12">
        <v>-0.0112</v>
      </c>
      <c r="F473" s="6">
        <v>204.35</v>
      </c>
      <c r="G473" s="6">
        <v>202.44</v>
      </c>
      <c r="H473" s="6">
        <v>204.67</v>
      </c>
      <c r="I473" s="9">
        <v>1.5357705E8</v>
      </c>
      <c r="J473" s="6">
        <v>3.123847603182E10</v>
      </c>
    </row>
    <row r="474">
      <c r="A474" s="4" t="s">
        <v>10</v>
      </c>
      <c r="B474" s="5">
        <v>42324.0</v>
      </c>
      <c r="C474" s="6">
        <v>205.62</v>
      </c>
      <c r="D474" s="13">
        <f>+3.08</f>
        <v>3.08</v>
      </c>
      <c r="E474" s="14">
        <f>+1.52%</f>
        <v>0.0152</v>
      </c>
      <c r="F474" s="6">
        <v>202.32</v>
      </c>
      <c r="G474" s="6">
        <v>202.18</v>
      </c>
      <c r="H474" s="6">
        <v>205.69</v>
      </c>
      <c r="I474" s="9">
        <v>1.17645231E8</v>
      </c>
      <c r="J474" s="6">
        <v>2.399839075024E10</v>
      </c>
    </row>
    <row r="475">
      <c r="A475" s="4" t="s">
        <v>10</v>
      </c>
      <c r="B475" s="5">
        <v>42325.0</v>
      </c>
      <c r="C475" s="6">
        <v>205.47</v>
      </c>
      <c r="D475" s="11">
        <v>-0.15</v>
      </c>
      <c r="E475" s="12">
        <v>-7.0E-4</v>
      </c>
      <c r="F475" s="6">
        <v>205.99</v>
      </c>
      <c r="G475" s="6">
        <v>204.88</v>
      </c>
      <c r="H475" s="6">
        <v>207.04</v>
      </c>
      <c r="I475" s="9">
        <v>1.21123744E8</v>
      </c>
      <c r="J475" s="6">
        <v>2.493310066669E10</v>
      </c>
    </row>
    <row r="476">
      <c r="A476" s="4" t="s">
        <v>10</v>
      </c>
      <c r="B476" s="5">
        <v>42326.0</v>
      </c>
      <c r="C476" s="6">
        <v>208.73</v>
      </c>
      <c r="D476" s="13">
        <f>+3.26</f>
        <v>3.26</v>
      </c>
      <c r="E476" s="14">
        <f>+1.59%</f>
        <v>0.0159</v>
      </c>
      <c r="F476" s="6">
        <v>206.04</v>
      </c>
      <c r="G476" s="6">
        <v>205.99</v>
      </c>
      <c r="H476" s="6">
        <v>208.9</v>
      </c>
      <c r="I476" s="9">
        <v>1.21342544E8</v>
      </c>
      <c r="J476" s="6">
        <v>2.516281688548E10</v>
      </c>
    </row>
    <row r="477">
      <c r="A477" s="4" t="s">
        <v>10</v>
      </c>
      <c r="B477" s="5">
        <v>42327.0</v>
      </c>
      <c r="C477" s="6">
        <v>208.55</v>
      </c>
      <c r="D477" s="11">
        <v>-0.18</v>
      </c>
      <c r="E477" s="12">
        <v>-9.0E-4</v>
      </c>
      <c r="F477" s="6">
        <v>208.59</v>
      </c>
      <c r="G477" s="6">
        <v>208.2</v>
      </c>
      <c r="H477" s="6">
        <v>209.05</v>
      </c>
      <c r="I477" s="9">
        <v>8.8220465E7</v>
      </c>
      <c r="J477" s="6">
        <v>1.840632332647E10</v>
      </c>
    </row>
    <row r="478">
      <c r="A478" s="4" t="s">
        <v>10</v>
      </c>
      <c r="B478" s="5">
        <v>42328.0</v>
      </c>
      <c r="C478" s="6">
        <v>209.31</v>
      </c>
      <c r="D478" s="13">
        <f>+0.76</f>
        <v>0.76</v>
      </c>
      <c r="E478" s="14">
        <f>+0.36%</f>
        <v>0.0036</v>
      </c>
      <c r="F478" s="6">
        <v>209.45</v>
      </c>
      <c r="G478" s="6">
        <v>208.86</v>
      </c>
      <c r="H478" s="6">
        <v>210.12</v>
      </c>
      <c r="I478" s="9">
        <v>9.4011519E7</v>
      </c>
      <c r="J478" s="6">
        <v>1.969024218847E10</v>
      </c>
    </row>
    <row r="479">
      <c r="A479" s="4" t="s">
        <v>10</v>
      </c>
      <c r="B479" s="5">
        <v>42331.0</v>
      </c>
      <c r="C479" s="6">
        <v>209.07</v>
      </c>
      <c r="D479" s="11">
        <v>-0.24</v>
      </c>
      <c r="E479" s="12">
        <v>-0.0012</v>
      </c>
      <c r="F479" s="6">
        <v>209.38</v>
      </c>
      <c r="G479" s="6">
        <v>208.52</v>
      </c>
      <c r="H479" s="6">
        <v>209.98</v>
      </c>
      <c r="I479" s="9">
        <v>6.4931172E7</v>
      </c>
      <c r="J479" s="6">
        <v>1.359168658789E10</v>
      </c>
    </row>
    <row r="480">
      <c r="A480" s="4" t="s">
        <v>10</v>
      </c>
      <c r="B480" s="5">
        <v>42332.0</v>
      </c>
      <c r="C480" s="6">
        <v>209.35</v>
      </c>
      <c r="D480" s="13">
        <f>+0.28</f>
        <v>0.28</v>
      </c>
      <c r="E480" s="14">
        <f>+0.13%</f>
        <v>0.0013</v>
      </c>
      <c r="F480" s="6">
        <v>207.87</v>
      </c>
      <c r="G480" s="6">
        <v>207.41</v>
      </c>
      <c r="H480" s="6">
        <v>209.83</v>
      </c>
      <c r="I480" s="9">
        <v>9.8874365E7</v>
      </c>
      <c r="J480" s="6">
        <v>2.064669568709E10</v>
      </c>
    </row>
    <row r="481">
      <c r="A481" s="4" t="s">
        <v>10</v>
      </c>
      <c r="B481" s="5">
        <v>42333.0</v>
      </c>
      <c r="C481" s="6">
        <v>209.32</v>
      </c>
      <c r="D481" s="11">
        <v>-0.03</v>
      </c>
      <c r="E481" s="12">
        <v>-1.0E-4</v>
      </c>
      <c r="F481" s="6">
        <v>209.5</v>
      </c>
      <c r="G481" s="6">
        <v>209.01</v>
      </c>
      <c r="H481" s="6">
        <v>209.74</v>
      </c>
      <c r="I481" s="9">
        <v>5.1980062E7</v>
      </c>
      <c r="J481" s="6">
        <v>1.088847336273E10</v>
      </c>
    </row>
    <row r="482">
      <c r="A482" s="4" t="s">
        <v>10</v>
      </c>
      <c r="B482" s="5">
        <v>42335.0</v>
      </c>
      <c r="C482" s="6">
        <v>209.56</v>
      </c>
      <c r="D482" s="13">
        <f>+0.24</f>
        <v>0.24</v>
      </c>
      <c r="E482" s="14">
        <f>+0.11%</f>
        <v>0.0011</v>
      </c>
      <c r="F482" s="6">
        <v>209.43</v>
      </c>
      <c r="G482" s="6">
        <v>208.86</v>
      </c>
      <c r="H482" s="6">
        <v>209.8</v>
      </c>
      <c r="I482" s="9">
        <v>3.7317779E7</v>
      </c>
      <c r="J482" s="6">
        <v>7.81583328438E9</v>
      </c>
    </row>
    <row r="483">
      <c r="A483" s="4" t="s">
        <v>10</v>
      </c>
      <c r="B483" s="5">
        <v>42338.0</v>
      </c>
      <c r="C483" s="6">
        <v>208.69</v>
      </c>
      <c r="D483" s="11">
        <v>-0.87</v>
      </c>
      <c r="E483" s="12">
        <v>-0.0042</v>
      </c>
      <c r="F483" s="6">
        <v>209.75</v>
      </c>
      <c r="G483" s="6">
        <v>208.56</v>
      </c>
      <c r="H483" s="6">
        <v>209.89</v>
      </c>
      <c r="I483" s="9">
        <v>1.128227E8</v>
      </c>
      <c r="J483" s="6">
        <v>2.35839090166E10</v>
      </c>
    </row>
    <row r="484">
      <c r="A484" s="4" t="s">
        <v>10</v>
      </c>
      <c r="B484" s="5">
        <v>42339.0</v>
      </c>
      <c r="C484" s="6">
        <v>210.68</v>
      </c>
      <c r="D484" s="13">
        <f>+1.99</f>
        <v>1.99</v>
      </c>
      <c r="E484" s="14">
        <f>+0.95%</f>
        <v>0.0095</v>
      </c>
      <c r="F484" s="6">
        <v>209.44</v>
      </c>
      <c r="G484" s="6">
        <v>209.11</v>
      </c>
      <c r="H484" s="6">
        <v>210.82</v>
      </c>
      <c r="I484" s="9">
        <v>9.7858418E7</v>
      </c>
      <c r="J484" s="6">
        <v>2.054257709268E10</v>
      </c>
    </row>
    <row r="485">
      <c r="A485" s="4" t="s">
        <v>10</v>
      </c>
      <c r="B485" s="5">
        <v>42340.0</v>
      </c>
      <c r="C485" s="6">
        <v>208.53</v>
      </c>
      <c r="D485" s="11">
        <v>-2.15</v>
      </c>
      <c r="E485" s="12">
        <v>-0.0102</v>
      </c>
      <c r="F485" s="6">
        <v>210.62</v>
      </c>
      <c r="G485" s="6">
        <v>208.23</v>
      </c>
      <c r="H485" s="6">
        <v>211.0</v>
      </c>
      <c r="I485" s="9">
        <v>1.08441259E8</v>
      </c>
      <c r="J485" s="6">
        <v>2.272500251979E10</v>
      </c>
    </row>
    <row r="486">
      <c r="A486" s="4" t="s">
        <v>10</v>
      </c>
      <c r="B486" s="5">
        <v>42341.0</v>
      </c>
      <c r="C486" s="6">
        <v>205.61</v>
      </c>
      <c r="D486" s="11">
        <v>-2.92</v>
      </c>
      <c r="E486" s="12">
        <v>-0.014</v>
      </c>
      <c r="F486" s="6">
        <v>208.83</v>
      </c>
      <c r="G486" s="6">
        <v>204.75</v>
      </c>
      <c r="H486" s="6">
        <v>209.15</v>
      </c>
      <c r="I486" s="9">
        <v>1.66224154E8</v>
      </c>
      <c r="J486" s="6">
        <v>3.438827611592E10</v>
      </c>
    </row>
    <row r="487">
      <c r="A487" s="4" t="s">
        <v>10</v>
      </c>
      <c r="B487" s="5">
        <v>42342.0</v>
      </c>
      <c r="C487" s="6">
        <v>209.62</v>
      </c>
      <c r="D487" s="13">
        <f>+4.01</f>
        <v>4.01</v>
      </c>
      <c r="E487" s="14">
        <f>+1.95%</f>
        <v>0.0195</v>
      </c>
      <c r="F487" s="6">
        <v>206.08</v>
      </c>
      <c r="G487" s="6">
        <v>205.93</v>
      </c>
      <c r="H487" s="6">
        <v>209.97</v>
      </c>
      <c r="I487" s="9">
        <v>1.92913879E8</v>
      </c>
      <c r="J487" s="6">
        <v>4.016059104396E10</v>
      </c>
    </row>
    <row r="488">
      <c r="A488" s="4" t="s">
        <v>10</v>
      </c>
      <c r="B488" s="5">
        <v>42345.0</v>
      </c>
      <c r="C488" s="6">
        <v>208.35</v>
      </c>
      <c r="D488" s="11">
        <v>-1.27</v>
      </c>
      <c r="E488" s="12">
        <v>-0.0061</v>
      </c>
      <c r="F488" s="6">
        <v>209.23</v>
      </c>
      <c r="G488" s="6">
        <v>207.2</v>
      </c>
      <c r="H488" s="6">
        <v>209.73</v>
      </c>
      <c r="I488" s="9">
        <v>1.02027111E8</v>
      </c>
      <c r="J488" s="6">
        <v>2.124981163949E10</v>
      </c>
    </row>
    <row r="489">
      <c r="A489" s="4" t="s">
        <v>10</v>
      </c>
      <c r="B489" s="5">
        <v>42346.0</v>
      </c>
      <c r="C489" s="6">
        <v>206.95</v>
      </c>
      <c r="D489" s="11">
        <v>-1.4</v>
      </c>
      <c r="E489" s="12">
        <v>-0.0067</v>
      </c>
      <c r="F489" s="6">
        <v>206.49</v>
      </c>
      <c r="G489" s="6">
        <v>205.78</v>
      </c>
      <c r="H489" s="6">
        <v>208.29</v>
      </c>
      <c r="I489" s="9">
        <v>1.03372367E8</v>
      </c>
      <c r="J489" s="6">
        <v>2.13945938644E10</v>
      </c>
    </row>
    <row r="490">
      <c r="A490" s="4" t="s">
        <v>10</v>
      </c>
      <c r="B490" s="5">
        <v>42347.0</v>
      </c>
      <c r="C490" s="6">
        <v>205.34</v>
      </c>
      <c r="D490" s="11">
        <v>-1.61</v>
      </c>
      <c r="E490" s="12">
        <v>-0.0078</v>
      </c>
      <c r="F490" s="6">
        <v>206.19</v>
      </c>
      <c r="G490" s="6">
        <v>204.18</v>
      </c>
      <c r="H490" s="6">
        <v>208.68</v>
      </c>
      <c r="I490" s="9">
        <v>1.62401537E8</v>
      </c>
      <c r="J490" s="6">
        <v>3.346019765552E10</v>
      </c>
    </row>
    <row r="491">
      <c r="A491" s="4" t="s">
        <v>10</v>
      </c>
      <c r="B491" s="5">
        <v>42348.0</v>
      </c>
      <c r="C491" s="6">
        <v>205.87</v>
      </c>
      <c r="D491" s="13">
        <f>+0.53</f>
        <v>0.53</v>
      </c>
      <c r="E491" s="14">
        <f>+0.26%</f>
        <v>0.0026</v>
      </c>
      <c r="F491" s="6">
        <v>205.42</v>
      </c>
      <c r="G491" s="6">
        <v>205.14</v>
      </c>
      <c r="H491" s="6">
        <v>207.43</v>
      </c>
      <c r="I491" s="9">
        <v>1.16128884E8</v>
      </c>
      <c r="J491" s="6">
        <v>2.393450846478E10</v>
      </c>
    </row>
    <row r="492">
      <c r="A492" s="4" t="s">
        <v>10</v>
      </c>
      <c r="B492" s="5">
        <v>42349.0</v>
      </c>
      <c r="C492" s="6">
        <v>201.88</v>
      </c>
      <c r="D492" s="11">
        <v>-3.99</v>
      </c>
      <c r="E492" s="12">
        <v>-0.0194</v>
      </c>
      <c r="F492" s="6">
        <v>203.35</v>
      </c>
      <c r="G492" s="6">
        <v>201.51</v>
      </c>
      <c r="H492" s="6">
        <v>204.14</v>
      </c>
      <c r="I492" s="9">
        <v>2.11173305E8</v>
      </c>
      <c r="J492" s="6">
        <v>4.289987836733E10</v>
      </c>
    </row>
    <row r="493">
      <c r="A493" s="4" t="s">
        <v>10</v>
      </c>
      <c r="B493" s="5">
        <v>42352.0</v>
      </c>
      <c r="C493" s="6">
        <v>202.9</v>
      </c>
      <c r="D493" s="13">
        <f>+1.02</f>
        <v>1.02</v>
      </c>
      <c r="E493" s="14">
        <f>+0.51%</f>
        <v>0.0051</v>
      </c>
      <c r="F493" s="6">
        <v>202.07</v>
      </c>
      <c r="G493" s="6">
        <v>199.95</v>
      </c>
      <c r="H493" s="6">
        <v>203.05</v>
      </c>
      <c r="I493" s="9">
        <v>1.82385177E8</v>
      </c>
      <c r="J493" s="6">
        <v>3.679150878354E10</v>
      </c>
    </row>
    <row r="494">
      <c r="A494" s="4" t="s">
        <v>10</v>
      </c>
      <c r="B494" s="5">
        <v>42353.0</v>
      </c>
      <c r="C494" s="6">
        <v>205.03</v>
      </c>
      <c r="D494" s="13">
        <f>+2.13</f>
        <v>2.13</v>
      </c>
      <c r="E494" s="14">
        <f>+1.05%</f>
        <v>0.0105</v>
      </c>
      <c r="F494" s="6">
        <v>204.7</v>
      </c>
      <c r="G494" s="6">
        <v>202.87</v>
      </c>
      <c r="H494" s="6">
        <v>206.11</v>
      </c>
      <c r="I494" s="9">
        <v>1.54069569E8</v>
      </c>
      <c r="J494" s="6">
        <v>3.157795309711E10</v>
      </c>
    </row>
    <row r="495">
      <c r="A495" s="4" t="s">
        <v>10</v>
      </c>
      <c r="B495" s="5">
        <v>42354.0</v>
      </c>
      <c r="C495" s="6">
        <v>208.03</v>
      </c>
      <c r="D495" s="13">
        <f>+3</f>
        <v>3</v>
      </c>
      <c r="E495" s="14">
        <f>+1.46%</f>
        <v>0.0146</v>
      </c>
      <c r="F495" s="6">
        <v>206.37</v>
      </c>
      <c r="G495" s="6">
        <v>204.8</v>
      </c>
      <c r="H495" s="6">
        <v>208.39</v>
      </c>
      <c r="I495" s="9">
        <v>1.97017008E8</v>
      </c>
      <c r="J495" s="6">
        <v>4.068916551859E10</v>
      </c>
    </row>
    <row r="496">
      <c r="A496" s="4" t="s">
        <v>10</v>
      </c>
      <c r="B496" s="5">
        <v>42355.0</v>
      </c>
      <c r="C496" s="6">
        <v>204.86</v>
      </c>
      <c r="D496" s="11">
        <v>-3.17</v>
      </c>
      <c r="E496" s="12">
        <v>-0.0152</v>
      </c>
      <c r="F496" s="6">
        <v>208.4</v>
      </c>
      <c r="G496" s="6">
        <v>204.84</v>
      </c>
      <c r="H496" s="6">
        <v>208.48</v>
      </c>
      <c r="I496" s="9">
        <v>1.73092476E8</v>
      </c>
      <c r="J496" s="6">
        <v>3.57109027384E10</v>
      </c>
    </row>
    <row r="497">
      <c r="A497" s="4" t="s">
        <v>10</v>
      </c>
      <c r="B497" s="5">
        <v>42356.0</v>
      </c>
      <c r="C497" s="6">
        <v>200.02</v>
      </c>
      <c r="D497" s="11">
        <v>-4.84</v>
      </c>
      <c r="E497" s="12">
        <v>-0.0236</v>
      </c>
      <c r="F497" s="6">
        <v>202.77</v>
      </c>
      <c r="G497" s="6">
        <v>199.83</v>
      </c>
      <c r="H497" s="6">
        <v>202.93</v>
      </c>
      <c r="I497" s="9">
        <v>2.51393535E8</v>
      </c>
      <c r="J497" s="6">
        <v>5.068216050672E10</v>
      </c>
    </row>
    <row r="498">
      <c r="A498" s="4" t="s">
        <v>10</v>
      </c>
      <c r="B498" s="5">
        <v>42359.0</v>
      </c>
      <c r="C498" s="6">
        <v>201.67</v>
      </c>
      <c r="D498" s="13">
        <f>+1.65</f>
        <v>1.65</v>
      </c>
      <c r="E498" s="14">
        <f>+0.82%</f>
        <v>0.0082</v>
      </c>
      <c r="F498" s="6">
        <v>201.41</v>
      </c>
      <c r="G498" s="6">
        <v>200.09</v>
      </c>
      <c r="H498" s="6">
        <v>201.88</v>
      </c>
      <c r="I498" s="9">
        <v>9.909429E7</v>
      </c>
      <c r="J498" s="6">
        <v>1.992697877206E10</v>
      </c>
    </row>
    <row r="499">
      <c r="A499" s="4" t="s">
        <v>10</v>
      </c>
      <c r="B499" s="5">
        <v>42360.0</v>
      </c>
      <c r="C499" s="6">
        <v>203.5</v>
      </c>
      <c r="D499" s="13">
        <f>+1.83</f>
        <v>1.83</v>
      </c>
      <c r="E499" s="14">
        <f>+0.91%</f>
        <v>0.0091</v>
      </c>
      <c r="F499" s="6">
        <v>202.72</v>
      </c>
      <c r="G499" s="6">
        <v>201.55</v>
      </c>
      <c r="H499" s="6">
        <v>203.85</v>
      </c>
      <c r="I499" s="9">
        <v>1.11026246E8</v>
      </c>
      <c r="J499" s="6">
        <v>2.25166477064E10</v>
      </c>
    </row>
    <row r="500">
      <c r="A500" s="4" t="s">
        <v>10</v>
      </c>
      <c r="B500" s="5">
        <v>42361.0</v>
      </c>
      <c r="C500" s="6">
        <v>206.02</v>
      </c>
      <c r="D500" s="13">
        <f>+2.52</f>
        <v>2.52</v>
      </c>
      <c r="E500" s="14">
        <f>+1.24%</f>
        <v>0.0124</v>
      </c>
      <c r="F500" s="6">
        <v>204.69</v>
      </c>
      <c r="G500" s="6">
        <v>204.58</v>
      </c>
      <c r="H500" s="6">
        <v>206.07</v>
      </c>
      <c r="I500" s="9">
        <v>1.10987228E8</v>
      </c>
      <c r="J500" s="6">
        <v>2.277041220884E10</v>
      </c>
    </row>
    <row r="501">
      <c r="A501" s="4" t="s">
        <v>10</v>
      </c>
      <c r="B501" s="5">
        <v>42362.0</v>
      </c>
      <c r="C501" s="6">
        <v>205.68</v>
      </c>
      <c r="D501" s="11">
        <v>-0.34</v>
      </c>
      <c r="E501" s="12">
        <v>-0.0017</v>
      </c>
      <c r="F501" s="6">
        <v>205.72</v>
      </c>
      <c r="G501" s="6">
        <v>205.42</v>
      </c>
      <c r="H501" s="6">
        <v>206.33</v>
      </c>
      <c r="I501" s="9">
        <v>4.854215E7</v>
      </c>
      <c r="J501" s="6">
        <v>9.98992114774E9</v>
      </c>
    </row>
    <row r="502">
      <c r="A502" s="4" t="s">
        <v>10</v>
      </c>
      <c r="B502" s="5">
        <v>42366.0</v>
      </c>
      <c r="C502" s="6">
        <v>205.21</v>
      </c>
      <c r="D502" s="11">
        <v>-0.47</v>
      </c>
      <c r="E502" s="12">
        <v>-0.0023</v>
      </c>
      <c r="F502" s="6">
        <v>204.86</v>
      </c>
      <c r="G502" s="6">
        <v>203.94</v>
      </c>
      <c r="H502" s="6">
        <v>205.26</v>
      </c>
      <c r="I502" s="9">
        <v>6.5899939E7</v>
      </c>
      <c r="J502" s="6">
        <v>1.349781310956E10</v>
      </c>
    </row>
    <row r="503">
      <c r="A503" s="4" t="s">
        <v>10</v>
      </c>
      <c r="B503" s="5">
        <v>42367.0</v>
      </c>
      <c r="C503" s="6">
        <v>207.4</v>
      </c>
      <c r="D503" s="13">
        <f>+2.19</f>
        <v>2.19</v>
      </c>
      <c r="E503" s="14">
        <f>+1.07%</f>
        <v>0.0107</v>
      </c>
      <c r="F503" s="6">
        <v>206.51</v>
      </c>
      <c r="G503" s="6">
        <v>206.47</v>
      </c>
      <c r="H503" s="6">
        <v>207.79</v>
      </c>
      <c r="I503" s="9">
        <v>9.2640672E7</v>
      </c>
      <c r="J503" s="6">
        <v>1.916914810259E10</v>
      </c>
    </row>
    <row r="504">
      <c r="A504" s="4" t="s">
        <v>10</v>
      </c>
      <c r="B504" s="5">
        <v>42368.0</v>
      </c>
      <c r="C504" s="6">
        <v>205.93</v>
      </c>
      <c r="D504" s="11">
        <v>-1.47</v>
      </c>
      <c r="E504" s="12">
        <v>-0.0071</v>
      </c>
      <c r="F504" s="6">
        <v>207.11</v>
      </c>
      <c r="G504" s="6">
        <v>205.76</v>
      </c>
      <c r="H504" s="6">
        <v>207.21</v>
      </c>
      <c r="I504" s="9">
        <v>6.3317679E7</v>
      </c>
      <c r="J504" s="6">
        <v>1.308425115486E10</v>
      </c>
    </row>
    <row r="505">
      <c r="A505" s="4" t="s">
        <v>10</v>
      </c>
      <c r="B505" s="5">
        <v>42369.0</v>
      </c>
      <c r="C505" s="6">
        <v>203.87</v>
      </c>
      <c r="D505" s="11">
        <v>-2.06</v>
      </c>
      <c r="E505" s="12">
        <v>-0.01</v>
      </c>
      <c r="F505" s="6">
        <v>205.13</v>
      </c>
      <c r="G505" s="6">
        <v>203.87</v>
      </c>
      <c r="H505" s="6">
        <v>205.89</v>
      </c>
      <c r="I505" s="9">
        <v>1.14877859E8</v>
      </c>
      <c r="J505" s="6">
        <v>2.351474045639E10</v>
      </c>
    </row>
    <row r="506">
      <c r="A506" s="4" t="s">
        <v>10</v>
      </c>
      <c r="B506" s="5">
        <v>42373.0</v>
      </c>
      <c r="C506" s="6">
        <v>201.02</v>
      </c>
      <c r="D506" s="11">
        <v>-2.85</v>
      </c>
      <c r="E506" s="12">
        <v>-0.014</v>
      </c>
      <c r="F506" s="6">
        <v>200.49</v>
      </c>
      <c r="G506" s="6">
        <v>198.59</v>
      </c>
      <c r="H506" s="6">
        <v>201.03</v>
      </c>
      <c r="I506" s="9">
        <v>2.22353534E8</v>
      </c>
      <c r="J506" s="6">
        <v>4.461415894557E10</v>
      </c>
    </row>
    <row r="507">
      <c r="A507" s="4" t="s">
        <v>10</v>
      </c>
      <c r="B507" s="5">
        <v>42374.0</v>
      </c>
      <c r="C507" s="6">
        <v>201.36</v>
      </c>
      <c r="D507" s="13">
        <f>+0.34</f>
        <v>0.34</v>
      </c>
      <c r="E507" s="14">
        <f>+0.17%</f>
        <v>0.0017</v>
      </c>
      <c r="F507" s="6">
        <v>201.4</v>
      </c>
      <c r="G507" s="6">
        <v>200.05</v>
      </c>
      <c r="H507" s="6">
        <v>201.9</v>
      </c>
      <c r="I507" s="9">
        <v>1.10845849E8</v>
      </c>
      <c r="J507" s="6">
        <v>2.228885117052E10</v>
      </c>
    </row>
    <row r="508">
      <c r="A508" s="4" t="s">
        <v>10</v>
      </c>
      <c r="B508" s="5">
        <v>42375.0</v>
      </c>
      <c r="C508" s="6">
        <v>198.82</v>
      </c>
      <c r="D508" s="11">
        <v>-2.54</v>
      </c>
      <c r="E508" s="12">
        <v>-0.0126</v>
      </c>
      <c r="F508" s="6">
        <v>198.34</v>
      </c>
      <c r="G508" s="6">
        <v>197.6</v>
      </c>
      <c r="H508" s="6">
        <v>200.06</v>
      </c>
      <c r="I508" s="9">
        <v>1.52112604E8</v>
      </c>
      <c r="J508" s="6">
        <v>3.026412770187E10</v>
      </c>
    </row>
    <row r="509">
      <c r="A509" s="4" t="s">
        <v>10</v>
      </c>
      <c r="B509" s="5">
        <v>42376.0</v>
      </c>
      <c r="C509" s="6">
        <v>194.05</v>
      </c>
      <c r="D509" s="11">
        <v>-4.77</v>
      </c>
      <c r="E509" s="12">
        <v>-0.024</v>
      </c>
      <c r="F509" s="6">
        <v>195.33</v>
      </c>
      <c r="G509" s="6">
        <v>193.59</v>
      </c>
      <c r="H509" s="6">
        <v>197.44</v>
      </c>
      <c r="I509" s="9">
        <v>2.13436073E8</v>
      </c>
      <c r="J509" s="6">
        <v>4.169371977794E10</v>
      </c>
    </row>
    <row r="510">
      <c r="A510" s="4" t="s">
        <v>10</v>
      </c>
      <c r="B510" s="5">
        <v>42377.0</v>
      </c>
      <c r="C510" s="6">
        <v>191.92</v>
      </c>
      <c r="D510" s="11">
        <v>-2.13</v>
      </c>
      <c r="E510" s="12">
        <v>-0.011</v>
      </c>
      <c r="F510" s="6">
        <v>195.19</v>
      </c>
      <c r="G510" s="6">
        <v>191.58</v>
      </c>
      <c r="H510" s="6">
        <v>195.85</v>
      </c>
      <c r="I510" s="9">
        <v>2.09817228E8</v>
      </c>
      <c r="J510" s="6">
        <v>4.063066440492E10</v>
      </c>
    </row>
    <row r="511">
      <c r="A511" s="4" t="s">
        <v>10</v>
      </c>
      <c r="B511" s="5">
        <v>42380.0</v>
      </c>
      <c r="C511" s="6">
        <v>192.11</v>
      </c>
      <c r="D511" s="13">
        <f>+0.19</f>
        <v>0.19</v>
      </c>
      <c r="E511" s="14">
        <f>+0.1%</f>
        <v>0.001</v>
      </c>
      <c r="F511" s="6">
        <v>193.01</v>
      </c>
      <c r="G511" s="6">
        <v>189.82</v>
      </c>
      <c r="H511" s="6">
        <v>193.41</v>
      </c>
      <c r="I511" s="9">
        <v>1.87941323E8</v>
      </c>
      <c r="J511" s="6">
        <v>3.603265420213E10</v>
      </c>
    </row>
    <row r="512">
      <c r="A512" s="4" t="s">
        <v>10</v>
      </c>
      <c r="B512" s="5">
        <v>42381.0</v>
      </c>
      <c r="C512" s="6">
        <v>193.66</v>
      </c>
      <c r="D512" s="13">
        <f>+1.55</f>
        <v>1.55</v>
      </c>
      <c r="E512" s="14">
        <f>+0.81%</f>
        <v>0.0081</v>
      </c>
      <c r="F512" s="6">
        <v>193.82</v>
      </c>
      <c r="G512" s="6">
        <v>191.14</v>
      </c>
      <c r="H512" s="6">
        <v>194.55</v>
      </c>
      <c r="I512" s="9">
        <v>1.7233049E8</v>
      </c>
      <c r="J512" s="6">
        <v>3.324027959425E10</v>
      </c>
    </row>
    <row r="513">
      <c r="A513" s="4" t="s">
        <v>10</v>
      </c>
      <c r="B513" s="5">
        <v>42382.0</v>
      </c>
      <c r="C513" s="6">
        <v>188.83</v>
      </c>
      <c r="D513" s="11">
        <v>-4.83</v>
      </c>
      <c r="E513" s="12">
        <v>-0.0249</v>
      </c>
      <c r="F513" s="6">
        <v>194.45</v>
      </c>
      <c r="G513" s="6">
        <v>188.38</v>
      </c>
      <c r="H513" s="6">
        <v>194.86</v>
      </c>
      <c r="I513" s="9">
        <v>2.21168886E8</v>
      </c>
      <c r="J513" s="6">
        <v>4.227640459688E10</v>
      </c>
    </row>
    <row r="514">
      <c r="A514" s="4" t="s">
        <v>10</v>
      </c>
      <c r="B514" s="5">
        <v>42383.0</v>
      </c>
      <c r="C514" s="6">
        <v>191.93</v>
      </c>
      <c r="D514" s="13">
        <f>+3.1</f>
        <v>3.1</v>
      </c>
      <c r="E514" s="14">
        <f>+1.64%</f>
        <v>0.0164</v>
      </c>
      <c r="F514" s="6">
        <v>189.55</v>
      </c>
      <c r="G514" s="6">
        <v>187.66</v>
      </c>
      <c r="H514" s="6">
        <v>193.26</v>
      </c>
      <c r="I514" s="9">
        <v>2.40795609E8</v>
      </c>
      <c r="J514" s="6">
        <v>4.593584559329E10</v>
      </c>
    </row>
    <row r="515">
      <c r="A515" s="4" t="s">
        <v>10</v>
      </c>
      <c r="B515" s="5">
        <v>42384.0</v>
      </c>
      <c r="C515" s="6">
        <v>187.81</v>
      </c>
      <c r="D515" s="11">
        <v>-4.12</v>
      </c>
      <c r="E515" s="12">
        <v>-0.0215</v>
      </c>
      <c r="F515" s="6">
        <v>186.77</v>
      </c>
      <c r="G515" s="6">
        <v>185.52</v>
      </c>
      <c r="H515" s="6">
        <v>188.76</v>
      </c>
      <c r="I515" s="9">
        <v>3.24846447E8</v>
      </c>
      <c r="J515" s="6">
        <v>6.097912114641E10</v>
      </c>
    </row>
    <row r="516">
      <c r="A516" s="4" t="s">
        <v>10</v>
      </c>
      <c r="B516" s="5">
        <v>42388.0</v>
      </c>
      <c r="C516" s="6">
        <v>188.06</v>
      </c>
      <c r="D516" s="13">
        <f>+0.25</f>
        <v>0.25</v>
      </c>
      <c r="E516" s="14">
        <f>+0.13%</f>
        <v>0.0013</v>
      </c>
      <c r="F516" s="6">
        <v>189.96</v>
      </c>
      <c r="G516" s="6">
        <v>186.2</v>
      </c>
      <c r="H516" s="6">
        <v>190.11</v>
      </c>
      <c r="I516" s="9">
        <v>1.95244373E8</v>
      </c>
      <c r="J516" s="6">
        <v>3.676618436753E10</v>
      </c>
    </row>
    <row r="517">
      <c r="A517" s="4" t="s">
        <v>10</v>
      </c>
      <c r="B517" s="5">
        <v>42389.0</v>
      </c>
      <c r="C517" s="6">
        <v>185.65</v>
      </c>
      <c r="D517" s="11">
        <v>-2.41</v>
      </c>
      <c r="E517" s="12">
        <v>-0.0128</v>
      </c>
      <c r="F517" s="6">
        <v>185.03</v>
      </c>
      <c r="G517" s="6">
        <v>181.02</v>
      </c>
      <c r="H517" s="6">
        <v>187.5</v>
      </c>
      <c r="I517" s="9">
        <v>2.86547839E8</v>
      </c>
      <c r="J517" s="6">
        <v>5.277777478411E10</v>
      </c>
    </row>
    <row r="518">
      <c r="A518" s="4" t="s">
        <v>10</v>
      </c>
      <c r="B518" s="5">
        <v>42390.0</v>
      </c>
      <c r="C518" s="6">
        <v>186.69</v>
      </c>
      <c r="D518" s="13">
        <f>+1.04</f>
        <v>1.04</v>
      </c>
      <c r="E518" s="14">
        <f>+0.56%</f>
        <v>0.0056</v>
      </c>
      <c r="F518" s="6">
        <v>186.21</v>
      </c>
      <c r="G518" s="6">
        <v>184.64</v>
      </c>
      <c r="H518" s="6">
        <v>188.87</v>
      </c>
      <c r="I518" s="9">
        <v>1.95772941E8</v>
      </c>
      <c r="J518" s="6">
        <v>3.660468019527E10</v>
      </c>
    </row>
    <row r="519">
      <c r="A519" s="4" t="s">
        <v>10</v>
      </c>
      <c r="B519" s="5">
        <v>42391.0</v>
      </c>
      <c r="C519" s="6">
        <v>190.52</v>
      </c>
      <c r="D519" s="13">
        <f>+3.83</f>
        <v>3.83</v>
      </c>
      <c r="E519" s="14">
        <f>+2.05%</f>
        <v>0.0205</v>
      </c>
      <c r="F519" s="6">
        <v>189.78</v>
      </c>
      <c r="G519" s="6">
        <v>188.88</v>
      </c>
      <c r="H519" s="6">
        <v>190.76</v>
      </c>
      <c r="I519" s="9">
        <v>1.68319598E8</v>
      </c>
      <c r="J519" s="6">
        <v>3.19477521501E10</v>
      </c>
    </row>
    <row r="520">
      <c r="A520" s="4" t="s">
        <v>10</v>
      </c>
      <c r="B520" s="5">
        <v>42394.0</v>
      </c>
      <c r="C520" s="6">
        <v>187.64</v>
      </c>
      <c r="D520" s="11">
        <v>-2.88</v>
      </c>
      <c r="E520" s="12">
        <v>-0.0151</v>
      </c>
      <c r="F520" s="6">
        <v>189.92</v>
      </c>
      <c r="G520" s="6">
        <v>187.41</v>
      </c>
      <c r="H520" s="6">
        <v>190.15</v>
      </c>
      <c r="I520" s="9">
        <v>1.30371686E8</v>
      </c>
      <c r="J520" s="6">
        <v>2.46357012877E10</v>
      </c>
    </row>
    <row r="521">
      <c r="A521" s="4" t="s">
        <v>10</v>
      </c>
      <c r="B521" s="5">
        <v>42395.0</v>
      </c>
      <c r="C521" s="6">
        <v>190.2</v>
      </c>
      <c r="D521" s="13">
        <f>+2.56</f>
        <v>2.56</v>
      </c>
      <c r="E521" s="14">
        <f>+1.36%</f>
        <v>0.0136</v>
      </c>
      <c r="F521" s="6">
        <v>188.42</v>
      </c>
      <c r="G521" s="6">
        <v>188.02</v>
      </c>
      <c r="H521" s="6">
        <v>190.53</v>
      </c>
      <c r="I521" s="9">
        <v>1.41036757E8</v>
      </c>
      <c r="J521" s="6">
        <v>2.673144951752E10</v>
      </c>
    </row>
    <row r="522">
      <c r="A522" s="4" t="s">
        <v>10</v>
      </c>
      <c r="B522" s="5">
        <v>42396.0</v>
      </c>
      <c r="C522" s="6">
        <v>188.13</v>
      </c>
      <c r="D522" s="11">
        <v>-2.07</v>
      </c>
      <c r="E522" s="12">
        <v>-0.0109</v>
      </c>
      <c r="F522" s="6">
        <v>189.58</v>
      </c>
      <c r="G522" s="6">
        <v>187.06</v>
      </c>
      <c r="H522" s="6">
        <v>191.56</v>
      </c>
      <c r="I522" s="9">
        <v>1.85681707E8</v>
      </c>
      <c r="J522" s="6">
        <v>3.515658494811E10</v>
      </c>
    </row>
    <row r="523">
      <c r="A523" s="4" t="s">
        <v>10</v>
      </c>
      <c r="B523" s="5">
        <v>42397.0</v>
      </c>
      <c r="C523" s="6">
        <v>189.11</v>
      </c>
      <c r="D523" s="13">
        <f>+0.98</f>
        <v>0.98</v>
      </c>
      <c r="E523" s="14">
        <f>+0.52%</f>
        <v>0.0052</v>
      </c>
      <c r="F523" s="6">
        <v>189.96</v>
      </c>
      <c r="G523" s="6">
        <v>187.16</v>
      </c>
      <c r="H523" s="6">
        <v>190.2</v>
      </c>
      <c r="I523" s="9">
        <v>1.4379878E8</v>
      </c>
      <c r="J523" s="6">
        <v>2.717371592847E10</v>
      </c>
    </row>
    <row r="524">
      <c r="A524" s="4" t="s">
        <v>10</v>
      </c>
      <c r="B524" s="5">
        <v>42398.0</v>
      </c>
      <c r="C524" s="6">
        <v>193.72</v>
      </c>
      <c r="D524" s="13">
        <f>+4.61</f>
        <v>4.61</v>
      </c>
      <c r="E524" s="14">
        <f>+2.44%</f>
        <v>0.0244</v>
      </c>
      <c r="F524" s="6">
        <v>190.02</v>
      </c>
      <c r="G524" s="6">
        <v>189.88</v>
      </c>
      <c r="H524" s="6">
        <v>193.88</v>
      </c>
      <c r="I524" s="9">
        <v>2.10529336E8</v>
      </c>
      <c r="J524" s="6">
        <v>4.045175613343E10</v>
      </c>
    </row>
    <row r="525">
      <c r="A525" s="4" t="s">
        <v>10</v>
      </c>
      <c r="B525" s="5">
        <v>42401.0</v>
      </c>
      <c r="C525" s="6">
        <v>193.65</v>
      </c>
      <c r="D525" s="11">
        <v>-0.07</v>
      </c>
      <c r="E525" s="12">
        <v>-4.0E-4</v>
      </c>
      <c r="F525" s="6">
        <v>192.53</v>
      </c>
      <c r="G525" s="6">
        <v>191.84</v>
      </c>
      <c r="H525" s="6">
        <v>194.58</v>
      </c>
      <c r="I525" s="9">
        <v>1.36061564E8</v>
      </c>
      <c r="J525" s="6">
        <v>2.629955404148E10</v>
      </c>
    </row>
    <row r="526">
      <c r="A526" s="4" t="s">
        <v>10</v>
      </c>
      <c r="B526" s="5">
        <v>42402.0</v>
      </c>
      <c r="C526" s="6">
        <v>190.16</v>
      </c>
      <c r="D526" s="11">
        <v>-3.49</v>
      </c>
      <c r="E526" s="12">
        <v>-0.018</v>
      </c>
      <c r="F526" s="6">
        <v>191.96</v>
      </c>
      <c r="G526" s="6">
        <v>189.54</v>
      </c>
      <c r="H526" s="6">
        <v>191.97</v>
      </c>
      <c r="I526" s="9">
        <v>1.8256489E8</v>
      </c>
      <c r="J526" s="6">
        <v>3.490635177178E10</v>
      </c>
    </row>
    <row r="527">
      <c r="A527" s="4" t="s">
        <v>10</v>
      </c>
      <c r="B527" s="5">
        <v>42403.0</v>
      </c>
      <c r="C527" s="6">
        <v>191.3</v>
      </c>
      <c r="D527" s="13">
        <f>+1.14</f>
        <v>1.14</v>
      </c>
      <c r="E527" s="14">
        <f>+0.6%</f>
        <v>0.006</v>
      </c>
      <c r="F527" s="6">
        <v>191.41</v>
      </c>
      <c r="G527" s="6">
        <v>187.1</v>
      </c>
      <c r="H527" s="6">
        <v>191.78</v>
      </c>
      <c r="I527" s="9">
        <v>2.05054934E8</v>
      </c>
      <c r="J527" s="6">
        <v>3.887688518446E10</v>
      </c>
    </row>
    <row r="528">
      <c r="A528" s="4" t="s">
        <v>10</v>
      </c>
      <c r="B528" s="5">
        <v>42404.0</v>
      </c>
      <c r="C528" s="6">
        <v>191.6</v>
      </c>
      <c r="D528" s="13">
        <f>+0.3</f>
        <v>0.3</v>
      </c>
      <c r="E528" s="14">
        <f>+0.16%</f>
        <v>0.0016</v>
      </c>
      <c r="F528" s="6">
        <v>190.71</v>
      </c>
      <c r="G528" s="6">
        <v>189.96</v>
      </c>
      <c r="H528" s="6">
        <v>192.75</v>
      </c>
      <c r="I528" s="9">
        <v>1.39531794E8</v>
      </c>
      <c r="J528" s="6">
        <v>2.668664403838E10</v>
      </c>
    </row>
    <row r="529">
      <c r="A529" s="4" t="s">
        <v>10</v>
      </c>
      <c r="B529" s="5">
        <v>42405.0</v>
      </c>
      <c r="C529" s="6">
        <v>187.95</v>
      </c>
      <c r="D529" s="11">
        <v>-3.65</v>
      </c>
      <c r="E529" s="12">
        <v>-0.0191</v>
      </c>
      <c r="F529" s="6">
        <v>190.99</v>
      </c>
      <c r="G529" s="6">
        <v>187.2</v>
      </c>
      <c r="H529" s="6">
        <v>191.67</v>
      </c>
      <c r="I529" s="9">
        <v>1.80788308E8</v>
      </c>
      <c r="J529" s="6">
        <v>3.414009919751E10</v>
      </c>
    </row>
    <row r="530">
      <c r="A530" s="4" t="s">
        <v>10</v>
      </c>
      <c r="B530" s="5">
        <v>42408.0</v>
      </c>
      <c r="C530" s="6">
        <v>185.42</v>
      </c>
      <c r="D530" s="11">
        <v>-2.53</v>
      </c>
      <c r="E530" s="12">
        <v>-0.0135</v>
      </c>
      <c r="F530" s="6">
        <v>185.77</v>
      </c>
      <c r="G530" s="6">
        <v>182.8</v>
      </c>
      <c r="H530" s="6">
        <v>186.12</v>
      </c>
      <c r="I530" s="9">
        <v>1.91526694E8</v>
      </c>
      <c r="J530" s="6">
        <v>3.534579285603E10</v>
      </c>
    </row>
    <row r="531">
      <c r="A531" s="4" t="s">
        <v>10</v>
      </c>
      <c r="B531" s="5">
        <v>42409.0</v>
      </c>
      <c r="C531" s="6">
        <v>185.43</v>
      </c>
      <c r="D531" s="13">
        <f>+0.01</f>
        <v>0.01</v>
      </c>
      <c r="E531" s="14">
        <f>+0.01%</f>
        <v>0.0001</v>
      </c>
      <c r="F531" s="6">
        <v>183.36</v>
      </c>
      <c r="G531" s="6">
        <v>183.2</v>
      </c>
      <c r="H531" s="6">
        <v>186.94</v>
      </c>
      <c r="I531" s="9">
        <v>1.84513136E8</v>
      </c>
      <c r="J531" s="6">
        <v>3.414403990135E10</v>
      </c>
    </row>
    <row r="532">
      <c r="A532" s="4" t="s">
        <v>10</v>
      </c>
      <c r="B532" s="5">
        <v>42410.0</v>
      </c>
      <c r="C532" s="6">
        <v>185.27</v>
      </c>
      <c r="D532" s="11">
        <v>-0.16</v>
      </c>
      <c r="E532" s="12">
        <v>-9.0E-4</v>
      </c>
      <c r="F532" s="6">
        <v>186.41</v>
      </c>
      <c r="G532" s="6">
        <v>185.12</v>
      </c>
      <c r="H532" s="6">
        <v>188.34</v>
      </c>
      <c r="I532" s="9">
        <v>1.48214057E8</v>
      </c>
      <c r="J532" s="6">
        <v>2.765490706699E10</v>
      </c>
    </row>
    <row r="533">
      <c r="A533" s="4" t="s">
        <v>10</v>
      </c>
      <c r="B533" s="5">
        <v>42411.0</v>
      </c>
      <c r="C533" s="6">
        <v>182.86</v>
      </c>
      <c r="D533" s="11">
        <v>-2.41</v>
      </c>
      <c r="E533" s="12">
        <v>-0.013</v>
      </c>
      <c r="F533" s="6">
        <v>182.34</v>
      </c>
      <c r="G533" s="6">
        <v>181.09</v>
      </c>
      <c r="H533" s="6">
        <v>184.1</v>
      </c>
      <c r="I533" s="9">
        <v>2.19058885E8</v>
      </c>
      <c r="J533" s="6">
        <v>4.005630532981E10</v>
      </c>
    </row>
    <row r="534">
      <c r="A534" s="4" t="s">
        <v>10</v>
      </c>
      <c r="B534" s="5">
        <v>42412.0</v>
      </c>
      <c r="C534" s="6">
        <v>186.63</v>
      </c>
      <c r="D534" s="13">
        <f>+3.77</f>
        <v>3.77</v>
      </c>
      <c r="E534" s="14">
        <f>+2.06%</f>
        <v>0.0206</v>
      </c>
      <c r="F534" s="6">
        <v>184.96</v>
      </c>
      <c r="G534" s="6">
        <v>183.96</v>
      </c>
      <c r="H534" s="6">
        <v>186.65</v>
      </c>
      <c r="I534" s="9">
        <v>1.27632393E8</v>
      </c>
      <c r="J534" s="6">
        <v>2.368167300936E10</v>
      </c>
    </row>
    <row r="535">
      <c r="A535" s="4" t="s">
        <v>10</v>
      </c>
      <c r="B535" s="5">
        <v>42416.0</v>
      </c>
      <c r="C535" s="6">
        <v>189.78</v>
      </c>
      <c r="D535" s="13">
        <f>+3.15</f>
        <v>3.15</v>
      </c>
      <c r="E535" s="14">
        <f>+1.69%</f>
        <v>0.0169</v>
      </c>
      <c r="F535" s="6">
        <v>188.77</v>
      </c>
      <c r="G535" s="6">
        <v>187.63</v>
      </c>
      <c r="H535" s="6">
        <v>189.81</v>
      </c>
      <c r="I535" s="9">
        <v>1.20250668E8</v>
      </c>
      <c r="J535" s="6">
        <v>2.272583468897E10</v>
      </c>
    </row>
    <row r="536">
      <c r="A536" s="4" t="s">
        <v>10</v>
      </c>
      <c r="B536" s="5">
        <v>42417.0</v>
      </c>
      <c r="C536" s="6">
        <v>192.88</v>
      </c>
      <c r="D536" s="13">
        <f>+3.1</f>
        <v>3.1</v>
      </c>
      <c r="E536" s="14">
        <f>+1.63%</f>
        <v>0.0163</v>
      </c>
      <c r="F536" s="6">
        <v>191.16</v>
      </c>
      <c r="G536" s="6">
        <v>191.01</v>
      </c>
      <c r="H536" s="6">
        <v>193.32</v>
      </c>
      <c r="I536" s="9">
        <v>1.36009496E8</v>
      </c>
      <c r="J536" s="6">
        <v>2.615006123518E10</v>
      </c>
    </row>
    <row r="537">
      <c r="A537" s="4" t="s">
        <v>10</v>
      </c>
      <c r="B537" s="5">
        <v>42418.0</v>
      </c>
      <c r="C537" s="6">
        <v>192.09</v>
      </c>
      <c r="D537" s="11">
        <v>-0.79</v>
      </c>
      <c r="E537" s="12">
        <v>-0.0041</v>
      </c>
      <c r="F537" s="6">
        <v>193.2</v>
      </c>
      <c r="G537" s="6">
        <v>191.72</v>
      </c>
      <c r="H537" s="6">
        <v>193.27</v>
      </c>
      <c r="I537" s="9">
        <v>1.02342997E8</v>
      </c>
      <c r="J537" s="6">
        <v>1.968815387779E10</v>
      </c>
    </row>
    <row r="538">
      <c r="A538" s="4" t="s">
        <v>10</v>
      </c>
      <c r="B538" s="5">
        <v>42419.0</v>
      </c>
      <c r="C538" s="6">
        <v>192.0</v>
      </c>
      <c r="D538" s="11">
        <v>-0.09</v>
      </c>
      <c r="E538" s="12">
        <v>-5.0E-4</v>
      </c>
      <c r="F538" s="6">
        <v>191.17</v>
      </c>
      <c r="G538" s="6">
        <v>190.45</v>
      </c>
      <c r="H538" s="6">
        <v>192.18</v>
      </c>
      <c r="I538" s="9">
        <v>1.14792988E8</v>
      </c>
      <c r="J538" s="6">
        <v>2.199040981771E10</v>
      </c>
    </row>
    <row r="539">
      <c r="A539" s="4" t="s">
        <v>10</v>
      </c>
      <c r="B539" s="5">
        <v>42422.0</v>
      </c>
      <c r="C539" s="6">
        <v>194.78</v>
      </c>
      <c r="D539" s="13">
        <f>+2.78</f>
        <v>2.78</v>
      </c>
      <c r="E539" s="14">
        <f>+1.45%</f>
        <v>0.0145</v>
      </c>
      <c r="F539" s="6">
        <v>193.87</v>
      </c>
      <c r="G539" s="6">
        <v>193.79</v>
      </c>
      <c r="H539" s="6">
        <v>194.95</v>
      </c>
      <c r="I539" s="9">
        <v>1.03640292E8</v>
      </c>
      <c r="J539" s="6">
        <v>2.01391842276E10</v>
      </c>
    </row>
    <row r="540">
      <c r="A540" s="4" t="s">
        <v>10</v>
      </c>
      <c r="B540" s="5">
        <v>42423.0</v>
      </c>
      <c r="C540" s="6">
        <v>192.32</v>
      </c>
      <c r="D540" s="11">
        <v>-2.46</v>
      </c>
      <c r="E540" s="12">
        <v>-0.0126</v>
      </c>
      <c r="F540" s="6">
        <v>194.0</v>
      </c>
      <c r="G540" s="6">
        <v>192.18</v>
      </c>
      <c r="H540" s="6">
        <v>194.32</v>
      </c>
      <c r="I540" s="9">
        <v>1.11455289E8</v>
      </c>
      <c r="J540" s="6">
        <v>2.151872960812E10</v>
      </c>
    </row>
    <row r="541">
      <c r="A541" s="4" t="s">
        <v>10</v>
      </c>
      <c r="B541" s="5">
        <v>42424.0</v>
      </c>
      <c r="C541" s="6">
        <v>193.2</v>
      </c>
      <c r="D541" s="13">
        <f>+0.88</f>
        <v>0.88</v>
      </c>
      <c r="E541" s="14">
        <f>+0.46%</f>
        <v>0.0046</v>
      </c>
      <c r="F541" s="6">
        <v>190.63</v>
      </c>
      <c r="G541" s="6">
        <v>189.32</v>
      </c>
      <c r="H541" s="6">
        <v>193.53</v>
      </c>
      <c r="I541" s="9">
        <v>1.50812152E8</v>
      </c>
      <c r="J541" s="6">
        <v>2.886841630294E10</v>
      </c>
    </row>
    <row r="542">
      <c r="A542" s="4" t="s">
        <v>10</v>
      </c>
      <c r="B542" s="5">
        <v>42425.0</v>
      </c>
      <c r="C542" s="6">
        <v>195.54</v>
      </c>
      <c r="D542" s="13">
        <f>+2.34</f>
        <v>2.34</v>
      </c>
      <c r="E542" s="14">
        <f>+1.21%</f>
        <v>0.0121</v>
      </c>
      <c r="F542" s="6">
        <v>193.73</v>
      </c>
      <c r="G542" s="6">
        <v>192.83</v>
      </c>
      <c r="H542" s="6">
        <v>195.55</v>
      </c>
      <c r="I542" s="9">
        <v>1.10728317E8</v>
      </c>
      <c r="J542" s="6">
        <v>2.150325278456E10</v>
      </c>
    </row>
    <row r="543">
      <c r="A543" s="4" t="s">
        <v>10</v>
      </c>
      <c r="B543" s="5">
        <v>42426.0</v>
      </c>
      <c r="C543" s="6">
        <v>195.09</v>
      </c>
      <c r="D543" s="11">
        <v>-0.45</v>
      </c>
      <c r="E543" s="12">
        <v>-0.0023</v>
      </c>
      <c r="F543" s="6">
        <v>196.57</v>
      </c>
      <c r="G543" s="6">
        <v>194.9</v>
      </c>
      <c r="H543" s="6">
        <v>196.68</v>
      </c>
      <c r="I543" s="9">
        <v>1.29833663E8</v>
      </c>
      <c r="J543" s="6">
        <v>2.540597500153E10</v>
      </c>
    </row>
    <row r="544">
      <c r="A544" s="4" t="s">
        <v>10</v>
      </c>
      <c r="B544" s="5">
        <v>42429.0</v>
      </c>
      <c r="C544" s="6">
        <v>193.56</v>
      </c>
      <c r="D544" s="11">
        <v>-1.53</v>
      </c>
      <c r="E544" s="12">
        <v>-0.0078</v>
      </c>
      <c r="F544" s="6">
        <v>195.11</v>
      </c>
      <c r="G544" s="6">
        <v>193.33</v>
      </c>
      <c r="H544" s="6">
        <v>196.23</v>
      </c>
      <c r="I544" s="9">
        <v>1.25918102E8</v>
      </c>
      <c r="J544" s="6">
        <v>2.452064763254E10</v>
      </c>
    </row>
    <row r="545">
      <c r="A545" s="4" t="s">
        <v>10</v>
      </c>
      <c r="B545" s="5">
        <v>42430.0</v>
      </c>
      <c r="C545" s="6">
        <v>198.11</v>
      </c>
      <c r="D545" s="13">
        <f>+4.55</f>
        <v>4.55</v>
      </c>
      <c r="E545" s="14">
        <f>+2.35%</f>
        <v>0.0235</v>
      </c>
      <c r="F545" s="6">
        <v>195.01</v>
      </c>
      <c r="G545" s="6">
        <v>194.45</v>
      </c>
      <c r="H545" s="6">
        <v>198.21</v>
      </c>
      <c r="I545" s="9">
        <v>1.41799687E8</v>
      </c>
      <c r="J545" s="6">
        <v>2.787469998513E10</v>
      </c>
    </row>
    <row r="546">
      <c r="A546" s="4" t="s">
        <v>10</v>
      </c>
      <c r="B546" s="5">
        <v>42431.0</v>
      </c>
      <c r="C546" s="6">
        <v>199.0</v>
      </c>
      <c r="D546" s="13">
        <f>+0.89</f>
        <v>0.89</v>
      </c>
      <c r="E546" s="14">
        <f>+0.45%</f>
        <v>0.0045</v>
      </c>
      <c r="F546" s="6">
        <v>197.74</v>
      </c>
      <c r="G546" s="6">
        <v>197.25</v>
      </c>
      <c r="H546" s="6">
        <v>199.06</v>
      </c>
      <c r="I546" s="9">
        <v>1.0241496E8</v>
      </c>
      <c r="J546" s="6">
        <v>2.029988782758E10</v>
      </c>
    </row>
    <row r="547">
      <c r="A547" s="4" t="s">
        <v>10</v>
      </c>
      <c r="B547" s="5">
        <v>42432.0</v>
      </c>
      <c r="C547" s="6">
        <v>199.78</v>
      </c>
      <c r="D547" s="13">
        <f>+0.78</f>
        <v>0.78</v>
      </c>
      <c r="E547" s="14">
        <f>+0.39%</f>
        <v>0.0039</v>
      </c>
      <c r="F547" s="6">
        <v>198.79</v>
      </c>
      <c r="G547" s="6">
        <v>198.11</v>
      </c>
      <c r="H547" s="6">
        <v>199.8</v>
      </c>
      <c r="I547" s="9">
        <v>9.5172197E7</v>
      </c>
      <c r="J547" s="6">
        <v>1.893682508748E10</v>
      </c>
    </row>
    <row r="548">
      <c r="A548" s="4" t="s">
        <v>10</v>
      </c>
      <c r="B548" s="5">
        <v>42433.0</v>
      </c>
      <c r="C548" s="6">
        <v>200.43</v>
      </c>
      <c r="D548" s="13">
        <f>+0.66</f>
        <v>0.66</v>
      </c>
      <c r="E548" s="14">
        <f>+0.33%</f>
        <v>0.0033</v>
      </c>
      <c r="F548" s="6">
        <v>200.01</v>
      </c>
      <c r="G548" s="6">
        <v>199.03</v>
      </c>
      <c r="H548" s="6">
        <v>201.35</v>
      </c>
      <c r="I548" s="9">
        <v>1.29293601E8</v>
      </c>
      <c r="J548" s="6">
        <v>2.589271905315E10</v>
      </c>
    </row>
    <row r="549">
      <c r="A549" s="4" t="s">
        <v>10</v>
      </c>
      <c r="B549" s="5">
        <v>42436.0</v>
      </c>
      <c r="C549" s="6">
        <v>200.59</v>
      </c>
      <c r="D549" s="13">
        <f>+0.16</f>
        <v>0.16</v>
      </c>
      <c r="E549" s="14">
        <f>+0.08%</f>
        <v>0.0008</v>
      </c>
      <c r="F549" s="6">
        <v>199.34</v>
      </c>
      <c r="G549" s="6">
        <v>199.25</v>
      </c>
      <c r="H549" s="6">
        <v>201.07</v>
      </c>
      <c r="I549" s="9">
        <v>1.00218998E8</v>
      </c>
      <c r="J549" s="6">
        <v>2.006297890239E10</v>
      </c>
    </row>
    <row r="550">
      <c r="A550" s="4" t="s">
        <v>10</v>
      </c>
      <c r="B550" s="5">
        <v>42437.0</v>
      </c>
      <c r="C550" s="6">
        <v>198.4</v>
      </c>
      <c r="D550" s="11">
        <v>-2.19</v>
      </c>
      <c r="E550" s="12">
        <v>-0.0109</v>
      </c>
      <c r="F550" s="6">
        <v>199.32</v>
      </c>
      <c r="G550" s="6">
        <v>198.21</v>
      </c>
      <c r="H550" s="6">
        <v>199.92</v>
      </c>
      <c r="I550" s="9">
        <v>1.23974866E8</v>
      </c>
      <c r="J550" s="6">
        <v>2.468399391883E10</v>
      </c>
    </row>
    <row r="551">
      <c r="A551" s="4" t="s">
        <v>10</v>
      </c>
      <c r="B551" s="5">
        <v>42438.0</v>
      </c>
      <c r="C551" s="6">
        <v>199.38</v>
      </c>
      <c r="D551" s="13">
        <f>+0.98</f>
        <v>0.98</v>
      </c>
      <c r="E551" s="14">
        <f>+0.49%</f>
        <v>0.0049</v>
      </c>
      <c r="F551" s="6">
        <v>199.36</v>
      </c>
      <c r="G551" s="6">
        <v>198.43</v>
      </c>
      <c r="H551" s="6">
        <v>199.79</v>
      </c>
      <c r="I551" s="9">
        <v>9.4801213E7</v>
      </c>
      <c r="J551" s="6">
        <v>1.888249492472E10</v>
      </c>
    </row>
    <row r="552">
      <c r="A552" s="4" t="s">
        <v>10</v>
      </c>
      <c r="B552" s="5">
        <v>42439.0</v>
      </c>
      <c r="C552" s="6">
        <v>199.54</v>
      </c>
      <c r="D552" s="13">
        <f>+0.16</f>
        <v>0.16</v>
      </c>
      <c r="E552" s="14">
        <f>+0.08%</f>
        <v>0.0008</v>
      </c>
      <c r="F552" s="6">
        <v>199.96</v>
      </c>
      <c r="G552" s="6">
        <v>197.38</v>
      </c>
      <c r="H552" s="6">
        <v>201.07</v>
      </c>
      <c r="I552" s="9">
        <v>1.56838697E8</v>
      </c>
      <c r="J552" s="6">
        <v>3.124360704012E10</v>
      </c>
    </row>
    <row r="553">
      <c r="A553" s="4" t="s">
        <v>10</v>
      </c>
      <c r="B553" s="5">
        <v>42440.0</v>
      </c>
      <c r="C553" s="6">
        <v>202.76</v>
      </c>
      <c r="D553" s="13">
        <f>+3.22</f>
        <v>3.22</v>
      </c>
      <c r="E553" s="14">
        <f>+1.61%</f>
        <v>0.0161</v>
      </c>
      <c r="F553" s="6">
        <v>201.26</v>
      </c>
      <c r="G553" s="6">
        <v>199.52</v>
      </c>
      <c r="H553" s="6">
        <v>202.81</v>
      </c>
      <c r="I553" s="9">
        <v>1.37964528E8</v>
      </c>
      <c r="J553" s="6">
        <v>2.783157323744E10</v>
      </c>
    </row>
    <row r="554">
      <c r="A554" s="4" t="s">
        <v>10</v>
      </c>
      <c r="B554" s="5">
        <v>42443.0</v>
      </c>
      <c r="C554" s="6">
        <v>202.5</v>
      </c>
      <c r="D554" s="11">
        <v>-0.26</v>
      </c>
      <c r="E554" s="12">
        <v>-0.0013</v>
      </c>
      <c r="F554" s="6">
        <v>202.16</v>
      </c>
      <c r="G554" s="6">
        <v>201.77</v>
      </c>
      <c r="H554" s="6">
        <v>203.04</v>
      </c>
      <c r="I554" s="9">
        <v>7.3611974E7</v>
      </c>
      <c r="J554" s="6">
        <v>1.49042057538E10</v>
      </c>
    </row>
    <row r="555">
      <c r="A555" s="4" t="s">
        <v>10</v>
      </c>
      <c r="B555" s="5">
        <v>42444.0</v>
      </c>
      <c r="C555" s="6">
        <v>202.17</v>
      </c>
      <c r="D555" s="11">
        <v>-0.33</v>
      </c>
      <c r="E555" s="12">
        <v>-0.0016</v>
      </c>
      <c r="F555" s="6">
        <v>201.36</v>
      </c>
      <c r="G555" s="6">
        <v>201.05</v>
      </c>
      <c r="H555" s="6">
        <v>202.53</v>
      </c>
      <c r="I555" s="9">
        <v>9.316909E7</v>
      </c>
      <c r="J555" s="6">
        <v>1.880056030503E10</v>
      </c>
    </row>
    <row r="556">
      <c r="A556" s="4" t="s">
        <v>10</v>
      </c>
      <c r="B556" s="5">
        <v>42445.0</v>
      </c>
      <c r="C556" s="6">
        <v>203.34</v>
      </c>
      <c r="D556" s="13">
        <f>+1.17</f>
        <v>1.17</v>
      </c>
      <c r="E556" s="14">
        <f>+0.58%</f>
        <v>0.0058</v>
      </c>
      <c r="F556" s="6">
        <v>201.6</v>
      </c>
      <c r="G556" s="6">
        <v>201.55</v>
      </c>
      <c r="H556" s="6">
        <v>203.82</v>
      </c>
      <c r="I556" s="9">
        <v>1.29303179E8</v>
      </c>
      <c r="J556" s="6">
        <v>2.621209768208E10</v>
      </c>
    </row>
    <row r="557">
      <c r="A557" s="4" t="s">
        <v>10</v>
      </c>
      <c r="B557" s="5">
        <v>42446.0</v>
      </c>
      <c r="C557" s="6">
        <v>204.63</v>
      </c>
      <c r="D557" s="13">
        <f>+1.29</f>
        <v>1.29</v>
      </c>
      <c r="E557" s="14">
        <f>+0.63%</f>
        <v>0.0063</v>
      </c>
      <c r="F557" s="6">
        <v>203.24</v>
      </c>
      <c r="G557" s="6">
        <v>202.77</v>
      </c>
      <c r="H557" s="6">
        <v>205.23</v>
      </c>
      <c r="I557" s="9">
        <v>1.34278505E8</v>
      </c>
      <c r="J557" s="6">
        <v>2.741867062314E10</v>
      </c>
    </row>
    <row r="558">
      <c r="A558" s="4" t="s">
        <v>10</v>
      </c>
      <c r="B558" s="5">
        <v>42447.0</v>
      </c>
      <c r="C558" s="6">
        <v>204.38</v>
      </c>
      <c r="D558" s="11">
        <v>-0.25</v>
      </c>
      <c r="E558" s="12">
        <v>-0.0012</v>
      </c>
      <c r="F558" s="6">
        <v>204.17</v>
      </c>
      <c r="G558" s="6">
        <v>203.8</v>
      </c>
      <c r="H558" s="6">
        <v>204.78</v>
      </c>
      <c r="I558" s="9">
        <v>1.38372404E8</v>
      </c>
      <c r="J558" s="6">
        <v>2.827386155786E10</v>
      </c>
    </row>
    <row r="559">
      <c r="A559" s="4" t="s">
        <v>10</v>
      </c>
      <c r="B559" s="5">
        <v>42450.0</v>
      </c>
      <c r="C559" s="6">
        <v>204.67</v>
      </c>
      <c r="D559" s="13">
        <f>+0.29</f>
        <v>0.29</v>
      </c>
      <c r="E559" s="14">
        <f>+0.14%</f>
        <v>0.0014</v>
      </c>
      <c r="F559" s="6">
        <v>204.07</v>
      </c>
      <c r="G559" s="6">
        <v>203.8</v>
      </c>
      <c r="H559" s="6">
        <v>204.94</v>
      </c>
      <c r="I559" s="9">
        <v>7.2926659E7</v>
      </c>
      <c r="J559" s="6">
        <v>1.491215342607E10</v>
      </c>
    </row>
    <row r="560">
      <c r="A560" s="4" t="s">
        <v>10</v>
      </c>
      <c r="B560" s="5">
        <v>42451.0</v>
      </c>
      <c r="C560" s="6">
        <v>204.56</v>
      </c>
      <c r="D560" s="11">
        <v>-0.11</v>
      </c>
      <c r="E560" s="12">
        <v>-5.0E-4</v>
      </c>
      <c r="F560" s="6">
        <v>203.76</v>
      </c>
      <c r="G560" s="6">
        <v>203.57</v>
      </c>
      <c r="H560" s="6">
        <v>205.23</v>
      </c>
      <c r="I560" s="9">
        <v>9.7471939E7</v>
      </c>
      <c r="J560" s="6">
        <v>1.994256448405E10</v>
      </c>
    </row>
    <row r="561">
      <c r="A561" s="4" t="s">
        <v>10</v>
      </c>
      <c r="B561" s="5">
        <v>42452.0</v>
      </c>
      <c r="C561" s="6">
        <v>203.21</v>
      </c>
      <c r="D561" s="11">
        <v>-1.35</v>
      </c>
      <c r="E561" s="12">
        <v>-0.0066</v>
      </c>
      <c r="F561" s="6">
        <v>204.11</v>
      </c>
      <c r="G561" s="6">
        <v>203.01</v>
      </c>
      <c r="H561" s="6">
        <v>204.33</v>
      </c>
      <c r="I561" s="9">
        <v>8.1052455E7</v>
      </c>
      <c r="J561" s="6">
        <v>1.650753613101E10</v>
      </c>
    </row>
    <row r="562">
      <c r="A562" s="4" t="s">
        <v>10</v>
      </c>
      <c r="B562" s="5">
        <v>42453.0</v>
      </c>
      <c r="C562" s="6">
        <v>203.12</v>
      </c>
      <c r="D562" s="11">
        <v>-0.09</v>
      </c>
      <c r="E562" s="12">
        <v>-4.0E-4</v>
      </c>
      <c r="F562" s="6">
        <v>202.0</v>
      </c>
      <c r="G562" s="6">
        <v>201.74</v>
      </c>
      <c r="H562" s="6">
        <v>203.16</v>
      </c>
      <c r="I562" s="9">
        <v>8.4360853E7</v>
      </c>
      <c r="J562" s="6">
        <v>1.709049017085E10</v>
      </c>
    </row>
    <row r="563">
      <c r="A563" s="4" t="s">
        <v>10</v>
      </c>
      <c r="B563" s="5">
        <v>42457.0</v>
      </c>
      <c r="C563" s="6">
        <v>203.24</v>
      </c>
      <c r="D563" s="13">
        <f>+0.12</f>
        <v>0.12</v>
      </c>
      <c r="E563" s="14">
        <f>+0.06%</f>
        <v>0.0006</v>
      </c>
      <c r="F563" s="6">
        <v>203.61</v>
      </c>
      <c r="G563" s="6">
        <v>202.71</v>
      </c>
      <c r="H563" s="6">
        <v>203.86</v>
      </c>
      <c r="I563" s="9">
        <v>6.2408185E7</v>
      </c>
      <c r="J563" s="6">
        <v>1.26885228858E10</v>
      </c>
    </row>
    <row r="564">
      <c r="A564" s="4" t="s">
        <v>10</v>
      </c>
      <c r="B564" s="5">
        <v>42458.0</v>
      </c>
      <c r="C564" s="6">
        <v>205.12</v>
      </c>
      <c r="D564" s="13">
        <f>+1.88</f>
        <v>1.88</v>
      </c>
      <c r="E564" s="14">
        <f>+0.93%</f>
        <v>0.0093</v>
      </c>
      <c r="F564" s="6">
        <v>202.76</v>
      </c>
      <c r="G564" s="6">
        <v>202.4</v>
      </c>
      <c r="H564" s="6">
        <v>205.25</v>
      </c>
      <c r="I564" s="9">
        <v>9.2922863E7</v>
      </c>
      <c r="J564" s="6">
        <v>1.896461478294E10</v>
      </c>
    </row>
    <row r="565">
      <c r="A565" s="4" t="s">
        <v>10</v>
      </c>
      <c r="B565" s="5">
        <v>42459.0</v>
      </c>
      <c r="C565" s="6">
        <v>206.02</v>
      </c>
      <c r="D565" s="13">
        <f>+0.9</f>
        <v>0.9</v>
      </c>
      <c r="E565" s="14">
        <f>+0.44%</f>
        <v>0.0044</v>
      </c>
      <c r="F565" s="6">
        <v>206.3</v>
      </c>
      <c r="G565" s="6">
        <v>205.59</v>
      </c>
      <c r="H565" s="6">
        <v>206.87</v>
      </c>
      <c r="I565" s="9">
        <v>8.636531E7</v>
      </c>
      <c r="J565" s="6">
        <v>1.780693475365E10</v>
      </c>
    </row>
    <row r="566">
      <c r="A566" s="4" t="s">
        <v>10</v>
      </c>
      <c r="B566" s="5">
        <v>42460.0</v>
      </c>
      <c r="C566" s="6">
        <v>205.52</v>
      </c>
      <c r="D566" s="11">
        <v>-0.5</v>
      </c>
      <c r="E566" s="12">
        <v>-0.0024</v>
      </c>
      <c r="F566" s="6">
        <v>205.91</v>
      </c>
      <c r="G566" s="6">
        <v>205.33</v>
      </c>
      <c r="H566" s="6">
        <v>206.41</v>
      </c>
      <c r="I566" s="9">
        <v>9.458411E7</v>
      </c>
      <c r="J566" s="6">
        <v>1.947102516561E10</v>
      </c>
    </row>
    <row r="567">
      <c r="A567" s="4" t="s">
        <v>10</v>
      </c>
      <c r="B567" s="5">
        <v>42461.0</v>
      </c>
      <c r="C567" s="6">
        <v>206.92</v>
      </c>
      <c r="D567" s="13">
        <f>+1.4</f>
        <v>1.4</v>
      </c>
      <c r="E567" s="14">
        <f>+0.68%</f>
        <v>0.0068</v>
      </c>
      <c r="F567" s="6">
        <v>204.35</v>
      </c>
      <c r="G567" s="6">
        <v>203.98</v>
      </c>
      <c r="H567" s="6">
        <v>207.14</v>
      </c>
      <c r="I567" s="9">
        <v>1.14423478E8</v>
      </c>
      <c r="J567" s="6">
        <v>2.357538806454E10</v>
      </c>
    </row>
    <row r="568">
      <c r="A568" s="4" t="s">
        <v>10</v>
      </c>
      <c r="B568" s="5">
        <v>42464.0</v>
      </c>
      <c r="C568" s="6">
        <v>206.25</v>
      </c>
      <c r="D568" s="11">
        <v>-0.67</v>
      </c>
      <c r="E568" s="12">
        <v>-0.0032</v>
      </c>
      <c r="F568" s="6">
        <v>206.83</v>
      </c>
      <c r="G568" s="6">
        <v>205.89</v>
      </c>
      <c r="H568" s="6">
        <v>207.07</v>
      </c>
      <c r="I568" s="9">
        <v>6.3496969E7</v>
      </c>
      <c r="J568" s="6">
        <v>1.31064029442E10</v>
      </c>
    </row>
    <row r="569">
      <c r="A569" s="4" t="s">
        <v>10</v>
      </c>
      <c r="B569" s="5">
        <v>42465.0</v>
      </c>
      <c r="C569" s="6">
        <v>204.19</v>
      </c>
      <c r="D569" s="11">
        <v>-2.06</v>
      </c>
      <c r="E569" s="12">
        <v>-0.01</v>
      </c>
      <c r="F569" s="6">
        <v>204.67</v>
      </c>
      <c r="G569" s="6">
        <v>203.89</v>
      </c>
      <c r="H569" s="6">
        <v>206.26</v>
      </c>
      <c r="I569" s="9">
        <v>9.9662158E7</v>
      </c>
      <c r="J569" s="6">
        <v>2.038881843458E10</v>
      </c>
    </row>
    <row r="570">
      <c r="A570" s="4" t="s">
        <v>10</v>
      </c>
      <c r="B570" s="5">
        <v>42466.0</v>
      </c>
      <c r="C570" s="6">
        <v>206.42</v>
      </c>
      <c r="D570" s="13">
        <f>+2.23</f>
        <v>2.23</v>
      </c>
      <c r="E570" s="14">
        <f>+1.09%</f>
        <v>0.0109</v>
      </c>
      <c r="F570" s="6">
        <v>204.29</v>
      </c>
      <c r="G570" s="6">
        <v>203.98</v>
      </c>
      <c r="H570" s="6">
        <v>206.49</v>
      </c>
      <c r="I570" s="9">
        <v>9.1839761E7</v>
      </c>
      <c r="J570" s="6">
        <v>1.886157406787E10</v>
      </c>
    </row>
    <row r="571">
      <c r="A571" s="4" t="s">
        <v>10</v>
      </c>
      <c r="B571" s="5">
        <v>42467.0</v>
      </c>
      <c r="C571" s="6">
        <v>203.95</v>
      </c>
      <c r="D571" s="11">
        <v>-2.47</v>
      </c>
      <c r="E571" s="12">
        <v>-0.012</v>
      </c>
      <c r="F571" s="6">
        <v>205.14</v>
      </c>
      <c r="G571" s="6">
        <v>203.09</v>
      </c>
      <c r="H571" s="6">
        <v>205.56</v>
      </c>
      <c r="I571" s="9">
        <v>1.13859037E8</v>
      </c>
      <c r="J571" s="6">
        <v>2.327037610159E10</v>
      </c>
    </row>
    <row r="572">
      <c r="A572" s="4" t="s">
        <v>10</v>
      </c>
      <c r="B572" s="5">
        <v>42468.0</v>
      </c>
      <c r="C572" s="6">
        <v>204.5</v>
      </c>
      <c r="D572" s="13">
        <f>+0.55</f>
        <v>0.55</v>
      </c>
      <c r="E572" s="14">
        <f>+0.27%</f>
        <v>0.0027</v>
      </c>
      <c r="F572" s="6">
        <v>205.34</v>
      </c>
      <c r="G572" s="6">
        <v>203.87</v>
      </c>
      <c r="H572" s="6">
        <v>205.85</v>
      </c>
      <c r="I572" s="9">
        <v>9.5040598E7</v>
      </c>
      <c r="J572" s="6">
        <v>1.946498192279E10</v>
      </c>
    </row>
    <row r="573">
      <c r="A573" s="4" t="s">
        <v>10</v>
      </c>
      <c r="B573" s="5">
        <v>42471.0</v>
      </c>
      <c r="C573" s="6">
        <v>204.02</v>
      </c>
      <c r="D573" s="11">
        <v>-0.48</v>
      </c>
      <c r="E573" s="12">
        <v>-0.0023</v>
      </c>
      <c r="F573" s="6">
        <v>205.25</v>
      </c>
      <c r="G573" s="6">
        <v>203.91</v>
      </c>
      <c r="H573" s="6">
        <v>206.07</v>
      </c>
      <c r="I573" s="9">
        <v>8.3757486E7</v>
      </c>
      <c r="J573" s="6">
        <v>1.71606863956E10</v>
      </c>
    </row>
    <row r="574">
      <c r="A574" s="4" t="s">
        <v>10</v>
      </c>
      <c r="B574" s="5">
        <v>42472.0</v>
      </c>
      <c r="C574" s="6">
        <v>205.92</v>
      </c>
      <c r="D574" s="13">
        <f>+1.9</f>
        <v>1.9</v>
      </c>
      <c r="E574" s="14">
        <f>+0.93%</f>
        <v>0.0093</v>
      </c>
      <c r="F574" s="6">
        <v>204.22</v>
      </c>
      <c r="G574" s="6">
        <v>203.7</v>
      </c>
      <c r="H574" s="6">
        <v>206.25</v>
      </c>
      <c r="I574" s="9">
        <v>1.15350567E8</v>
      </c>
      <c r="J574" s="6">
        <v>2.365923294893E10</v>
      </c>
    </row>
    <row r="575">
      <c r="A575" s="4" t="s">
        <v>10</v>
      </c>
      <c r="B575" s="5">
        <v>42473.0</v>
      </c>
      <c r="C575" s="6">
        <v>208.0</v>
      </c>
      <c r="D575" s="13">
        <f>+2.08</f>
        <v>2.08</v>
      </c>
      <c r="E575" s="14">
        <f>+1.01%</f>
        <v>0.0101</v>
      </c>
      <c r="F575" s="6">
        <v>207.0</v>
      </c>
      <c r="G575" s="6">
        <v>206.84</v>
      </c>
      <c r="H575" s="6">
        <v>208.1</v>
      </c>
      <c r="I575" s="9">
        <v>9.6336433E7</v>
      </c>
      <c r="J575" s="6">
        <v>1.998198196056E10</v>
      </c>
    </row>
    <row r="576">
      <c r="A576" s="4" t="s">
        <v>10</v>
      </c>
      <c r="B576" s="5">
        <v>42474.0</v>
      </c>
      <c r="C576" s="6">
        <v>208.01</v>
      </c>
      <c r="D576" s="13">
        <f>+0.01</f>
        <v>0.01</v>
      </c>
      <c r="E576" s="14">
        <f>+0%</f>
        <v>0</v>
      </c>
      <c r="F576" s="6">
        <v>208.07</v>
      </c>
      <c r="G576" s="6">
        <v>207.6</v>
      </c>
      <c r="H576" s="6">
        <v>208.6</v>
      </c>
      <c r="I576" s="9">
        <v>6.5212883E7</v>
      </c>
      <c r="J576" s="6">
        <v>1.357007787864E10</v>
      </c>
    </row>
    <row r="577">
      <c r="A577" s="4" t="s">
        <v>10</v>
      </c>
      <c r="B577" s="5">
        <v>42475.0</v>
      </c>
      <c r="C577" s="6">
        <v>207.78</v>
      </c>
      <c r="D577" s="11">
        <v>-0.23</v>
      </c>
      <c r="E577" s="12">
        <v>-0.0011</v>
      </c>
      <c r="F577" s="6">
        <v>208.01</v>
      </c>
      <c r="G577" s="6">
        <v>207.4</v>
      </c>
      <c r="H577" s="6">
        <v>208.17</v>
      </c>
      <c r="I577" s="9">
        <v>7.5761615E7</v>
      </c>
      <c r="J577" s="6">
        <v>1.574739371099E10</v>
      </c>
    </row>
    <row r="578">
      <c r="A578" s="4" t="s">
        <v>10</v>
      </c>
      <c r="B578" s="5">
        <v>42478.0</v>
      </c>
      <c r="C578" s="6">
        <v>209.24</v>
      </c>
      <c r="D578" s="13">
        <f>+1.46</f>
        <v>1.46</v>
      </c>
      <c r="E578" s="14">
        <f>+0.7%</f>
        <v>0.007</v>
      </c>
      <c r="F578" s="6">
        <v>207.14</v>
      </c>
      <c r="G578" s="6">
        <v>207.0</v>
      </c>
      <c r="H578" s="6">
        <v>209.28</v>
      </c>
      <c r="I578" s="9">
        <v>8.253096E7</v>
      </c>
      <c r="J578" s="6">
        <v>1.721787116326E10</v>
      </c>
    </row>
    <row r="579">
      <c r="A579" s="4" t="s">
        <v>10</v>
      </c>
      <c r="B579" s="5">
        <v>42479.0</v>
      </c>
      <c r="C579" s="6">
        <v>209.9</v>
      </c>
      <c r="D579" s="13">
        <f>+0.66</f>
        <v>0.66</v>
      </c>
      <c r="E579" s="14">
        <f>+0.32%</f>
        <v>0.0032</v>
      </c>
      <c r="F579" s="6">
        <v>209.74</v>
      </c>
      <c r="G579" s="6">
        <v>208.94</v>
      </c>
      <c r="H579" s="6">
        <v>210.2</v>
      </c>
      <c r="I579" s="9">
        <v>8.831606E7</v>
      </c>
      <c r="J579" s="6">
        <v>1.851902442983E10</v>
      </c>
    </row>
    <row r="580">
      <c r="A580" s="4" t="s">
        <v>10</v>
      </c>
      <c r="B580" s="5">
        <v>42480.0</v>
      </c>
      <c r="C580" s="6">
        <v>210.1</v>
      </c>
      <c r="D580" s="13">
        <f>+0.2</f>
        <v>0.2</v>
      </c>
      <c r="E580" s="14">
        <f>+0.1%</f>
        <v>0.001</v>
      </c>
      <c r="F580" s="6">
        <v>209.95</v>
      </c>
      <c r="G580" s="6">
        <v>209.39</v>
      </c>
      <c r="H580" s="6">
        <v>210.92</v>
      </c>
      <c r="I580" s="9">
        <v>8.1100314E7</v>
      </c>
      <c r="J580" s="6">
        <v>1.704338961469E10</v>
      </c>
    </row>
    <row r="581">
      <c r="A581" s="4" t="s">
        <v>10</v>
      </c>
      <c r="B581" s="5">
        <v>42481.0</v>
      </c>
      <c r="C581" s="6">
        <v>208.97</v>
      </c>
      <c r="D581" s="11">
        <v>-1.13</v>
      </c>
      <c r="E581" s="12">
        <v>-0.0054</v>
      </c>
      <c r="F581" s="6">
        <v>210.12</v>
      </c>
      <c r="G581" s="6">
        <v>208.65</v>
      </c>
      <c r="H581" s="6">
        <v>210.25</v>
      </c>
      <c r="I581" s="9">
        <v>8.5695041E7</v>
      </c>
      <c r="J581" s="6">
        <v>1.794788654313E10</v>
      </c>
    </row>
    <row r="582">
      <c r="A582" s="4" t="s">
        <v>10</v>
      </c>
      <c r="B582" s="5">
        <v>42482.0</v>
      </c>
      <c r="C582" s="6">
        <v>208.97</v>
      </c>
      <c r="D582" s="11">
        <v>0.0</v>
      </c>
      <c r="E582" s="12">
        <v>0.0</v>
      </c>
      <c r="F582" s="6">
        <v>208.55</v>
      </c>
      <c r="G582" s="6">
        <v>207.91</v>
      </c>
      <c r="H582" s="6">
        <v>209.29</v>
      </c>
      <c r="I582" s="9">
        <v>9.9251724E7</v>
      </c>
      <c r="J582" s="6">
        <v>2.071637495398E10</v>
      </c>
    </row>
    <row r="583">
      <c r="A583" s="4" t="s">
        <v>10</v>
      </c>
      <c r="B583" s="5">
        <v>42485.0</v>
      </c>
      <c r="C583" s="6">
        <v>208.61</v>
      </c>
      <c r="D583" s="11">
        <v>-0.36</v>
      </c>
      <c r="E583" s="12">
        <v>-0.0017</v>
      </c>
      <c r="F583" s="6">
        <v>208.26</v>
      </c>
      <c r="G583" s="6">
        <v>207.54</v>
      </c>
      <c r="H583" s="6">
        <v>208.66</v>
      </c>
      <c r="I583" s="9">
        <v>6.6166494E7</v>
      </c>
      <c r="J583" s="6">
        <v>1.377463003661E10</v>
      </c>
    </row>
    <row r="584">
      <c r="A584" s="4" t="s">
        <v>10</v>
      </c>
      <c r="B584" s="5">
        <v>42486.0</v>
      </c>
      <c r="C584" s="6">
        <v>208.92</v>
      </c>
      <c r="D584" s="13">
        <f>+0.31</f>
        <v>0.31</v>
      </c>
      <c r="E584" s="14">
        <f>+0.15%</f>
        <v>0.0015</v>
      </c>
      <c r="F584" s="6">
        <v>209.04</v>
      </c>
      <c r="G584" s="6">
        <v>208.36</v>
      </c>
      <c r="H584" s="6">
        <v>209.52</v>
      </c>
      <c r="I584" s="9">
        <v>7.5864174E7</v>
      </c>
      <c r="J584" s="6">
        <v>1.584400288348E10</v>
      </c>
    </row>
    <row r="585">
      <c r="A585" s="4" t="s">
        <v>10</v>
      </c>
      <c r="B585" s="5">
        <v>42487.0</v>
      </c>
      <c r="C585" s="6">
        <v>209.35</v>
      </c>
      <c r="D585" s="13">
        <f>+0.43</f>
        <v>0.43</v>
      </c>
      <c r="E585" s="14">
        <f>+0.21%</f>
        <v>0.0021</v>
      </c>
      <c r="F585" s="6">
        <v>208.47</v>
      </c>
      <c r="G585" s="6">
        <v>208.05</v>
      </c>
      <c r="H585" s="6">
        <v>209.81</v>
      </c>
      <c r="I585" s="9">
        <v>7.7329437E7</v>
      </c>
      <c r="J585" s="6">
        <v>1.616145451884E10</v>
      </c>
    </row>
    <row r="586">
      <c r="A586" s="4" t="s">
        <v>10</v>
      </c>
      <c r="B586" s="5">
        <v>42488.0</v>
      </c>
      <c r="C586" s="6">
        <v>207.45</v>
      </c>
      <c r="D586" s="11">
        <v>-1.9</v>
      </c>
      <c r="E586" s="12">
        <v>-0.0091</v>
      </c>
      <c r="F586" s="6">
        <v>208.46</v>
      </c>
      <c r="G586" s="6">
        <v>206.96</v>
      </c>
      <c r="H586" s="6">
        <v>209.76</v>
      </c>
      <c r="I586" s="9">
        <v>9.7216169E7</v>
      </c>
      <c r="J586" s="6">
        <v>2.026474947103E10</v>
      </c>
    </row>
    <row r="587">
      <c r="A587" s="4" t="s">
        <v>10</v>
      </c>
      <c r="B587" s="5">
        <v>42489.0</v>
      </c>
      <c r="C587" s="6">
        <v>206.33</v>
      </c>
      <c r="D587" s="11">
        <v>-1.12</v>
      </c>
      <c r="E587" s="12">
        <v>-0.0054</v>
      </c>
      <c r="F587" s="6">
        <v>206.72</v>
      </c>
      <c r="G587" s="6">
        <v>205.03</v>
      </c>
      <c r="H587" s="6">
        <v>207.13</v>
      </c>
      <c r="I587" s="9">
        <v>1.42424137E8</v>
      </c>
      <c r="J587" s="6">
        <v>2.936170870287E10</v>
      </c>
    </row>
    <row r="588">
      <c r="A588" s="4" t="s">
        <v>10</v>
      </c>
      <c r="B588" s="5">
        <v>42492.0</v>
      </c>
      <c r="C588" s="6">
        <v>207.97</v>
      </c>
      <c r="D588" s="13">
        <f>+1.64</f>
        <v>1.64</v>
      </c>
      <c r="E588" s="14">
        <f>+0.79%</f>
        <v>0.0079</v>
      </c>
      <c r="F588" s="6">
        <v>206.92</v>
      </c>
      <c r="G588" s="6">
        <v>206.41</v>
      </c>
      <c r="H588" s="6">
        <v>208.18</v>
      </c>
      <c r="I588" s="9">
        <v>6.2188015E7</v>
      </c>
      <c r="J588" s="6">
        <v>1.289111093866E10</v>
      </c>
    </row>
    <row r="589">
      <c r="A589" s="4" t="s">
        <v>10</v>
      </c>
      <c r="B589" s="5">
        <v>42493.0</v>
      </c>
      <c r="C589" s="6">
        <v>206.16</v>
      </c>
      <c r="D589" s="11">
        <v>-1.81</v>
      </c>
      <c r="E589" s="12">
        <v>-0.0087</v>
      </c>
      <c r="F589" s="6">
        <v>206.52</v>
      </c>
      <c r="G589" s="6">
        <v>205.28</v>
      </c>
      <c r="H589" s="6">
        <v>206.8</v>
      </c>
      <c r="I589" s="9">
        <v>1.06422142E8</v>
      </c>
      <c r="J589" s="6">
        <v>2.195617133213E10</v>
      </c>
    </row>
    <row r="590">
      <c r="A590" s="4" t="s">
        <v>10</v>
      </c>
      <c r="B590" s="5">
        <v>42494.0</v>
      </c>
      <c r="C590" s="6">
        <v>205.01</v>
      </c>
      <c r="D590" s="11">
        <v>-1.15</v>
      </c>
      <c r="E590" s="12">
        <v>-0.0056</v>
      </c>
      <c r="F590" s="6">
        <v>204.99</v>
      </c>
      <c r="G590" s="6">
        <v>204.42</v>
      </c>
      <c r="H590" s="6">
        <v>205.85</v>
      </c>
      <c r="I590" s="9">
        <v>9.224381E7</v>
      </c>
      <c r="J590" s="6">
        <v>1.891827991463E10</v>
      </c>
    </row>
    <row r="591">
      <c r="A591" s="4" t="s">
        <v>10</v>
      </c>
      <c r="B591" s="5">
        <v>42495.0</v>
      </c>
      <c r="C591" s="6">
        <v>204.97</v>
      </c>
      <c r="D591" s="11">
        <v>-0.04</v>
      </c>
      <c r="E591" s="12">
        <v>-2.0E-4</v>
      </c>
      <c r="F591" s="6">
        <v>205.56</v>
      </c>
      <c r="G591" s="6">
        <v>204.47</v>
      </c>
      <c r="H591" s="6">
        <v>205.98</v>
      </c>
      <c r="I591" s="9">
        <v>6.7619222E7</v>
      </c>
      <c r="J591" s="6">
        <v>1.387151984941E10</v>
      </c>
    </row>
    <row r="592">
      <c r="A592" s="4" t="s">
        <v>10</v>
      </c>
      <c r="B592" s="5">
        <v>42496.0</v>
      </c>
      <c r="C592" s="6">
        <v>205.72</v>
      </c>
      <c r="D592" s="13">
        <f>+0.75</f>
        <v>0.75</v>
      </c>
      <c r="E592" s="14">
        <f>+0.37%</f>
        <v>0.0037</v>
      </c>
      <c r="F592" s="6">
        <v>204.06</v>
      </c>
      <c r="G592" s="6">
        <v>203.88</v>
      </c>
      <c r="H592" s="6">
        <v>205.77</v>
      </c>
      <c r="I592" s="9">
        <v>8.9315004E7</v>
      </c>
      <c r="J592" s="6">
        <v>1.830385958589E10</v>
      </c>
    </row>
    <row r="593">
      <c r="A593" s="4" t="s">
        <v>10</v>
      </c>
      <c r="B593" s="5">
        <v>42499.0</v>
      </c>
      <c r="C593" s="6">
        <v>205.89</v>
      </c>
      <c r="D593" s="13">
        <f>+0.17</f>
        <v>0.17</v>
      </c>
      <c r="E593" s="14">
        <f>+0.08%</f>
        <v>0.0008</v>
      </c>
      <c r="F593" s="6">
        <v>205.57</v>
      </c>
      <c r="G593" s="6">
        <v>205.36</v>
      </c>
      <c r="H593" s="6">
        <v>206.4</v>
      </c>
      <c r="I593" s="9">
        <v>7.4374922E7</v>
      </c>
      <c r="J593" s="6">
        <v>1.53126622157E10</v>
      </c>
    </row>
    <row r="594">
      <c r="A594" s="4" t="s">
        <v>10</v>
      </c>
      <c r="B594" s="5">
        <v>42500.0</v>
      </c>
      <c r="C594" s="6">
        <v>208.45</v>
      </c>
      <c r="D594" s="13">
        <f>+2.56</f>
        <v>2.56</v>
      </c>
      <c r="E594" s="14">
        <f>+1.24%</f>
        <v>0.0124</v>
      </c>
      <c r="F594" s="6">
        <v>206.72</v>
      </c>
      <c r="G594" s="6">
        <v>206.64</v>
      </c>
      <c r="H594" s="6">
        <v>208.5</v>
      </c>
      <c r="I594" s="9">
        <v>7.7472207E7</v>
      </c>
      <c r="J594" s="6">
        <v>1.609905979534E10</v>
      </c>
    </row>
    <row r="595">
      <c r="A595" s="4" t="s">
        <v>10</v>
      </c>
      <c r="B595" s="5">
        <v>42501.0</v>
      </c>
      <c r="C595" s="6">
        <v>206.5</v>
      </c>
      <c r="D595" s="11">
        <v>-1.95</v>
      </c>
      <c r="E595" s="12">
        <v>-0.0094</v>
      </c>
      <c r="F595" s="6">
        <v>207.91</v>
      </c>
      <c r="G595" s="6">
        <v>206.5</v>
      </c>
      <c r="H595" s="6">
        <v>208.54</v>
      </c>
      <c r="I595" s="9">
        <v>8.1726989E7</v>
      </c>
      <c r="J595" s="6">
        <v>1.695086450704E10</v>
      </c>
    </row>
    <row r="596">
      <c r="A596" s="4" t="s">
        <v>10</v>
      </c>
      <c r="B596" s="5">
        <v>42502.0</v>
      </c>
      <c r="C596" s="6">
        <v>206.56</v>
      </c>
      <c r="D596" s="13">
        <f>+0.06</f>
        <v>0.06</v>
      </c>
      <c r="E596" s="14">
        <f>+0.03%</f>
        <v>0.0003</v>
      </c>
      <c r="F596" s="6">
        <v>207.29</v>
      </c>
      <c r="G596" s="6">
        <v>205.37</v>
      </c>
      <c r="H596" s="6">
        <v>207.49</v>
      </c>
      <c r="I596" s="9">
        <v>8.9586308E7</v>
      </c>
      <c r="J596" s="6">
        <v>1.849525796096E10</v>
      </c>
    </row>
    <row r="597">
      <c r="A597" s="4" t="s">
        <v>10</v>
      </c>
      <c r="B597" s="5">
        <v>42503.0</v>
      </c>
      <c r="C597" s="6">
        <v>204.76</v>
      </c>
      <c r="D597" s="11">
        <v>-1.8</v>
      </c>
      <c r="E597" s="12">
        <v>-0.0087</v>
      </c>
      <c r="F597" s="6">
        <v>206.21</v>
      </c>
      <c r="G597" s="6">
        <v>204.38</v>
      </c>
      <c r="H597" s="6">
        <v>206.86</v>
      </c>
      <c r="I597" s="9">
        <v>9.647463E7</v>
      </c>
      <c r="J597" s="6">
        <v>1.983317804648E10</v>
      </c>
    </row>
    <row r="598">
      <c r="A598" s="4" t="s">
        <v>10</v>
      </c>
      <c r="B598" s="5">
        <v>42506.0</v>
      </c>
      <c r="C598" s="6">
        <v>206.78</v>
      </c>
      <c r="D598" s="13">
        <f>+2.02</f>
        <v>2.02</v>
      </c>
      <c r="E598" s="14">
        <f>+0.99%</f>
        <v>0.0099</v>
      </c>
      <c r="F598" s="6">
        <v>204.96</v>
      </c>
      <c r="G598" s="6">
        <v>204.89</v>
      </c>
      <c r="H598" s="6">
        <v>207.34</v>
      </c>
      <c r="I598" s="9">
        <v>7.7486827E7</v>
      </c>
      <c r="J598" s="6">
        <v>1.599485210498E10</v>
      </c>
    </row>
    <row r="599">
      <c r="A599" s="4" t="s">
        <v>10</v>
      </c>
      <c r="B599" s="5">
        <v>42507.0</v>
      </c>
      <c r="C599" s="6">
        <v>204.85</v>
      </c>
      <c r="D599" s="11">
        <v>-1.93</v>
      </c>
      <c r="E599" s="12">
        <v>-0.0093</v>
      </c>
      <c r="F599" s="6">
        <v>206.46</v>
      </c>
      <c r="G599" s="6">
        <v>204.23</v>
      </c>
      <c r="H599" s="6">
        <v>206.8</v>
      </c>
      <c r="I599" s="9">
        <v>1.1492494E8</v>
      </c>
      <c r="J599" s="6">
        <v>2.361065875763E10</v>
      </c>
    </row>
    <row r="600">
      <c r="A600" s="4" t="s">
        <v>10</v>
      </c>
      <c r="B600" s="5">
        <v>42508.0</v>
      </c>
      <c r="C600" s="6">
        <v>204.91</v>
      </c>
      <c r="D600" s="13">
        <f>+0.06</f>
        <v>0.06</v>
      </c>
      <c r="E600" s="14">
        <f>+0.03%</f>
        <v>0.0003</v>
      </c>
      <c r="F600" s="6">
        <v>204.44</v>
      </c>
      <c r="G600" s="6">
        <v>203.63</v>
      </c>
      <c r="H600" s="6">
        <v>206.3</v>
      </c>
      <c r="I600" s="9">
        <v>1.23493379E8</v>
      </c>
      <c r="J600" s="6">
        <v>2.530263206622E10</v>
      </c>
    </row>
    <row r="601">
      <c r="A601" s="4" t="s">
        <v>10</v>
      </c>
      <c r="B601" s="5">
        <v>42509.0</v>
      </c>
      <c r="C601" s="6">
        <v>204.2</v>
      </c>
      <c r="D601" s="11">
        <v>-0.71</v>
      </c>
      <c r="E601" s="12">
        <v>-0.0035</v>
      </c>
      <c r="F601" s="6">
        <v>204.06</v>
      </c>
      <c r="G601" s="6">
        <v>202.78</v>
      </c>
      <c r="H601" s="6">
        <v>204.54</v>
      </c>
      <c r="I601" s="9">
        <v>1.15430507E8</v>
      </c>
      <c r="J601" s="6">
        <v>2.351886053902E10</v>
      </c>
    </row>
    <row r="602">
      <c r="A602" s="4" t="s">
        <v>10</v>
      </c>
      <c r="B602" s="5">
        <v>42510.0</v>
      </c>
      <c r="C602" s="6">
        <v>205.49</v>
      </c>
      <c r="D602" s="13">
        <f>+1.29</f>
        <v>1.29</v>
      </c>
      <c r="E602" s="14">
        <f>+0.63%</f>
        <v>0.0063</v>
      </c>
      <c r="F602" s="6">
        <v>204.92</v>
      </c>
      <c r="G602" s="6">
        <v>204.86</v>
      </c>
      <c r="H602" s="6">
        <v>206.1</v>
      </c>
      <c r="I602" s="9">
        <v>1.04990408E8</v>
      </c>
      <c r="J602" s="6">
        <v>2.156742432635E10</v>
      </c>
    </row>
    <row r="603">
      <c r="A603" s="4" t="s">
        <v>10</v>
      </c>
      <c r="B603" s="5">
        <v>42513.0</v>
      </c>
      <c r="C603" s="6">
        <v>205.21</v>
      </c>
      <c r="D603" s="11">
        <v>-0.28</v>
      </c>
      <c r="E603" s="12">
        <v>-0.0014</v>
      </c>
      <c r="F603" s="6">
        <v>205.51</v>
      </c>
      <c r="G603" s="6">
        <v>204.99</v>
      </c>
      <c r="H603" s="6">
        <v>205.84</v>
      </c>
      <c r="I603" s="9">
        <v>5.8682576E7</v>
      </c>
      <c r="J603" s="6">
        <v>1.205361943254E10</v>
      </c>
    </row>
    <row r="604">
      <c r="A604" s="4" t="s">
        <v>10</v>
      </c>
      <c r="B604" s="5">
        <v>42514.0</v>
      </c>
      <c r="C604" s="6">
        <v>207.87</v>
      </c>
      <c r="D604" s="13">
        <f>+2.66</f>
        <v>2.66</v>
      </c>
      <c r="E604" s="14">
        <f>+1.3%</f>
        <v>0.013</v>
      </c>
      <c r="F604" s="6">
        <v>206.17</v>
      </c>
      <c r="G604" s="6">
        <v>206.14</v>
      </c>
      <c r="H604" s="6">
        <v>208.24</v>
      </c>
      <c r="I604" s="9">
        <v>9.3537808E7</v>
      </c>
      <c r="J604" s="6">
        <v>1.939425706459E10</v>
      </c>
    </row>
    <row r="605">
      <c r="A605" s="4" t="s">
        <v>10</v>
      </c>
      <c r="B605" s="5">
        <v>42515.0</v>
      </c>
      <c r="C605" s="6">
        <v>209.28</v>
      </c>
      <c r="D605" s="13">
        <f>+1.41</f>
        <v>1.41</v>
      </c>
      <c r="E605" s="14">
        <f>+0.68%</f>
        <v>0.0068</v>
      </c>
      <c r="F605" s="6">
        <v>208.67</v>
      </c>
      <c r="G605" s="6">
        <v>207.87</v>
      </c>
      <c r="H605" s="6">
        <v>209.77</v>
      </c>
      <c r="I605" s="9">
        <v>7.9221525E7</v>
      </c>
      <c r="J605" s="6">
        <v>1.65769403198E10</v>
      </c>
    </row>
    <row r="606">
      <c r="A606" s="4" t="s">
        <v>10</v>
      </c>
      <c r="B606" s="5">
        <v>42516.0</v>
      </c>
      <c r="C606" s="6">
        <v>209.34</v>
      </c>
      <c r="D606" s="13">
        <f>+0.06</f>
        <v>0.06</v>
      </c>
      <c r="E606" s="14">
        <f>+0.03%</f>
        <v>0.0003</v>
      </c>
      <c r="F606" s="6">
        <v>209.44</v>
      </c>
      <c r="G606" s="6">
        <v>208.97</v>
      </c>
      <c r="H606" s="6">
        <v>209.71</v>
      </c>
      <c r="I606" s="9">
        <v>5.5280699E7</v>
      </c>
      <c r="J606" s="6">
        <v>1.157244816665E10</v>
      </c>
    </row>
    <row r="607">
      <c r="A607" s="4" t="s">
        <v>10</v>
      </c>
      <c r="B607" s="5">
        <v>42517.0</v>
      </c>
      <c r="C607" s="6">
        <v>210.24</v>
      </c>
      <c r="D607" s="13">
        <f>+0.9</f>
        <v>0.9</v>
      </c>
      <c r="E607" s="14">
        <f>+0.43%</f>
        <v>0.0043</v>
      </c>
      <c r="F607" s="6">
        <v>209.53</v>
      </c>
      <c r="G607" s="6">
        <v>209.47</v>
      </c>
      <c r="H607" s="6">
        <v>210.25</v>
      </c>
      <c r="I607" s="9">
        <v>6.4211214E7</v>
      </c>
      <c r="J607" s="6">
        <v>1.347839178309E10</v>
      </c>
    </row>
    <row r="608">
      <c r="A608" s="4" t="s">
        <v>10</v>
      </c>
      <c r="B608" s="5">
        <v>42521.0</v>
      </c>
      <c r="C608" s="6">
        <v>209.84</v>
      </c>
      <c r="D608" s="11">
        <v>-0.4</v>
      </c>
      <c r="E608" s="12">
        <v>-0.0019</v>
      </c>
      <c r="F608" s="6">
        <v>210.56</v>
      </c>
      <c r="G608" s="6">
        <v>209.18</v>
      </c>
      <c r="H608" s="6">
        <v>210.69</v>
      </c>
      <c r="I608" s="9">
        <v>1.0987938E8</v>
      </c>
      <c r="J608" s="6">
        <v>2.307557691754E10</v>
      </c>
    </row>
    <row r="609">
      <c r="A609" s="4" t="s">
        <v>10</v>
      </c>
      <c r="B609" s="5">
        <v>42522.0</v>
      </c>
      <c r="C609" s="6">
        <v>210.27</v>
      </c>
      <c r="D609" s="13">
        <f>+0.43</f>
        <v>0.43</v>
      </c>
      <c r="E609" s="14">
        <f>+0.2%</f>
        <v>0.002</v>
      </c>
      <c r="F609" s="6">
        <v>209.12</v>
      </c>
      <c r="G609" s="6">
        <v>208.89</v>
      </c>
      <c r="H609" s="6">
        <v>210.48</v>
      </c>
      <c r="I609" s="9">
        <v>6.9936215E7</v>
      </c>
      <c r="J609" s="6">
        <v>1.467547059388E10</v>
      </c>
    </row>
    <row r="610">
      <c r="A610" s="4" t="s">
        <v>10</v>
      </c>
      <c r="B610" s="5">
        <v>42523.0</v>
      </c>
      <c r="C610" s="6">
        <v>210.91</v>
      </c>
      <c r="D610" s="13">
        <f>+0.64</f>
        <v>0.64</v>
      </c>
      <c r="E610" s="14">
        <f>+0.3%</f>
        <v>0.003</v>
      </c>
      <c r="F610" s="6">
        <v>209.8</v>
      </c>
      <c r="G610" s="6">
        <v>209.24</v>
      </c>
      <c r="H610" s="6">
        <v>210.93</v>
      </c>
      <c r="I610" s="9">
        <v>6.3044749E7</v>
      </c>
      <c r="J610" s="6">
        <v>1.325370310881E10</v>
      </c>
    </row>
    <row r="611">
      <c r="A611" s="4" t="s">
        <v>10</v>
      </c>
      <c r="B611" s="5">
        <v>42524.0</v>
      </c>
      <c r="C611" s="6">
        <v>210.28</v>
      </c>
      <c r="D611" s="11">
        <v>-0.63</v>
      </c>
      <c r="E611" s="12">
        <v>-0.003</v>
      </c>
      <c r="F611" s="6">
        <v>210.25</v>
      </c>
      <c r="G611" s="6">
        <v>208.86</v>
      </c>
      <c r="H611" s="6">
        <v>210.69</v>
      </c>
      <c r="I611" s="9">
        <v>1.01757126E8</v>
      </c>
      <c r="J611" s="6">
        <v>2.137333136752E10</v>
      </c>
    </row>
    <row r="612">
      <c r="A612" s="4" t="s">
        <v>10</v>
      </c>
      <c r="B612" s="5">
        <v>42527.0</v>
      </c>
      <c r="C612" s="6">
        <v>211.35</v>
      </c>
      <c r="D612" s="13">
        <f>+1.07</f>
        <v>1.07</v>
      </c>
      <c r="E612" s="14">
        <f>+0.51%</f>
        <v>0.0051</v>
      </c>
      <c r="F612" s="6">
        <v>210.7</v>
      </c>
      <c r="G612" s="6">
        <v>210.51</v>
      </c>
      <c r="H612" s="6">
        <v>211.77</v>
      </c>
      <c r="I612" s="9">
        <v>6.4887045E7</v>
      </c>
      <c r="J612" s="6">
        <v>1.370471928791E10</v>
      </c>
    </row>
    <row r="613">
      <c r="A613" s="4" t="s">
        <v>10</v>
      </c>
      <c r="B613" s="5">
        <v>42528.0</v>
      </c>
      <c r="C613" s="6">
        <v>211.68</v>
      </c>
      <c r="D613" s="13">
        <f>+0.33</f>
        <v>0.33</v>
      </c>
      <c r="E613" s="14">
        <f>+0.16%</f>
        <v>0.0016</v>
      </c>
      <c r="F613" s="6">
        <v>211.53</v>
      </c>
      <c r="G613" s="6">
        <v>211.5</v>
      </c>
      <c r="H613" s="6">
        <v>212.34</v>
      </c>
      <c r="I613" s="9">
        <v>6.0974761E7</v>
      </c>
      <c r="J613" s="6">
        <v>1.291787649047E10</v>
      </c>
    </row>
    <row r="614">
      <c r="A614" s="4" t="s">
        <v>10</v>
      </c>
      <c r="B614" s="5">
        <v>42529.0</v>
      </c>
      <c r="C614" s="6">
        <v>212.37</v>
      </c>
      <c r="D614" s="13">
        <f>+0.69</f>
        <v>0.69</v>
      </c>
      <c r="E614" s="14">
        <f>+0.33%</f>
        <v>0.0033</v>
      </c>
      <c r="F614" s="6">
        <v>211.84</v>
      </c>
      <c r="G614" s="6">
        <v>211.69</v>
      </c>
      <c r="H614" s="6">
        <v>212.52</v>
      </c>
      <c r="I614" s="9">
        <v>6.617092E7</v>
      </c>
      <c r="J614" s="6">
        <v>1.404026278582E10</v>
      </c>
    </row>
    <row r="615">
      <c r="A615" s="4" t="s">
        <v>10</v>
      </c>
      <c r="B615" s="5">
        <v>42530.0</v>
      </c>
      <c r="C615" s="6">
        <v>212.08</v>
      </c>
      <c r="D615" s="11">
        <v>-0.29</v>
      </c>
      <c r="E615" s="12">
        <v>-0.0014</v>
      </c>
      <c r="F615" s="6">
        <v>211.51</v>
      </c>
      <c r="G615" s="6">
        <v>211.19</v>
      </c>
      <c r="H615" s="6">
        <v>212.22</v>
      </c>
      <c r="I615" s="9">
        <v>7.3786869E7</v>
      </c>
      <c r="J615" s="6">
        <v>1.562206396294E10</v>
      </c>
    </row>
    <row r="616">
      <c r="A616" s="4" t="s">
        <v>10</v>
      </c>
      <c r="B616" s="5">
        <v>42531.0</v>
      </c>
      <c r="C616" s="6">
        <v>210.07</v>
      </c>
      <c r="D616" s="11">
        <v>-2.01</v>
      </c>
      <c r="E616" s="12">
        <v>-0.0095</v>
      </c>
      <c r="F616" s="6">
        <v>210.46</v>
      </c>
      <c r="G616" s="6">
        <v>209.43</v>
      </c>
      <c r="H616" s="6">
        <v>210.86</v>
      </c>
      <c r="I616" s="9">
        <v>1.13829158E8</v>
      </c>
      <c r="J616" s="6">
        <v>2.393056158991E10</v>
      </c>
    </row>
    <row r="617">
      <c r="A617" s="4" t="s">
        <v>10</v>
      </c>
      <c r="B617" s="5">
        <v>42534.0</v>
      </c>
      <c r="C617" s="6">
        <v>208.45</v>
      </c>
      <c r="D617" s="11">
        <v>-1.62</v>
      </c>
      <c r="E617" s="12">
        <v>-0.0077</v>
      </c>
      <c r="F617" s="6">
        <v>209.36</v>
      </c>
      <c r="G617" s="6">
        <v>208.35</v>
      </c>
      <c r="H617" s="6">
        <v>210.37</v>
      </c>
      <c r="I617" s="9">
        <v>1.17751153E8</v>
      </c>
      <c r="J617" s="6">
        <v>2.464082721379E10</v>
      </c>
    </row>
    <row r="618">
      <c r="A618" s="4" t="s">
        <v>10</v>
      </c>
      <c r="B618" s="5">
        <v>42535.0</v>
      </c>
      <c r="C618" s="6">
        <v>208.04</v>
      </c>
      <c r="D618" s="11">
        <v>-0.41</v>
      </c>
      <c r="E618" s="12">
        <v>-0.002</v>
      </c>
      <c r="F618" s="6">
        <v>208.0</v>
      </c>
      <c r="G618" s="6">
        <v>206.92</v>
      </c>
      <c r="H618" s="6">
        <v>208.74</v>
      </c>
      <c r="I618" s="9">
        <v>1.25059286E8</v>
      </c>
      <c r="J618" s="6">
        <v>2.597965846594E10</v>
      </c>
    </row>
    <row r="619">
      <c r="A619" s="4" t="s">
        <v>10</v>
      </c>
      <c r="B619" s="5">
        <v>42536.0</v>
      </c>
      <c r="C619" s="6">
        <v>207.75</v>
      </c>
      <c r="D619" s="11">
        <v>-0.29</v>
      </c>
      <c r="E619" s="12">
        <v>-0.0014</v>
      </c>
      <c r="F619" s="6">
        <v>208.54</v>
      </c>
      <c r="G619" s="6">
        <v>207.53</v>
      </c>
      <c r="H619" s="6">
        <v>209.36</v>
      </c>
      <c r="I619" s="9">
        <v>1.09124496E8</v>
      </c>
      <c r="J619" s="6">
        <v>2.274342921566E10</v>
      </c>
    </row>
    <row r="620">
      <c r="A620" s="4" t="s">
        <v>10</v>
      </c>
      <c r="B620" s="5">
        <v>42537.0</v>
      </c>
      <c r="C620" s="6">
        <v>208.37</v>
      </c>
      <c r="D620" s="13">
        <f>+0.62</f>
        <v>0.62</v>
      </c>
      <c r="E620" s="14">
        <f>+0.3%</f>
        <v>0.003</v>
      </c>
      <c r="F620" s="6">
        <v>206.73</v>
      </c>
      <c r="G620" s="6">
        <v>205.59</v>
      </c>
      <c r="H620" s="6">
        <v>208.57</v>
      </c>
      <c r="I620" s="9">
        <v>1.49533065E8</v>
      </c>
      <c r="J620" s="6">
        <v>3.098953573847E10</v>
      </c>
    </row>
    <row r="621">
      <c r="A621" s="4" t="s">
        <v>10</v>
      </c>
      <c r="B621" s="5">
        <v>42538.0</v>
      </c>
      <c r="C621" s="6">
        <v>206.52</v>
      </c>
      <c r="D621" s="11">
        <v>-1.85</v>
      </c>
      <c r="E621" s="12">
        <v>-0.0089</v>
      </c>
      <c r="F621" s="6">
        <v>207.17</v>
      </c>
      <c r="G621" s="6">
        <v>205.75</v>
      </c>
      <c r="H621" s="6">
        <v>207.2</v>
      </c>
      <c r="I621" s="9">
        <v>1.17055748E8</v>
      </c>
      <c r="J621" s="6">
        <v>2.419147109313E10</v>
      </c>
    </row>
    <row r="622">
      <c r="A622" s="4" t="s">
        <v>10</v>
      </c>
      <c r="B622" s="5">
        <v>42541.0</v>
      </c>
      <c r="C622" s="6">
        <v>207.85</v>
      </c>
      <c r="D622" s="13">
        <f>+1.33</f>
        <v>1.33</v>
      </c>
      <c r="E622" s="14">
        <f>+0.64%</f>
        <v>0.0064</v>
      </c>
      <c r="F622" s="6">
        <v>208.82</v>
      </c>
      <c r="G622" s="6">
        <v>207.75</v>
      </c>
      <c r="H622" s="6">
        <v>209.61</v>
      </c>
      <c r="I622" s="9">
        <v>8.2789603E7</v>
      </c>
      <c r="J622" s="6">
        <v>1.727571604117E10</v>
      </c>
    </row>
    <row r="623">
      <c r="A623" s="4" t="s">
        <v>10</v>
      </c>
      <c r="B623" s="5">
        <v>42542.0</v>
      </c>
      <c r="C623" s="6">
        <v>208.44</v>
      </c>
      <c r="D623" s="13">
        <f>+0.59</f>
        <v>0.59</v>
      </c>
      <c r="E623" s="14">
        <f>+0.28%</f>
        <v>0.0028</v>
      </c>
      <c r="F623" s="6">
        <v>208.3</v>
      </c>
      <c r="G623" s="6">
        <v>207.78</v>
      </c>
      <c r="H623" s="6">
        <v>208.92</v>
      </c>
      <c r="I623" s="9">
        <v>7.2461663E7</v>
      </c>
      <c r="J623" s="6">
        <v>1.509788014697E10</v>
      </c>
    </row>
    <row r="624">
      <c r="A624" s="4" t="s">
        <v>10</v>
      </c>
      <c r="B624" s="5">
        <v>42543.0</v>
      </c>
      <c r="C624" s="6">
        <v>208.1</v>
      </c>
      <c r="D624" s="11">
        <v>-0.34</v>
      </c>
      <c r="E624" s="12">
        <v>-0.0016</v>
      </c>
      <c r="F624" s="6">
        <v>208.65</v>
      </c>
      <c r="G624" s="6">
        <v>207.93</v>
      </c>
      <c r="H624" s="6">
        <v>209.5</v>
      </c>
      <c r="I624" s="9">
        <v>9.5560471E7</v>
      </c>
      <c r="J624" s="6">
        <v>1.993390823624E10</v>
      </c>
    </row>
    <row r="625">
      <c r="A625" s="4" t="s">
        <v>10</v>
      </c>
      <c r="B625" s="5">
        <v>42544.0</v>
      </c>
      <c r="C625" s="6">
        <v>210.81</v>
      </c>
      <c r="D625" s="13">
        <f>+2.71</f>
        <v>2.71</v>
      </c>
      <c r="E625" s="14">
        <f>+1.3%</f>
        <v>0.013</v>
      </c>
      <c r="F625" s="6">
        <v>209.81</v>
      </c>
      <c r="G625" s="6">
        <v>209.27</v>
      </c>
      <c r="H625" s="6">
        <v>210.87</v>
      </c>
      <c r="I625" s="9">
        <v>1.02731356E8</v>
      </c>
      <c r="J625" s="6">
        <v>2.157613817677E10</v>
      </c>
    </row>
    <row r="626">
      <c r="A626" s="4" t="s">
        <v>10</v>
      </c>
      <c r="B626" s="5">
        <v>42545.0</v>
      </c>
      <c r="C626" s="6">
        <v>203.13</v>
      </c>
      <c r="D626" s="11">
        <v>-7.68</v>
      </c>
      <c r="E626" s="12">
        <v>-0.0364</v>
      </c>
      <c r="F626" s="6">
        <v>203.63</v>
      </c>
      <c r="G626" s="6">
        <v>202.72</v>
      </c>
      <c r="H626" s="6">
        <v>210.85</v>
      </c>
      <c r="I626" s="9">
        <v>3.33444397E8</v>
      </c>
      <c r="J626" s="6">
        <v>6.838523646124E10</v>
      </c>
    </row>
    <row r="627">
      <c r="A627" s="4" t="s">
        <v>10</v>
      </c>
      <c r="B627" s="5">
        <v>42548.0</v>
      </c>
      <c r="C627" s="6">
        <v>199.6</v>
      </c>
      <c r="D627" s="11">
        <v>-3.53</v>
      </c>
      <c r="E627" s="12">
        <v>-0.0174</v>
      </c>
      <c r="F627" s="6">
        <v>201.59</v>
      </c>
      <c r="G627" s="6">
        <v>198.65</v>
      </c>
      <c r="H627" s="6">
        <v>201.6</v>
      </c>
      <c r="I627" s="9">
        <v>2.4898866E8</v>
      </c>
      <c r="J627" s="6">
        <v>4.979173545517E10</v>
      </c>
    </row>
    <row r="628">
      <c r="A628" s="4" t="s">
        <v>10</v>
      </c>
      <c r="B628" s="5">
        <v>42549.0</v>
      </c>
      <c r="C628" s="6">
        <v>203.2</v>
      </c>
      <c r="D628" s="13">
        <f>+3.6</f>
        <v>3.6</v>
      </c>
      <c r="E628" s="14">
        <f>+1.8%</f>
        <v>0.018</v>
      </c>
      <c r="F628" s="6">
        <v>201.48</v>
      </c>
      <c r="G628" s="6">
        <v>201.12</v>
      </c>
      <c r="H628" s="6">
        <v>203.23</v>
      </c>
      <c r="I628" s="9">
        <v>1.59382399E8</v>
      </c>
      <c r="J628" s="6">
        <v>3.218210604468E10</v>
      </c>
    </row>
    <row r="629">
      <c r="A629" s="4" t="s">
        <v>10</v>
      </c>
      <c r="B629" s="5">
        <v>42550.0</v>
      </c>
      <c r="C629" s="6">
        <v>206.66</v>
      </c>
      <c r="D629" s="13">
        <f>+3.46</f>
        <v>3.46</v>
      </c>
      <c r="E629" s="14">
        <f>+1.7%</f>
        <v>0.017</v>
      </c>
      <c r="F629" s="6">
        <v>204.84</v>
      </c>
      <c r="G629" s="6">
        <v>204.72</v>
      </c>
      <c r="H629" s="6">
        <v>206.93</v>
      </c>
      <c r="I629" s="9">
        <v>1.37328614E8</v>
      </c>
      <c r="J629" s="6">
        <v>2.827120065422E10</v>
      </c>
    </row>
    <row r="630">
      <c r="A630" s="4" t="s">
        <v>10</v>
      </c>
      <c r="B630" s="5">
        <v>42551.0</v>
      </c>
      <c r="C630" s="6">
        <v>209.48</v>
      </c>
      <c r="D630" s="13">
        <f>+2.82</f>
        <v>2.82</v>
      </c>
      <c r="E630" s="14">
        <f>+1.36%</f>
        <v>0.0136</v>
      </c>
      <c r="F630" s="6">
        <v>207.21</v>
      </c>
      <c r="G630" s="6">
        <v>206.56</v>
      </c>
      <c r="H630" s="6">
        <v>209.54</v>
      </c>
      <c r="I630" s="9">
        <v>1.65021948E8</v>
      </c>
      <c r="J630" s="6">
        <v>3.43817648024E10</v>
      </c>
    </row>
    <row r="631">
      <c r="A631" s="4" t="s">
        <v>10</v>
      </c>
      <c r="B631" s="5">
        <v>42552.0</v>
      </c>
      <c r="C631" s="6">
        <v>209.92</v>
      </c>
      <c r="D631" s="13">
        <f>+0.45</f>
        <v>0.45</v>
      </c>
      <c r="E631" s="14">
        <f>+0.21%</f>
        <v>0.0021</v>
      </c>
      <c r="F631" s="6">
        <v>209.36</v>
      </c>
      <c r="G631" s="6">
        <v>209.29</v>
      </c>
      <c r="H631" s="6">
        <v>210.49</v>
      </c>
      <c r="I631" s="9">
        <v>1.06055333E8</v>
      </c>
      <c r="J631" s="6">
        <v>2.226675244419E10</v>
      </c>
    </row>
    <row r="632">
      <c r="A632" s="4" t="s">
        <v>10</v>
      </c>
      <c r="B632" s="5">
        <v>42556.0</v>
      </c>
      <c r="C632" s="6">
        <v>208.41</v>
      </c>
      <c r="D632" s="11">
        <v>-1.51</v>
      </c>
      <c r="E632" s="12">
        <v>-0.0072</v>
      </c>
      <c r="F632" s="6">
        <v>208.95</v>
      </c>
      <c r="G632" s="6">
        <v>207.71</v>
      </c>
      <c r="H632" s="6">
        <v>209.08</v>
      </c>
      <c r="I632" s="9">
        <v>1.09803713E8</v>
      </c>
      <c r="J632" s="6">
        <v>2.289562988797E10</v>
      </c>
    </row>
    <row r="633">
      <c r="A633" s="4" t="s">
        <v>10</v>
      </c>
      <c r="B633" s="5">
        <v>42557.0</v>
      </c>
      <c r="C633" s="6">
        <v>209.66</v>
      </c>
      <c r="D633" s="13">
        <f>+1.25</f>
        <v>1.25</v>
      </c>
      <c r="E633" s="14">
        <f>+0.6%</f>
        <v>0.006</v>
      </c>
      <c r="F633" s="6">
        <v>207.83</v>
      </c>
      <c r="G633" s="6">
        <v>207.06</v>
      </c>
      <c r="H633" s="6">
        <v>209.8</v>
      </c>
      <c r="I633" s="9">
        <v>9.6021491E7</v>
      </c>
      <c r="J633" s="6">
        <v>2.00328486257E10</v>
      </c>
    </row>
    <row r="634">
      <c r="A634" s="4" t="s">
        <v>10</v>
      </c>
      <c r="B634" s="5">
        <v>42558.0</v>
      </c>
      <c r="C634" s="6">
        <v>209.53</v>
      </c>
      <c r="D634" s="11">
        <v>-0.13</v>
      </c>
      <c r="E634" s="12">
        <v>-6.0E-4</v>
      </c>
      <c r="F634" s="6">
        <v>209.87</v>
      </c>
      <c r="G634" s="6">
        <v>208.63</v>
      </c>
      <c r="H634" s="6">
        <v>210.65</v>
      </c>
      <c r="I634" s="9">
        <v>8.5593827E7</v>
      </c>
      <c r="J634" s="6">
        <v>1.794020579513E10</v>
      </c>
    </row>
    <row r="635">
      <c r="A635" s="4" t="s">
        <v>10</v>
      </c>
      <c r="B635" s="5">
        <v>42559.0</v>
      </c>
      <c r="C635" s="6">
        <v>212.65</v>
      </c>
      <c r="D635" s="13">
        <f>+3.12</f>
        <v>3.12</v>
      </c>
      <c r="E635" s="14">
        <f>+1.49%</f>
        <v>0.0149</v>
      </c>
      <c r="F635" s="6">
        <v>211.05</v>
      </c>
      <c r="G635" s="6">
        <v>210.78</v>
      </c>
      <c r="H635" s="6">
        <v>212.94</v>
      </c>
      <c r="I635" s="9">
        <v>1.33970972E8</v>
      </c>
      <c r="J635" s="6">
        <v>2.837617562453E10</v>
      </c>
    </row>
    <row r="636">
      <c r="A636" s="4" t="s">
        <v>10</v>
      </c>
      <c r="B636" s="5">
        <v>42562.0</v>
      </c>
      <c r="C636" s="6">
        <v>213.4</v>
      </c>
      <c r="D636" s="13">
        <f>+0.75</f>
        <v>0.75</v>
      </c>
      <c r="E636" s="14">
        <f>+0.35%</f>
        <v>0.0035</v>
      </c>
      <c r="F636" s="6">
        <v>213.19</v>
      </c>
      <c r="G636" s="6">
        <v>212.95</v>
      </c>
      <c r="H636" s="6">
        <v>214.07</v>
      </c>
      <c r="I636" s="9">
        <v>7.3633937E7</v>
      </c>
      <c r="J636" s="6">
        <v>1.572481159139E10</v>
      </c>
    </row>
    <row r="637">
      <c r="A637" s="4" t="s">
        <v>10</v>
      </c>
      <c r="B637" s="5">
        <v>42563.0</v>
      </c>
      <c r="C637" s="6">
        <v>214.95</v>
      </c>
      <c r="D637" s="13">
        <f>+1.55</f>
        <v>1.55</v>
      </c>
      <c r="E637" s="14">
        <f>+0.73%</f>
        <v>0.0073</v>
      </c>
      <c r="F637" s="6">
        <v>214.53</v>
      </c>
      <c r="G637" s="6">
        <v>213.43</v>
      </c>
      <c r="H637" s="6">
        <v>215.3</v>
      </c>
      <c r="I637" s="9">
        <v>1.01275629E8</v>
      </c>
      <c r="J637" s="6">
        <v>2.174563930297E10</v>
      </c>
    </row>
    <row r="638">
      <c r="A638" s="4" t="s">
        <v>10</v>
      </c>
      <c r="B638" s="5">
        <v>42564.0</v>
      </c>
      <c r="C638" s="6">
        <v>214.92</v>
      </c>
      <c r="D638" s="11">
        <v>-0.03</v>
      </c>
      <c r="E638" s="12">
        <v>-1.0E-4</v>
      </c>
      <c r="F638" s="6">
        <v>215.44</v>
      </c>
      <c r="G638" s="6">
        <v>214.35</v>
      </c>
      <c r="H638" s="6">
        <v>215.45</v>
      </c>
      <c r="I638" s="9">
        <v>8.7324129E7</v>
      </c>
      <c r="J638" s="6">
        <v>1.876686752894E10</v>
      </c>
    </row>
    <row r="639">
      <c r="A639" s="4" t="s">
        <v>10</v>
      </c>
      <c r="B639" s="5">
        <v>42565.0</v>
      </c>
      <c r="C639" s="6">
        <v>216.12</v>
      </c>
      <c r="D639" s="13">
        <f>+1.2</f>
        <v>1.2</v>
      </c>
      <c r="E639" s="14">
        <f>+0.56%</f>
        <v>0.0056</v>
      </c>
      <c r="F639" s="6">
        <v>216.4</v>
      </c>
      <c r="G639" s="6">
        <v>215.66</v>
      </c>
      <c r="H639" s="6">
        <v>216.67</v>
      </c>
      <c r="I639" s="9">
        <v>9.123087E7</v>
      </c>
      <c r="J639" s="6">
        <v>1.971939328728E10</v>
      </c>
    </row>
    <row r="640">
      <c r="A640" s="4" t="s">
        <v>10</v>
      </c>
      <c r="B640" s="5">
        <v>42566.0</v>
      </c>
      <c r="C640" s="6">
        <v>215.83</v>
      </c>
      <c r="D640" s="11">
        <v>-0.29</v>
      </c>
      <c r="E640" s="12">
        <v>-0.0013</v>
      </c>
      <c r="F640" s="6">
        <v>216.78</v>
      </c>
      <c r="G640" s="6">
        <v>215.31</v>
      </c>
      <c r="H640" s="6">
        <v>217.01</v>
      </c>
      <c r="I640" s="9">
        <v>1.07155401E8</v>
      </c>
      <c r="J640" s="6">
        <v>2.313874089361E10</v>
      </c>
    </row>
    <row r="641">
      <c r="A641" s="4" t="s">
        <v>10</v>
      </c>
      <c r="B641" s="5">
        <v>42569.0</v>
      </c>
      <c r="C641" s="6">
        <v>216.41</v>
      </c>
      <c r="D641" s="13">
        <f>+0.58</f>
        <v>0.58</v>
      </c>
      <c r="E641" s="14">
        <f>+0.27%</f>
        <v>0.0027</v>
      </c>
      <c r="F641" s="6">
        <v>215.97</v>
      </c>
      <c r="G641" s="6">
        <v>215.67</v>
      </c>
      <c r="H641" s="6">
        <v>216.6</v>
      </c>
      <c r="I641" s="9">
        <v>5.8725918E7</v>
      </c>
      <c r="J641" s="6">
        <v>1.270125867332E10</v>
      </c>
    </row>
    <row r="642">
      <c r="A642" s="4" t="s">
        <v>10</v>
      </c>
      <c r="B642" s="5">
        <v>42570.0</v>
      </c>
      <c r="C642" s="6">
        <v>216.19</v>
      </c>
      <c r="D642" s="11">
        <v>-0.22</v>
      </c>
      <c r="E642" s="12">
        <v>-0.001</v>
      </c>
      <c r="F642" s="6">
        <v>215.92</v>
      </c>
      <c r="G642" s="6">
        <v>215.63</v>
      </c>
      <c r="H642" s="6">
        <v>216.23</v>
      </c>
      <c r="I642" s="9">
        <v>5.4345728E7</v>
      </c>
      <c r="J642" s="6">
        <v>1.173823271544E10</v>
      </c>
    </row>
    <row r="643">
      <c r="A643" s="4" t="s">
        <v>10</v>
      </c>
      <c r="B643" s="5">
        <v>42571.0</v>
      </c>
      <c r="C643" s="6">
        <v>217.09</v>
      </c>
      <c r="D643" s="13">
        <f>+0.9</f>
        <v>0.9</v>
      </c>
      <c r="E643" s="14">
        <f>+0.41%</f>
        <v>0.0041</v>
      </c>
      <c r="F643" s="6">
        <v>216.75</v>
      </c>
      <c r="G643" s="6">
        <v>216.24</v>
      </c>
      <c r="H643" s="6">
        <v>217.37</v>
      </c>
      <c r="I643" s="9">
        <v>5.8159457E7</v>
      </c>
      <c r="J643" s="6">
        <v>1.262074154009E10</v>
      </c>
    </row>
    <row r="644">
      <c r="A644" s="4" t="s">
        <v>10</v>
      </c>
      <c r="B644" s="5">
        <v>42572.0</v>
      </c>
      <c r="C644" s="6">
        <v>216.27</v>
      </c>
      <c r="D644" s="11">
        <v>-0.82</v>
      </c>
      <c r="E644" s="12">
        <v>-0.0038</v>
      </c>
      <c r="F644" s="6">
        <v>216.96</v>
      </c>
      <c r="G644" s="6">
        <v>215.75</v>
      </c>
      <c r="H644" s="6">
        <v>217.22</v>
      </c>
      <c r="I644" s="9">
        <v>6.777731E7</v>
      </c>
      <c r="J644" s="6">
        <v>1.46750243194E10</v>
      </c>
    </row>
    <row r="645">
      <c r="A645" s="4" t="s">
        <v>10</v>
      </c>
      <c r="B645" s="5">
        <v>42573.0</v>
      </c>
      <c r="C645" s="6">
        <v>217.24</v>
      </c>
      <c r="D645" s="13">
        <f>+0.98</f>
        <v>0.98</v>
      </c>
      <c r="E645" s="14">
        <f>+0.45%</f>
        <v>0.0045</v>
      </c>
      <c r="F645" s="6">
        <v>216.41</v>
      </c>
      <c r="G645" s="6">
        <v>216.1</v>
      </c>
      <c r="H645" s="6">
        <v>217.3</v>
      </c>
      <c r="I645" s="9">
        <v>6.2787477E7</v>
      </c>
      <c r="J645" s="6">
        <v>1.36186594514E10</v>
      </c>
    </row>
    <row r="646">
      <c r="A646" s="4" t="s">
        <v>10</v>
      </c>
      <c r="B646" s="5">
        <v>42576.0</v>
      </c>
      <c r="C646" s="6">
        <v>216.65</v>
      </c>
      <c r="D646" s="11">
        <v>-0.59</v>
      </c>
      <c r="E646" s="12">
        <v>-0.0027</v>
      </c>
      <c r="F646" s="6">
        <v>217.0</v>
      </c>
      <c r="G646" s="6">
        <v>215.97</v>
      </c>
      <c r="H646" s="6">
        <v>217.06</v>
      </c>
      <c r="I646" s="9">
        <v>5.5873147E7</v>
      </c>
      <c r="J646" s="6">
        <v>1.209290326736E10</v>
      </c>
    </row>
    <row r="647">
      <c r="A647" s="4" t="s">
        <v>10</v>
      </c>
      <c r="B647" s="5">
        <v>42577.0</v>
      </c>
      <c r="C647" s="6">
        <v>216.75</v>
      </c>
      <c r="D647" s="13">
        <f>+0.1</f>
        <v>0.1</v>
      </c>
      <c r="E647" s="14">
        <f>+0.05%</f>
        <v>0.0005</v>
      </c>
      <c r="F647" s="6">
        <v>216.53</v>
      </c>
      <c r="G647" s="6">
        <v>215.76</v>
      </c>
      <c r="H647" s="6">
        <v>217.17</v>
      </c>
      <c r="I647" s="9">
        <v>7.0080493E7</v>
      </c>
      <c r="J647" s="6">
        <v>1.517262576222E10</v>
      </c>
    </row>
    <row r="648">
      <c r="A648" s="4" t="s">
        <v>10</v>
      </c>
      <c r="B648" s="5">
        <v>42578.0</v>
      </c>
      <c r="C648" s="6">
        <v>216.52</v>
      </c>
      <c r="D648" s="11">
        <v>-0.23</v>
      </c>
      <c r="E648" s="12">
        <v>-0.0011</v>
      </c>
      <c r="F648" s="6">
        <v>217.19</v>
      </c>
      <c r="G648" s="6">
        <v>215.62</v>
      </c>
      <c r="H648" s="6">
        <v>217.27</v>
      </c>
      <c r="I648" s="9">
        <v>8.4083893E7</v>
      </c>
      <c r="J648" s="6">
        <v>1.820515906378E10</v>
      </c>
    </row>
    <row r="649">
      <c r="A649" s="4" t="s">
        <v>10</v>
      </c>
      <c r="B649" s="5">
        <v>42579.0</v>
      </c>
      <c r="C649" s="6">
        <v>216.77</v>
      </c>
      <c r="D649" s="13">
        <f>+0.25</f>
        <v>0.25</v>
      </c>
      <c r="E649" s="14">
        <f>+0.12%</f>
        <v>0.0012</v>
      </c>
      <c r="F649" s="6">
        <v>216.29</v>
      </c>
      <c r="G649" s="6">
        <v>215.75</v>
      </c>
      <c r="H649" s="6">
        <v>217.11</v>
      </c>
      <c r="I649" s="9">
        <v>6.5035718E7</v>
      </c>
      <c r="J649" s="6">
        <v>1.407576335402E10</v>
      </c>
    </row>
    <row r="650">
      <c r="A650" s="4" t="s">
        <v>10</v>
      </c>
      <c r="B650" s="5">
        <v>42580.0</v>
      </c>
      <c r="C650" s="6">
        <v>217.12</v>
      </c>
      <c r="D650" s="13">
        <f>+0.35</f>
        <v>0.35</v>
      </c>
      <c r="E650" s="14">
        <f>+0.16%</f>
        <v>0.0016</v>
      </c>
      <c r="F650" s="6">
        <v>216.46</v>
      </c>
      <c r="G650" s="6">
        <v>216.13</v>
      </c>
      <c r="H650" s="6">
        <v>217.54</v>
      </c>
      <c r="I650" s="9">
        <v>7.9519436E7</v>
      </c>
      <c r="J650" s="6">
        <v>1.725939218575E10</v>
      </c>
    </row>
    <row r="651">
      <c r="A651" s="4" t="s">
        <v>10</v>
      </c>
      <c r="B651" s="5">
        <v>42583.0</v>
      </c>
      <c r="C651" s="6">
        <v>216.94</v>
      </c>
      <c r="D651" s="11">
        <v>-0.18</v>
      </c>
      <c r="E651" s="12">
        <v>-8.0E-4</v>
      </c>
      <c r="F651" s="6">
        <v>217.19</v>
      </c>
      <c r="G651" s="6">
        <v>216.41</v>
      </c>
      <c r="H651" s="6">
        <v>217.65</v>
      </c>
      <c r="I651" s="9">
        <v>7.3311422E7</v>
      </c>
      <c r="J651" s="6">
        <v>1.590288434578E10</v>
      </c>
    </row>
    <row r="652">
      <c r="A652" s="4" t="s">
        <v>10</v>
      </c>
      <c r="B652" s="5">
        <v>42584.0</v>
      </c>
      <c r="C652" s="6">
        <v>215.55</v>
      </c>
      <c r="D652" s="11">
        <v>-1.39</v>
      </c>
      <c r="E652" s="12">
        <v>-0.0064</v>
      </c>
      <c r="F652" s="6">
        <v>216.65</v>
      </c>
      <c r="G652" s="6">
        <v>214.57</v>
      </c>
      <c r="H652" s="6">
        <v>216.83</v>
      </c>
      <c r="I652" s="9">
        <v>9.2295506E7</v>
      </c>
      <c r="J652" s="6">
        <v>1.989967406714E10</v>
      </c>
    </row>
    <row r="653">
      <c r="A653" s="4" t="s">
        <v>10</v>
      </c>
      <c r="B653" s="5">
        <v>42585.0</v>
      </c>
      <c r="C653" s="6">
        <v>216.18</v>
      </c>
      <c r="D653" s="13">
        <f>+0.63</f>
        <v>0.63</v>
      </c>
      <c r="E653" s="14">
        <f>+0.29%</f>
        <v>0.0029</v>
      </c>
      <c r="F653" s="6">
        <v>215.48</v>
      </c>
      <c r="G653" s="6">
        <v>215.13</v>
      </c>
      <c r="H653" s="6">
        <v>216.25</v>
      </c>
      <c r="I653" s="9">
        <v>5.3993626E7</v>
      </c>
      <c r="J653" s="6">
        <v>1.165396917143E10</v>
      </c>
    </row>
    <row r="654">
      <c r="A654" s="4" t="s">
        <v>10</v>
      </c>
      <c r="B654" s="5">
        <v>42586.0</v>
      </c>
      <c r="C654" s="6">
        <v>216.41</v>
      </c>
      <c r="D654" s="13">
        <f>+0.23</f>
        <v>0.23</v>
      </c>
      <c r="E654" s="14">
        <f>+0.11%</f>
        <v>0.0011</v>
      </c>
      <c r="F654" s="6">
        <v>216.31</v>
      </c>
      <c r="G654" s="6">
        <v>214.25</v>
      </c>
      <c r="H654" s="6">
        <v>216.78</v>
      </c>
      <c r="I654" s="9">
        <v>4.6585528E7</v>
      </c>
      <c r="J654" s="6">
        <v>1.007919710243E10</v>
      </c>
    </row>
    <row r="655">
      <c r="A655" s="4" t="s">
        <v>10</v>
      </c>
      <c r="B655" s="5">
        <v>42587.0</v>
      </c>
      <c r="C655" s="6">
        <v>218.18</v>
      </c>
      <c r="D655" s="13">
        <f>+1.77</f>
        <v>1.77</v>
      </c>
      <c r="E655" s="14">
        <f>+0.82%</f>
        <v>0.0082</v>
      </c>
      <c r="F655" s="6">
        <v>217.21</v>
      </c>
      <c r="G655" s="6">
        <v>217.07</v>
      </c>
      <c r="H655" s="6">
        <v>218.23</v>
      </c>
      <c r="I655" s="9">
        <v>7.1892161E7</v>
      </c>
      <c r="J655" s="6">
        <v>1.56596619084E10</v>
      </c>
    </row>
    <row r="656">
      <c r="A656" s="4" t="s">
        <v>10</v>
      </c>
      <c r="B656" s="5">
        <v>42590.0</v>
      </c>
      <c r="C656" s="6">
        <v>218.05</v>
      </c>
      <c r="D656" s="11">
        <v>-0.13</v>
      </c>
      <c r="E656" s="12">
        <v>-6.0E-4</v>
      </c>
      <c r="F656" s="6">
        <v>218.4</v>
      </c>
      <c r="G656" s="6">
        <v>217.74</v>
      </c>
      <c r="H656" s="6">
        <v>218.52</v>
      </c>
      <c r="I656" s="9">
        <v>3.9906479E7</v>
      </c>
      <c r="J656" s="6">
        <v>8.70224350249E9</v>
      </c>
    </row>
    <row r="657">
      <c r="A657" s="4" t="s">
        <v>10</v>
      </c>
      <c r="B657" s="5">
        <v>42591.0</v>
      </c>
      <c r="C657" s="6">
        <v>218.18</v>
      </c>
      <c r="D657" s="13">
        <f>+0.13</f>
        <v>0.13</v>
      </c>
      <c r="E657" s="14">
        <f>+0.06%</f>
        <v>0.0006</v>
      </c>
      <c r="F657" s="6">
        <v>218.13</v>
      </c>
      <c r="G657" s="6">
        <v>217.8</v>
      </c>
      <c r="H657" s="6">
        <v>218.76</v>
      </c>
      <c r="I657" s="9">
        <v>5.1251728E7</v>
      </c>
      <c r="J657" s="6">
        <v>1.118655831297E10</v>
      </c>
    </row>
    <row r="658">
      <c r="A658" s="4" t="s">
        <v>10</v>
      </c>
      <c r="B658" s="5">
        <v>42592.0</v>
      </c>
      <c r="C658" s="6">
        <v>217.64</v>
      </c>
      <c r="D658" s="11">
        <v>-0.54</v>
      </c>
      <c r="E658" s="12">
        <v>-0.0025</v>
      </c>
      <c r="F658" s="6">
        <v>218.31</v>
      </c>
      <c r="G658" s="6">
        <v>217.23</v>
      </c>
      <c r="H658" s="6">
        <v>218.4</v>
      </c>
      <c r="I658" s="9">
        <v>5.7941092E7</v>
      </c>
      <c r="J658" s="6">
        <v>1.261534858335E10</v>
      </c>
    </row>
    <row r="659">
      <c r="A659" s="4" t="s">
        <v>10</v>
      </c>
      <c r="B659" s="5">
        <v>42593.0</v>
      </c>
      <c r="C659" s="6">
        <v>218.65</v>
      </c>
      <c r="D659" s="13">
        <f>+1.01</f>
        <v>1.01</v>
      </c>
      <c r="E659" s="14">
        <f>+0.46%</f>
        <v>0.0046</v>
      </c>
      <c r="F659" s="6">
        <v>218.26</v>
      </c>
      <c r="G659" s="6">
        <v>217.95</v>
      </c>
      <c r="H659" s="6">
        <v>218.94</v>
      </c>
      <c r="I659" s="9">
        <v>7.250427E7</v>
      </c>
      <c r="J659" s="6">
        <v>1.584216234049E10</v>
      </c>
    </row>
    <row r="660">
      <c r="A660" s="4" t="s">
        <v>10</v>
      </c>
      <c r="B660" s="5">
        <v>42594.0</v>
      </c>
      <c r="C660" s="6">
        <v>218.46</v>
      </c>
      <c r="D660" s="11">
        <v>-0.19</v>
      </c>
      <c r="E660" s="12">
        <v>-9.0E-4</v>
      </c>
      <c r="F660" s="6">
        <v>218.29</v>
      </c>
      <c r="G660" s="6">
        <v>217.99</v>
      </c>
      <c r="H660" s="6">
        <v>218.71</v>
      </c>
      <c r="I660" s="9">
        <v>6.1313544E7</v>
      </c>
      <c r="J660" s="6">
        <v>1.339153813991E10</v>
      </c>
    </row>
    <row r="661">
      <c r="A661" s="4" t="s">
        <v>10</v>
      </c>
      <c r="B661" s="5">
        <v>42597.0</v>
      </c>
      <c r="C661" s="6">
        <v>219.09</v>
      </c>
      <c r="D661" s="13">
        <f>+0.63</f>
        <v>0.63</v>
      </c>
      <c r="E661" s="14">
        <f>+0.29%</f>
        <v>0.0029</v>
      </c>
      <c r="F661" s="6">
        <v>218.89</v>
      </c>
      <c r="G661" s="6">
        <v>218.88</v>
      </c>
      <c r="H661" s="6">
        <v>219.5</v>
      </c>
      <c r="I661" s="9">
        <v>4.9813482E7</v>
      </c>
      <c r="J661" s="6">
        <v>1.091979569364E10</v>
      </c>
    </row>
    <row r="662">
      <c r="A662" s="4" t="s">
        <v>10</v>
      </c>
      <c r="B662" s="5">
        <v>42598.0</v>
      </c>
      <c r="C662" s="6">
        <v>217.96</v>
      </c>
      <c r="D662" s="11">
        <v>-1.13</v>
      </c>
      <c r="E662" s="12">
        <v>-0.0052</v>
      </c>
      <c r="F662" s="6">
        <v>218.6</v>
      </c>
      <c r="G662" s="6">
        <v>217.96</v>
      </c>
      <c r="H662" s="6">
        <v>218.68</v>
      </c>
      <c r="I662" s="9">
        <v>5.3213621E7</v>
      </c>
      <c r="J662" s="6">
        <v>1.161752913805E10</v>
      </c>
    </row>
    <row r="663">
      <c r="A663" s="4" t="s">
        <v>10</v>
      </c>
      <c r="B663" s="5">
        <v>42599.0</v>
      </c>
      <c r="C663" s="6">
        <v>218.37</v>
      </c>
      <c r="D663" s="13">
        <f>+0.41</f>
        <v>0.41</v>
      </c>
      <c r="E663" s="14">
        <f>+0.19%</f>
        <v>0.0019</v>
      </c>
      <c r="F663" s="6">
        <v>218.0</v>
      </c>
      <c r="G663" s="6">
        <v>217.02</v>
      </c>
      <c r="H663" s="6">
        <v>218.53</v>
      </c>
      <c r="I663" s="9">
        <v>7.5134339E7</v>
      </c>
      <c r="J663" s="6">
        <v>1.636997196243E10</v>
      </c>
    </row>
    <row r="664">
      <c r="A664" s="4" t="s">
        <v>10</v>
      </c>
      <c r="B664" s="5">
        <v>42600.0</v>
      </c>
      <c r="C664" s="6">
        <v>218.86</v>
      </c>
      <c r="D664" s="13">
        <f>+0.49</f>
        <v>0.49</v>
      </c>
      <c r="E664" s="14">
        <f>+0.22%</f>
        <v>0.0022</v>
      </c>
      <c r="F664" s="6">
        <v>218.34</v>
      </c>
      <c r="G664" s="6">
        <v>218.21</v>
      </c>
      <c r="H664" s="6">
        <v>218.9</v>
      </c>
      <c r="I664" s="9">
        <v>5.2989266E7</v>
      </c>
      <c r="J664" s="6">
        <v>1.158434584731E10</v>
      </c>
    </row>
    <row r="665">
      <c r="A665" s="4" t="s">
        <v>10</v>
      </c>
      <c r="B665" s="5">
        <v>42601.0</v>
      </c>
      <c r="C665" s="6">
        <v>218.54</v>
      </c>
      <c r="D665" s="11">
        <v>-0.32</v>
      </c>
      <c r="E665" s="12">
        <v>-0.0015</v>
      </c>
      <c r="F665" s="6">
        <v>218.31</v>
      </c>
      <c r="G665" s="6">
        <v>217.74</v>
      </c>
      <c r="H665" s="6">
        <v>218.75</v>
      </c>
      <c r="I665" s="9">
        <v>7.5443004E7</v>
      </c>
      <c r="J665" s="6">
        <v>1.647545917903E10</v>
      </c>
    </row>
    <row r="666">
      <c r="A666" s="4" t="s">
        <v>10</v>
      </c>
      <c r="B666" s="5">
        <v>42604.0</v>
      </c>
      <c r="C666" s="6">
        <v>218.53</v>
      </c>
      <c r="D666" s="11">
        <v>-0.01</v>
      </c>
      <c r="E666" s="12">
        <v>0.0</v>
      </c>
      <c r="F666" s="6">
        <v>218.26</v>
      </c>
      <c r="G666" s="6">
        <v>217.83</v>
      </c>
      <c r="H666" s="6">
        <v>218.8</v>
      </c>
      <c r="I666" s="9">
        <v>6.1368766E7</v>
      </c>
      <c r="J666" s="6">
        <v>1.340129618812E10</v>
      </c>
    </row>
    <row r="667">
      <c r="A667" s="4" t="s">
        <v>10</v>
      </c>
      <c r="B667" s="5">
        <v>42605.0</v>
      </c>
      <c r="C667" s="6">
        <v>218.97</v>
      </c>
      <c r="D667" s="13">
        <f>+0.44</f>
        <v>0.44</v>
      </c>
      <c r="E667" s="14">
        <f>+0.2%</f>
        <v>0.002</v>
      </c>
      <c r="F667" s="6">
        <v>219.25</v>
      </c>
      <c r="G667" s="6">
        <v>218.9</v>
      </c>
      <c r="H667" s="6">
        <v>219.6</v>
      </c>
      <c r="I667" s="9">
        <v>5.3399159E7</v>
      </c>
      <c r="J667" s="6">
        <v>1.170381038869E10</v>
      </c>
    </row>
    <row r="668">
      <c r="A668" s="4" t="s">
        <v>10</v>
      </c>
      <c r="B668" s="5">
        <v>42606.0</v>
      </c>
      <c r="C668" s="6">
        <v>217.85</v>
      </c>
      <c r="D668" s="11">
        <v>-1.12</v>
      </c>
      <c r="E668" s="12">
        <v>-0.0051</v>
      </c>
      <c r="F668" s="6">
        <v>218.8</v>
      </c>
      <c r="G668" s="6">
        <v>217.36</v>
      </c>
      <c r="H668" s="6">
        <v>218.91</v>
      </c>
      <c r="I668" s="9">
        <v>7.1728949E7</v>
      </c>
      <c r="J668" s="6">
        <v>1.56562233113E10</v>
      </c>
    </row>
    <row r="669">
      <c r="A669" s="4" t="s">
        <v>10</v>
      </c>
      <c r="B669" s="5">
        <v>42607.0</v>
      </c>
      <c r="C669" s="6">
        <v>217.7</v>
      </c>
      <c r="D669" s="11">
        <v>-0.15</v>
      </c>
      <c r="E669" s="12">
        <v>-7.0E-4</v>
      </c>
      <c r="F669" s="6">
        <v>217.4</v>
      </c>
      <c r="G669" s="6">
        <v>217.22</v>
      </c>
      <c r="H669" s="6">
        <v>218.19</v>
      </c>
      <c r="I669" s="9">
        <v>6.9224776E7</v>
      </c>
      <c r="J669" s="6">
        <v>1.506969372797E10</v>
      </c>
    </row>
    <row r="670">
      <c r="A670" s="4" t="s">
        <v>10</v>
      </c>
      <c r="B670" s="5">
        <v>42608.0</v>
      </c>
      <c r="C670" s="6">
        <v>217.29</v>
      </c>
      <c r="D670" s="11">
        <v>-0.41</v>
      </c>
      <c r="E670" s="12">
        <v>-0.0019</v>
      </c>
      <c r="F670" s="6">
        <v>217.92</v>
      </c>
      <c r="G670" s="6">
        <v>216.25</v>
      </c>
      <c r="H670" s="6">
        <v>219.12</v>
      </c>
      <c r="I670" s="9">
        <v>1.22506348E8</v>
      </c>
      <c r="J670" s="6">
        <v>2.665176405665E10</v>
      </c>
    </row>
    <row r="671">
      <c r="A671" s="4" t="s">
        <v>10</v>
      </c>
      <c r="B671" s="5">
        <v>42611.0</v>
      </c>
      <c r="C671" s="6">
        <v>218.36</v>
      </c>
      <c r="D671" s="13">
        <f>+1.07</f>
        <v>1.07</v>
      </c>
      <c r="E671" s="14">
        <f>+0.49%</f>
        <v>0.0049</v>
      </c>
      <c r="F671" s="6">
        <v>217.44</v>
      </c>
      <c r="G671" s="6">
        <v>217.4</v>
      </c>
      <c r="H671" s="6">
        <v>218.67</v>
      </c>
      <c r="I671" s="9">
        <v>7.0502167E7</v>
      </c>
      <c r="J671" s="6">
        <v>1.537551083952E10</v>
      </c>
    </row>
    <row r="672">
      <c r="A672" s="4" t="s">
        <v>10</v>
      </c>
      <c r="B672" s="5">
        <v>42612.0</v>
      </c>
      <c r="C672" s="6">
        <v>218.0</v>
      </c>
      <c r="D672" s="11">
        <v>-0.36</v>
      </c>
      <c r="E672" s="12">
        <v>-0.0017</v>
      </c>
      <c r="F672" s="6">
        <v>218.26</v>
      </c>
      <c r="G672" s="6">
        <v>217.35</v>
      </c>
      <c r="H672" s="6">
        <v>218.59</v>
      </c>
      <c r="I672" s="9">
        <v>5.8114543E7</v>
      </c>
      <c r="J672" s="6">
        <v>1.266367454539E10</v>
      </c>
    </row>
    <row r="673">
      <c r="A673" s="4" t="s">
        <v>10</v>
      </c>
      <c r="B673" s="5">
        <v>42613.0</v>
      </c>
      <c r="C673" s="6">
        <v>217.38</v>
      </c>
      <c r="D673" s="11">
        <v>-0.62</v>
      </c>
      <c r="E673" s="12">
        <v>-0.0028</v>
      </c>
      <c r="F673" s="6">
        <v>217.61</v>
      </c>
      <c r="G673" s="6">
        <v>216.47</v>
      </c>
      <c r="H673" s="6">
        <v>217.75</v>
      </c>
      <c r="I673" s="9">
        <v>8.5269453E7</v>
      </c>
      <c r="J673" s="6">
        <v>1.852735219755E10</v>
      </c>
    </row>
    <row r="674">
      <c r="A674" s="4" t="s">
        <v>10</v>
      </c>
      <c r="B674" s="5">
        <v>42614.0</v>
      </c>
      <c r="C674" s="6">
        <v>217.39</v>
      </c>
      <c r="D674" s="13">
        <f>+0.01</f>
        <v>0.01</v>
      </c>
      <c r="E674" s="14">
        <f>+0%</f>
        <v>0</v>
      </c>
      <c r="F674" s="6">
        <v>217.37</v>
      </c>
      <c r="G674" s="6">
        <v>216.03</v>
      </c>
      <c r="H674" s="6">
        <v>217.73</v>
      </c>
      <c r="I674" s="9">
        <v>9.7844207E7</v>
      </c>
      <c r="J674" s="6">
        <v>2.123508482767E10</v>
      </c>
    </row>
    <row r="675">
      <c r="A675" s="4" t="s">
        <v>10</v>
      </c>
      <c r="B675" s="5">
        <v>42615.0</v>
      </c>
      <c r="C675" s="6">
        <v>218.37</v>
      </c>
      <c r="D675" s="13">
        <f>+0.98</f>
        <v>0.98</v>
      </c>
      <c r="E675" s="14">
        <f>+0.45%</f>
        <v>0.0045</v>
      </c>
      <c r="F675" s="6">
        <v>218.39</v>
      </c>
      <c r="G675" s="6">
        <v>217.7</v>
      </c>
      <c r="H675" s="6">
        <v>218.87</v>
      </c>
      <c r="I675" s="9">
        <v>7.9293856E7</v>
      </c>
      <c r="J675" s="6">
        <v>1.730858012545E10</v>
      </c>
    </row>
    <row r="676">
      <c r="A676" s="4" t="s">
        <v>10</v>
      </c>
      <c r="B676" s="5">
        <v>42619.0</v>
      </c>
      <c r="C676" s="6">
        <v>219.03</v>
      </c>
      <c r="D676" s="13">
        <f>+0.66</f>
        <v>0.66</v>
      </c>
      <c r="E676" s="14">
        <f>+0.3%</f>
        <v>0.003</v>
      </c>
      <c r="F676" s="6">
        <v>218.7</v>
      </c>
      <c r="G676" s="6">
        <v>217.86</v>
      </c>
      <c r="H676" s="6">
        <v>219.12</v>
      </c>
      <c r="I676" s="9">
        <v>5.6702089E7</v>
      </c>
      <c r="J676" s="6">
        <v>1.239484801792E10</v>
      </c>
    </row>
    <row r="677">
      <c r="A677" s="4" t="s">
        <v>10</v>
      </c>
      <c r="B677" s="5">
        <v>42620.0</v>
      </c>
      <c r="C677" s="6">
        <v>219.01</v>
      </c>
      <c r="D677" s="11">
        <v>-0.02</v>
      </c>
      <c r="E677" s="12">
        <v>-1.0E-4</v>
      </c>
      <c r="F677" s="6">
        <v>218.84</v>
      </c>
      <c r="G677" s="6">
        <v>218.3</v>
      </c>
      <c r="H677" s="6">
        <v>219.22</v>
      </c>
      <c r="I677" s="9">
        <v>7.6554855E7</v>
      </c>
      <c r="J677" s="6">
        <v>1.675691706014E10</v>
      </c>
    </row>
    <row r="678">
      <c r="A678" s="4" t="s">
        <v>10</v>
      </c>
      <c r="B678" s="5">
        <v>42621.0</v>
      </c>
      <c r="C678" s="6">
        <v>218.51</v>
      </c>
      <c r="D678" s="11">
        <v>-0.5</v>
      </c>
      <c r="E678" s="12">
        <v>-0.0023</v>
      </c>
      <c r="F678" s="6">
        <v>218.62</v>
      </c>
      <c r="G678" s="6">
        <v>218.15</v>
      </c>
      <c r="H678" s="6">
        <v>218.94</v>
      </c>
      <c r="I678" s="9">
        <v>7.410288E7</v>
      </c>
      <c r="J678" s="6">
        <v>1.619884161193E10</v>
      </c>
    </row>
    <row r="679">
      <c r="A679" s="4" t="s">
        <v>10</v>
      </c>
      <c r="B679" s="5">
        <v>42622.0</v>
      </c>
      <c r="C679" s="6">
        <v>213.28</v>
      </c>
      <c r="D679" s="11">
        <v>-5.23</v>
      </c>
      <c r="E679" s="12">
        <v>-0.0239</v>
      </c>
      <c r="F679" s="6">
        <v>216.97</v>
      </c>
      <c r="G679" s="6">
        <v>213.25</v>
      </c>
      <c r="H679" s="6">
        <v>217.03</v>
      </c>
      <c r="I679" s="9">
        <v>2.21589073E8</v>
      </c>
      <c r="J679" s="6">
        <v>4.769934376605E10</v>
      </c>
    </row>
    <row r="680">
      <c r="A680" s="4" t="s">
        <v>10</v>
      </c>
      <c r="B680" s="5">
        <v>42625.0</v>
      </c>
      <c r="C680" s="6">
        <v>216.34</v>
      </c>
      <c r="D680" s="13">
        <f>+3.06</f>
        <v>3.06</v>
      </c>
      <c r="E680" s="14">
        <f>+1.43%</f>
        <v>0.0143</v>
      </c>
      <c r="F680" s="6">
        <v>212.39</v>
      </c>
      <c r="G680" s="6">
        <v>212.31</v>
      </c>
      <c r="H680" s="6">
        <v>216.81</v>
      </c>
      <c r="I680" s="9">
        <v>1.68110913E8</v>
      </c>
      <c r="J680" s="6">
        <v>3.610571287177E10</v>
      </c>
    </row>
    <row r="681">
      <c r="A681" s="4" t="s">
        <v>10</v>
      </c>
      <c r="B681" s="5">
        <v>42626.0</v>
      </c>
      <c r="C681" s="6">
        <v>213.23</v>
      </c>
      <c r="D681" s="11">
        <v>-3.11</v>
      </c>
      <c r="E681" s="12">
        <v>-0.0144</v>
      </c>
      <c r="F681" s="6">
        <v>214.84</v>
      </c>
      <c r="G681" s="6">
        <v>212.5</v>
      </c>
      <c r="H681" s="6">
        <v>215.15</v>
      </c>
      <c r="I681" s="9">
        <v>1.82828839E8</v>
      </c>
      <c r="J681" s="6">
        <v>3.910258861569E10</v>
      </c>
    </row>
    <row r="682">
      <c r="A682" s="4" t="s">
        <v>10</v>
      </c>
      <c r="B682" s="5">
        <v>42627.0</v>
      </c>
      <c r="C682" s="6">
        <v>213.15</v>
      </c>
      <c r="D682" s="11">
        <v>-0.08</v>
      </c>
      <c r="E682" s="12">
        <v>-4.0E-4</v>
      </c>
      <c r="F682" s="6">
        <v>213.29</v>
      </c>
      <c r="G682" s="6">
        <v>212.5</v>
      </c>
      <c r="H682" s="6">
        <v>214.7</v>
      </c>
      <c r="I682" s="9">
        <v>1.34185491E8</v>
      </c>
      <c r="J682" s="6">
        <v>2.864146836209E10</v>
      </c>
    </row>
    <row r="683">
      <c r="A683" s="4" t="s">
        <v>10</v>
      </c>
      <c r="B683" s="5">
        <v>42628.0</v>
      </c>
      <c r="C683" s="6">
        <v>215.28</v>
      </c>
      <c r="D683" s="13">
        <f>+2.13</f>
        <v>2.13</v>
      </c>
      <c r="E683" s="14">
        <f>+1%</f>
        <v>0.01</v>
      </c>
      <c r="F683" s="6">
        <v>212.96</v>
      </c>
      <c r="G683" s="6">
        <v>212.75</v>
      </c>
      <c r="H683" s="6">
        <v>215.73</v>
      </c>
      <c r="I683" s="9">
        <v>1.45736123E8</v>
      </c>
      <c r="J683" s="6">
        <v>3.125731234185E10</v>
      </c>
    </row>
    <row r="684">
      <c r="A684" s="4" t="s">
        <v>10</v>
      </c>
      <c r="B684" s="5">
        <v>42629.0</v>
      </c>
      <c r="C684" s="6">
        <v>213.37</v>
      </c>
      <c r="D684" s="11">
        <v>-1.91</v>
      </c>
      <c r="E684" s="12">
        <v>-0.0089</v>
      </c>
      <c r="F684" s="6">
        <v>213.48</v>
      </c>
      <c r="G684" s="6">
        <v>212.57</v>
      </c>
      <c r="H684" s="6">
        <v>213.69</v>
      </c>
      <c r="I684" s="9">
        <v>1.55236354E8</v>
      </c>
      <c r="J684" s="6">
        <v>3.312009354341E10</v>
      </c>
    </row>
    <row r="685">
      <c r="A685" s="4" t="s">
        <v>10</v>
      </c>
      <c r="B685" s="5">
        <v>42632.0</v>
      </c>
      <c r="C685" s="6">
        <v>213.41</v>
      </c>
      <c r="D685" s="13">
        <f>+0.04</f>
        <v>0.04</v>
      </c>
      <c r="E685" s="14">
        <f>+0.02%</f>
        <v>0.0002</v>
      </c>
      <c r="F685" s="6">
        <v>214.13</v>
      </c>
      <c r="G685" s="6">
        <v>213.03</v>
      </c>
      <c r="H685" s="6">
        <v>214.88</v>
      </c>
      <c r="I685" s="9">
        <v>8.025049E7</v>
      </c>
      <c r="J685" s="6">
        <v>1.716461004247E10</v>
      </c>
    </row>
    <row r="686">
      <c r="A686" s="4" t="s">
        <v>10</v>
      </c>
      <c r="B686" s="5">
        <v>42633.0</v>
      </c>
      <c r="C686" s="6">
        <v>213.42</v>
      </c>
      <c r="D686" s="13">
        <f>+0.01</f>
        <v>0.01</v>
      </c>
      <c r="E686" s="14">
        <f>+0%</f>
        <v>0</v>
      </c>
      <c r="F686" s="6">
        <v>214.41</v>
      </c>
      <c r="G686" s="6">
        <v>213.38</v>
      </c>
      <c r="H686" s="6">
        <v>214.59</v>
      </c>
      <c r="I686" s="9">
        <v>6.9665279E7</v>
      </c>
      <c r="J686" s="6">
        <v>1.489658045004E10</v>
      </c>
    </row>
    <row r="687">
      <c r="A687" s="4" t="s">
        <v>10</v>
      </c>
      <c r="B687" s="5">
        <v>42634.0</v>
      </c>
      <c r="C687" s="6">
        <v>215.82</v>
      </c>
      <c r="D687" s="13">
        <f>+2.4</f>
        <v>2.4</v>
      </c>
      <c r="E687" s="14">
        <f>+1.12%</f>
        <v>0.0112</v>
      </c>
      <c r="F687" s="6">
        <v>214.24</v>
      </c>
      <c r="G687" s="6">
        <v>213.44</v>
      </c>
      <c r="H687" s="6">
        <v>216.03</v>
      </c>
      <c r="I687" s="9">
        <v>1.10284425E8</v>
      </c>
      <c r="J687" s="6">
        <v>2.367389353629E10</v>
      </c>
    </row>
    <row r="688">
      <c r="A688" s="4" t="s">
        <v>10</v>
      </c>
      <c r="B688" s="5">
        <v>42635.0</v>
      </c>
      <c r="C688" s="6">
        <v>217.18</v>
      </c>
      <c r="D688" s="13">
        <f>+1.36</f>
        <v>1.36</v>
      </c>
      <c r="E688" s="14">
        <f>+0.63%</f>
        <v>0.0063</v>
      </c>
      <c r="F688" s="6">
        <v>217.0</v>
      </c>
      <c r="G688" s="6">
        <v>216.71</v>
      </c>
      <c r="H688" s="6">
        <v>217.53</v>
      </c>
      <c r="I688" s="9">
        <v>7.6678713E7</v>
      </c>
      <c r="J688" s="6">
        <v>1.665017562909E10</v>
      </c>
    </row>
    <row r="689">
      <c r="A689" s="4" t="s">
        <v>10</v>
      </c>
      <c r="B689" s="5">
        <v>42636.0</v>
      </c>
      <c r="C689" s="6">
        <v>215.99</v>
      </c>
      <c r="D689" s="11">
        <v>-1.19</v>
      </c>
      <c r="E689" s="12">
        <v>-0.0055</v>
      </c>
      <c r="F689" s="6">
        <v>216.72</v>
      </c>
      <c r="G689" s="6">
        <v>215.88</v>
      </c>
      <c r="H689" s="6">
        <v>216.88</v>
      </c>
      <c r="I689" s="9">
        <v>7.3630921E7</v>
      </c>
      <c r="J689" s="6">
        <v>1.593179575205E10</v>
      </c>
    </row>
    <row r="690">
      <c r="A690" s="4" t="s">
        <v>10</v>
      </c>
      <c r="B690" s="5">
        <v>42639.0</v>
      </c>
      <c r="C690" s="6">
        <v>214.24</v>
      </c>
      <c r="D690" s="11">
        <v>-1.75</v>
      </c>
      <c r="E690" s="12">
        <v>-0.0081</v>
      </c>
      <c r="F690" s="6">
        <v>215.02</v>
      </c>
      <c r="G690" s="6">
        <v>214.01</v>
      </c>
      <c r="H690" s="6">
        <v>215.23</v>
      </c>
      <c r="I690" s="9">
        <v>8.9827305E7</v>
      </c>
      <c r="J690" s="6">
        <v>1.927141814225E10</v>
      </c>
    </row>
    <row r="691">
      <c r="A691" s="4" t="s">
        <v>10</v>
      </c>
      <c r="B691" s="5">
        <v>42640.0</v>
      </c>
      <c r="C691" s="6">
        <v>215.57</v>
      </c>
      <c r="D691" s="13">
        <f>+1.33</f>
        <v>1.33</v>
      </c>
      <c r="E691" s="14">
        <f>+0.62%</f>
        <v>0.0062</v>
      </c>
      <c r="F691" s="6">
        <v>214.05</v>
      </c>
      <c r="G691" s="6">
        <v>213.62</v>
      </c>
      <c r="H691" s="6">
        <v>215.68</v>
      </c>
      <c r="I691" s="9">
        <v>7.8494829E7</v>
      </c>
      <c r="J691" s="6">
        <v>1.687523896473E10</v>
      </c>
    </row>
    <row r="692">
      <c r="A692" s="4" t="s">
        <v>10</v>
      </c>
      <c r="B692" s="5">
        <v>42641.0</v>
      </c>
      <c r="C692" s="6">
        <v>216.64</v>
      </c>
      <c r="D692" s="13">
        <f>+1.07</f>
        <v>1.07</v>
      </c>
      <c r="E692" s="14">
        <f>+0.5%</f>
        <v>0.005</v>
      </c>
      <c r="F692" s="6">
        <v>215.83</v>
      </c>
      <c r="G692" s="6">
        <v>214.71</v>
      </c>
      <c r="H692" s="6">
        <v>216.82</v>
      </c>
      <c r="I692" s="9">
        <v>8.7411015E7</v>
      </c>
      <c r="J692" s="6">
        <v>1.886963810456E10</v>
      </c>
    </row>
    <row r="693">
      <c r="A693" s="4" t="s">
        <v>10</v>
      </c>
      <c r="B693" s="5">
        <v>42642.0</v>
      </c>
      <c r="C693" s="6">
        <v>214.68</v>
      </c>
      <c r="D693" s="11">
        <v>-1.96</v>
      </c>
      <c r="E693" s="12">
        <v>-0.009</v>
      </c>
      <c r="F693" s="6">
        <v>216.4</v>
      </c>
      <c r="G693" s="6">
        <v>214.04</v>
      </c>
      <c r="H693" s="6">
        <v>216.87</v>
      </c>
      <c r="I693" s="9">
        <v>1.28070615E8</v>
      </c>
      <c r="J693" s="6">
        <v>2.75857563144E10</v>
      </c>
    </row>
    <row r="694">
      <c r="A694" s="4" t="s">
        <v>10</v>
      </c>
      <c r="B694" s="5">
        <v>42643.0</v>
      </c>
      <c r="C694" s="6">
        <v>216.3</v>
      </c>
      <c r="D694" s="13">
        <f>+1.62</f>
        <v>1.62</v>
      </c>
      <c r="E694" s="14">
        <f>+0.75%</f>
        <v>0.0075</v>
      </c>
      <c r="F694" s="6">
        <v>215.65</v>
      </c>
      <c r="G694" s="6">
        <v>215.36</v>
      </c>
      <c r="H694" s="6">
        <v>217.12</v>
      </c>
      <c r="I694" s="9">
        <v>1.17202914E8</v>
      </c>
      <c r="J694" s="6">
        <v>2.534645085716E10</v>
      </c>
    </row>
    <row r="695">
      <c r="A695" s="4" t="s">
        <v>10</v>
      </c>
      <c r="B695" s="5">
        <v>42646.0</v>
      </c>
      <c r="C695" s="6">
        <v>215.78</v>
      </c>
      <c r="D695" s="11">
        <v>-0.52</v>
      </c>
      <c r="E695" s="12">
        <v>-0.0024</v>
      </c>
      <c r="F695" s="6">
        <v>215.82</v>
      </c>
      <c r="G695" s="6">
        <v>215.04</v>
      </c>
      <c r="H695" s="6">
        <v>216.04</v>
      </c>
      <c r="I695" s="9">
        <v>8.3512057E7</v>
      </c>
      <c r="J695" s="6">
        <v>1.801586385891E10</v>
      </c>
    </row>
    <row r="696">
      <c r="A696" s="4" t="s">
        <v>10</v>
      </c>
      <c r="B696" s="5">
        <v>42647.0</v>
      </c>
      <c r="C696" s="6">
        <v>214.68</v>
      </c>
      <c r="D696" s="11">
        <v>-1.1</v>
      </c>
      <c r="E696" s="12">
        <v>-0.0051</v>
      </c>
      <c r="F696" s="6">
        <v>215.91</v>
      </c>
      <c r="G696" s="6">
        <v>213.99</v>
      </c>
      <c r="H696" s="6">
        <v>216.17</v>
      </c>
      <c r="I696" s="9">
        <v>1.19948052E8</v>
      </c>
      <c r="J696" s="6">
        <v>2.58119487491E10</v>
      </c>
    </row>
    <row r="697">
      <c r="A697" s="4" t="s">
        <v>10</v>
      </c>
      <c r="B697" s="5">
        <v>42648.0</v>
      </c>
      <c r="C697" s="6">
        <v>215.63</v>
      </c>
      <c r="D697" s="13">
        <f>+0.95</f>
        <v>0.95</v>
      </c>
      <c r="E697" s="14">
        <f>+0.44%</f>
        <v>0.0044</v>
      </c>
      <c r="F697" s="6">
        <v>215.41</v>
      </c>
      <c r="G697" s="6">
        <v>215.33</v>
      </c>
      <c r="H697" s="6">
        <v>216.13</v>
      </c>
      <c r="I697" s="9">
        <v>7.2815963E7</v>
      </c>
      <c r="J697" s="6">
        <v>1.570671787871E10</v>
      </c>
    </row>
    <row r="698">
      <c r="A698" s="4" t="s">
        <v>10</v>
      </c>
      <c r="B698" s="5">
        <v>42649.0</v>
      </c>
      <c r="C698" s="6">
        <v>215.78</v>
      </c>
      <c r="D698" s="13">
        <f>+0.15</f>
        <v>0.15</v>
      </c>
      <c r="E698" s="14">
        <f>+0.07%</f>
        <v>0.0007</v>
      </c>
      <c r="F698" s="6">
        <v>215.37</v>
      </c>
      <c r="G698" s="6">
        <v>214.74</v>
      </c>
      <c r="H698" s="6">
        <v>216.04</v>
      </c>
      <c r="I698" s="9">
        <v>6.2927376E7</v>
      </c>
      <c r="J698" s="6">
        <v>1.356331123949E10</v>
      </c>
    </row>
    <row r="699">
      <c r="A699" s="4" t="s">
        <v>10</v>
      </c>
      <c r="B699" s="5">
        <v>42650.0</v>
      </c>
      <c r="C699" s="6">
        <v>215.04</v>
      </c>
      <c r="D699" s="11">
        <v>-0.74</v>
      </c>
      <c r="E699" s="12">
        <v>-0.0034</v>
      </c>
      <c r="F699" s="6">
        <v>216.1</v>
      </c>
      <c r="G699" s="6">
        <v>214.19</v>
      </c>
      <c r="H699" s="6">
        <v>216.3</v>
      </c>
      <c r="I699" s="9">
        <v>8.9788255E7</v>
      </c>
      <c r="J699" s="6">
        <v>1.931876235789E10</v>
      </c>
    </row>
    <row r="700">
      <c r="A700" s="4" t="s">
        <v>10</v>
      </c>
      <c r="B700" s="5">
        <v>42653.0</v>
      </c>
      <c r="C700" s="6">
        <v>216.16</v>
      </c>
      <c r="D700" s="13">
        <f>+1.12</f>
        <v>1.12</v>
      </c>
      <c r="E700" s="14">
        <f>+0.52%</f>
        <v>0.0052</v>
      </c>
      <c r="F700" s="6">
        <v>216.16</v>
      </c>
      <c r="G700" s="6">
        <v>215.99</v>
      </c>
      <c r="H700" s="6">
        <v>216.7</v>
      </c>
      <c r="I700" s="9">
        <v>5.1855023E7</v>
      </c>
      <c r="J700" s="6">
        <v>1.121606009635E10</v>
      </c>
    </row>
    <row r="701">
      <c r="A701" s="4" t="s">
        <v>10</v>
      </c>
      <c r="B701" s="5">
        <v>42654.0</v>
      </c>
      <c r="C701" s="6">
        <v>213.43</v>
      </c>
      <c r="D701" s="11">
        <v>-2.73</v>
      </c>
      <c r="E701" s="12">
        <v>-0.0126</v>
      </c>
      <c r="F701" s="6">
        <v>215.66</v>
      </c>
      <c r="G701" s="6">
        <v>212.58</v>
      </c>
      <c r="H701" s="6">
        <v>215.74</v>
      </c>
      <c r="I701" s="9">
        <v>1.30367373E8</v>
      </c>
      <c r="J701" s="6">
        <v>2.790632119542E10</v>
      </c>
    </row>
    <row r="702">
      <c r="A702" s="4" t="s">
        <v>10</v>
      </c>
      <c r="B702" s="5">
        <v>42655.0</v>
      </c>
      <c r="C702" s="6">
        <v>213.71</v>
      </c>
      <c r="D702" s="13">
        <f>+0.28</f>
        <v>0.28</v>
      </c>
      <c r="E702" s="14">
        <f>+0.13%</f>
        <v>0.0013</v>
      </c>
      <c r="F702" s="6">
        <v>213.59</v>
      </c>
      <c r="G702" s="6">
        <v>213.01</v>
      </c>
      <c r="H702" s="6">
        <v>214.32</v>
      </c>
      <c r="I702" s="9">
        <v>7.3866117E7</v>
      </c>
      <c r="J702" s="6">
        <v>1.578484218269E10</v>
      </c>
    </row>
    <row r="703">
      <c r="A703" s="4" t="s">
        <v>10</v>
      </c>
      <c r="B703" s="5">
        <v>42656.0</v>
      </c>
      <c r="C703" s="6">
        <v>213.01</v>
      </c>
      <c r="D703" s="11">
        <v>-0.7</v>
      </c>
      <c r="E703" s="12">
        <v>-0.0033</v>
      </c>
      <c r="F703" s="6">
        <v>212.16</v>
      </c>
      <c r="G703" s="6">
        <v>211.21</v>
      </c>
      <c r="H703" s="6">
        <v>213.59</v>
      </c>
      <c r="I703" s="9">
        <v>1.0135696E8</v>
      </c>
      <c r="J703" s="6">
        <v>2.153481845594E10</v>
      </c>
    </row>
    <row r="704">
      <c r="A704" s="4" t="s">
        <v>10</v>
      </c>
      <c r="B704" s="5">
        <v>42657.0</v>
      </c>
      <c r="C704" s="6">
        <v>213.12</v>
      </c>
      <c r="D704" s="13">
        <f>+0.11</f>
        <v>0.11</v>
      </c>
      <c r="E704" s="14">
        <f>+0.05%</f>
        <v>0.0005</v>
      </c>
      <c r="F704" s="6">
        <v>214.15</v>
      </c>
      <c r="G704" s="6">
        <v>213.03</v>
      </c>
      <c r="H704" s="6">
        <v>214.69</v>
      </c>
      <c r="I704" s="9">
        <v>9.3346237E7</v>
      </c>
      <c r="J704" s="6">
        <v>1.993975168144E10</v>
      </c>
    </row>
    <row r="705">
      <c r="A705" s="4" t="s">
        <v>10</v>
      </c>
      <c r="B705" s="5">
        <v>42660.0</v>
      </c>
      <c r="C705" s="6">
        <v>212.38</v>
      </c>
      <c r="D705" s="11">
        <v>-0.74</v>
      </c>
      <c r="E705" s="12">
        <v>-0.0035</v>
      </c>
      <c r="F705" s="6">
        <v>213.09</v>
      </c>
      <c r="G705" s="6">
        <v>212.17</v>
      </c>
      <c r="H705" s="6">
        <v>213.39</v>
      </c>
      <c r="I705" s="9">
        <v>5.8275674E7</v>
      </c>
      <c r="J705" s="6">
        <v>1.239210528485E10</v>
      </c>
    </row>
    <row r="706">
      <c r="A706" s="4" t="s">
        <v>10</v>
      </c>
      <c r="B706" s="5">
        <v>42661.0</v>
      </c>
      <c r="C706" s="6">
        <v>213.71</v>
      </c>
      <c r="D706" s="13">
        <f>+1.33</f>
        <v>1.33</v>
      </c>
      <c r="E706" s="14">
        <f>+0.63%</f>
        <v>0.0063</v>
      </c>
      <c r="F706" s="6">
        <v>214.24</v>
      </c>
      <c r="G706" s="6">
        <v>213.27</v>
      </c>
      <c r="H706" s="6">
        <v>214.31</v>
      </c>
      <c r="I706" s="9">
        <v>7.6869656E7</v>
      </c>
      <c r="J706" s="6">
        <v>1.643271154893E10</v>
      </c>
    </row>
    <row r="707">
      <c r="A707" s="4" t="s">
        <v>10</v>
      </c>
      <c r="B707" s="5">
        <v>42662.0</v>
      </c>
      <c r="C707" s="6">
        <v>214.28</v>
      </c>
      <c r="D707" s="13">
        <f>+0.57</f>
        <v>0.57</v>
      </c>
      <c r="E707" s="14">
        <f>+0.27%</f>
        <v>0.0027</v>
      </c>
      <c r="F707" s="6">
        <v>214.02</v>
      </c>
      <c r="G707" s="6">
        <v>213.6</v>
      </c>
      <c r="H707" s="6">
        <v>214.64</v>
      </c>
      <c r="I707" s="9">
        <v>6.6519224E7</v>
      </c>
      <c r="J707" s="6">
        <v>1.425009719557E10</v>
      </c>
    </row>
    <row r="708">
      <c r="A708" s="4" t="s">
        <v>10</v>
      </c>
      <c r="B708" s="5">
        <v>42663.0</v>
      </c>
      <c r="C708" s="6">
        <v>213.88</v>
      </c>
      <c r="D708" s="11">
        <v>-0.4</v>
      </c>
      <c r="E708" s="12">
        <v>-0.0019</v>
      </c>
      <c r="F708" s="6">
        <v>213.87</v>
      </c>
      <c r="G708" s="6">
        <v>213.11</v>
      </c>
      <c r="H708" s="6">
        <v>214.53</v>
      </c>
      <c r="I708" s="9">
        <v>7.363983E7</v>
      </c>
      <c r="J708" s="6">
        <v>1.57513723686E10</v>
      </c>
    </row>
    <row r="709">
      <c r="A709" s="4" t="s">
        <v>10</v>
      </c>
      <c r="B709" s="5">
        <v>42664.0</v>
      </c>
      <c r="C709" s="6">
        <v>213.98</v>
      </c>
      <c r="D709" s="13">
        <f>+0.1</f>
        <v>0.1</v>
      </c>
      <c r="E709" s="14">
        <f>+0.05%</f>
        <v>0.0005</v>
      </c>
      <c r="F709" s="6">
        <v>212.96</v>
      </c>
      <c r="G709" s="6">
        <v>212.76</v>
      </c>
      <c r="H709" s="6">
        <v>214.08</v>
      </c>
      <c r="I709" s="9">
        <v>8.9089092E7</v>
      </c>
      <c r="J709" s="6">
        <v>1.902599298571E10</v>
      </c>
    </row>
    <row r="710">
      <c r="A710" s="4" t="s">
        <v>10</v>
      </c>
      <c r="B710" s="5">
        <v>42667.0</v>
      </c>
      <c r="C710" s="6">
        <v>214.89</v>
      </c>
      <c r="D710" s="13">
        <f>+0.91</f>
        <v>0.91</v>
      </c>
      <c r="E710" s="14">
        <f>+0.43%</f>
        <v>0.0043</v>
      </c>
      <c r="F710" s="6">
        <v>215.0</v>
      </c>
      <c r="G710" s="6">
        <v>214.48</v>
      </c>
      <c r="H710" s="6">
        <v>215.32</v>
      </c>
      <c r="I710" s="9">
        <v>6.0146592E7</v>
      </c>
      <c r="J710" s="6">
        <v>1.291846515507E10</v>
      </c>
    </row>
    <row r="711">
      <c r="A711" s="4" t="s">
        <v>10</v>
      </c>
      <c r="B711" s="5">
        <v>42668.0</v>
      </c>
      <c r="C711" s="6">
        <v>214.17</v>
      </c>
      <c r="D711" s="11">
        <v>-0.72</v>
      </c>
      <c r="E711" s="12">
        <v>-0.0034</v>
      </c>
      <c r="F711" s="6">
        <v>214.68</v>
      </c>
      <c r="G711" s="6">
        <v>213.98</v>
      </c>
      <c r="H711" s="6">
        <v>214.98</v>
      </c>
      <c r="I711" s="9">
        <v>6.6542329E7</v>
      </c>
      <c r="J711" s="6">
        <v>1.426494017147E10</v>
      </c>
    </row>
    <row r="712">
      <c r="A712" s="4" t="s">
        <v>10</v>
      </c>
      <c r="B712" s="5">
        <v>42669.0</v>
      </c>
      <c r="C712" s="6">
        <v>213.74</v>
      </c>
      <c r="D712" s="11">
        <v>-0.43</v>
      </c>
      <c r="E712" s="12">
        <v>-0.002</v>
      </c>
      <c r="F712" s="6">
        <v>213.21</v>
      </c>
      <c r="G712" s="6">
        <v>212.93</v>
      </c>
      <c r="H712" s="6">
        <v>214.42</v>
      </c>
      <c r="I712" s="9">
        <v>7.5705478E7</v>
      </c>
      <c r="J712" s="6">
        <v>1.617996212842E10</v>
      </c>
    </row>
    <row r="713">
      <c r="A713" s="4" t="s">
        <v>10</v>
      </c>
      <c r="B713" s="5">
        <v>42670.0</v>
      </c>
      <c r="C713" s="6">
        <v>213.17</v>
      </c>
      <c r="D713" s="11">
        <v>-0.57</v>
      </c>
      <c r="E713" s="12">
        <v>-0.0027</v>
      </c>
      <c r="F713" s="6">
        <v>214.58</v>
      </c>
      <c r="G713" s="6">
        <v>213.08</v>
      </c>
      <c r="H713" s="6">
        <v>214.62</v>
      </c>
      <c r="I713" s="9">
        <v>7.7220213E7</v>
      </c>
      <c r="J713" s="6">
        <v>1.649321188225E10</v>
      </c>
    </row>
    <row r="714">
      <c r="A714" s="4" t="s">
        <v>10</v>
      </c>
      <c r="B714" s="5">
        <v>42671.0</v>
      </c>
      <c r="C714" s="6">
        <v>212.54</v>
      </c>
      <c r="D714" s="11">
        <v>-0.63</v>
      </c>
      <c r="E714" s="12">
        <v>-0.003</v>
      </c>
      <c r="F714" s="6">
        <v>213.14</v>
      </c>
      <c r="G714" s="6">
        <v>211.71</v>
      </c>
      <c r="H714" s="6">
        <v>213.93</v>
      </c>
      <c r="I714" s="9">
        <v>1.40623183E8</v>
      </c>
      <c r="J714" s="6">
        <v>2.99267382722E10</v>
      </c>
    </row>
    <row r="715">
      <c r="A715" s="4" t="s">
        <v>10</v>
      </c>
      <c r="B715" s="5">
        <v>42674.0</v>
      </c>
      <c r="C715" s="6">
        <v>212.55</v>
      </c>
      <c r="D715" s="13">
        <f>+0.01</f>
        <v>0.01</v>
      </c>
      <c r="E715" s="14">
        <f>+0%</f>
        <v>0</v>
      </c>
      <c r="F715" s="6">
        <v>212.93</v>
      </c>
      <c r="G715" s="6">
        <v>212.36</v>
      </c>
      <c r="H715" s="6">
        <v>213.19</v>
      </c>
      <c r="I715" s="9">
        <v>6.1272507E7</v>
      </c>
      <c r="J715" s="6">
        <v>1.30330798848E10</v>
      </c>
    </row>
    <row r="716">
      <c r="A716" s="4" t="s">
        <v>10</v>
      </c>
      <c r="B716" s="5">
        <v>42675.0</v>
      </c>
      <c r="C716" s="6">
        <v>211.01</v>
      </c>
      <c r="D716" s="11">
        <v>-1.54</v>
      </c>
      <c r="E716" s="12">
        <v>-0.0072</v>
      </c>
      <c r="F716" s="6">
        <v>212.93</v>
      </c>
      <c r="G716" s="6">
        <v>209.6</v>
      </c>
      <c r="H716" s="6">
        <v>212.99</v>
      </c>
      <c r="I716" s="9">
        <v>1.22781818E8</v>
      </c>
      <c r="J716" s="6">
        <v>2.593239797235E10</v>
      </c>
    </row>
    <row r="717">
      <c r="A717" s="4" t="s">
        <v>10</v>
      </c>
      <c r="B717" s="5">
        <v>42676.0</v>
      </c>
      <c r="C717" s="6">
        <v>209.74</v>
      </c>
      <c r="D717" s="11">
        <v>-1.27</v>
      </c>
      <c r="E717" s="12">
        <v>-0.006</v>
      </c>
      <c r="F717" s="6">
        <v>210.65</v>
      </c>
      <c r="G717" s="6">
        <v>209.23</v>
      </c>
      <c r="H717" s="6">
        <v>211.1</v>
      </c>
      <c r="I717" s="9">
        <v>1.03330806E8</v>
      </c>
      <c r="J717" s="6">
        <v>2.171858134814E10</v>
      </c>
    </row>
    <row r="718">
      <c r="A718" s="4" t="s">
        <v>10</v>
      </c>
      <c r="B718" s="5">
        <v>42677.0</v>
      </c>
      <c r="C718" s="6">
        <v>208.78</v>
      </c>
      <c r="D718" s="11">
        <v>-0.96</v>
      </c>
      <c r="E718" s="12">
        <v>-0.0046</v>
      </c>
      <c r="F718" s="6">
        <v>209.99</v>
      </c>
      <c r="G718" s="6">
        <v>208.46</v>
      </c>
      <c r="H718" s="6">
        <v>210.24</v>
      </c>
      <c r="I718" s="9">
        <v>8.8939346E7</v>
      </c>
      <c r="J718" s="6">
        <v>1.862143088752E10</v>
      </c>
    </row>
    <row r="719">
      <c r="A719" s="4" t="s">
        <v>10</v>
      </c>
      <c r="B719" s="5">
        <v>42678.0</v>
      </c>
      <c r="C719" s="6">
        <v>208.55</v>
      </c>
      <c r="D719" s="11">
        <v>-0.23</v>
      </c>
      <c r="E719" s="12">
        <v>-0.0011</v>
      </c>
      <c r="F719" s="6">
        <v>208.91</v>
      </c>
      <c r="G719" s="6">
        <v>208.38</v>
      </c>
      <c r="H719" s="6">
        <v>209.89</v>
      </c>
      <c r="I719" s="9">
        <v>1.09122059E8</v>
      </c>
      <c r="J719" s="6">
        <v>2.281314539205E10</v>
      </c>
    </row>
    <row r="720">
      <c r="A720" s="4" t="s">
        <v>10</v>
      </c>
      <c r="B720" s="5">
        <v>42681.0</v>
      </c>
      <c r="C720" s="6">
        <v>213.15</v>
      </c>
      <c r="D720" s="13">
        <f>+4.6</f>
        <v>4.6</v>
      </c>
      <c r="E720" s="14">
        <f>+2.21%</f>
        <v>0.0221</v>
      </c>
      <c r="F720" s="6">
        <v>211.45</v>
      </c>
      <c r="G720" s="6">
        <v>211.3</v>
      </c>
      <c r="H720" s="6">
        <v>213.19</v>
      </c>
      <c r="I720" s="9">
        <v>1.09794861E8</v>
      </c>
      <c r="J720" s="6">
        <v>2.329002665196E10</v>
      </c>
    </row>
    <row r="721">
      <c r="A721" s="4" t="s">
        <v>10</v>
      </c>
      <c r="B721" s="5">
        <v>42682.0</v>
      </c>
      <c r="C721" s="6">
        <v>214.11</v>
      </c>
      <c r="D721" s="13">
        <f>+0.96</f>
        <v>0.96</v>
      </c>
      <c r="E721" s="14">
        <f>+0.45%</f>
        <v>0.0045</v>
      </c>
      <c r="F721" s="6">
        <v>212.69</v>
      </c>
      <c r="G721" s="6">
        <v>212.38</v>
      </c>
      <c r="H721" s="6">
        <v>214.77</v>
      </c>
      <c r="I721" s="9">
        <v>1.06772138E8</v>
      </c>
      <c r="J721" s="6">
        <v>2.283367220277E10</v>
      </c>
    </row>
    <row r="722">
      <c r="A722" s="4" t="s">
        <v>10</v>
      </c>
      <c r="B722" s="5">
        <v>42683.0</v>
      </c>
      <c r="C722" s="6">
        <v>216.38</v>
      </c>
      <c r="D722" s="13">
        <f>+2.27</f>
        <v>2.27</v>
      </c>
      <c r="E722" s="14">
        <f>+1.06%</f>
        <v>0.0106</v>
      </c>
      <c r="F722" s="6">
        <v>212.37</v>
      </c>
      <c r="G722" s="6">
        <v>212.34</v>
      </c>
      <c r="H722" s="6">
        <v>217.1</v>
      </c>
      <c r="I722" s="9">
        <v>2.58428972E8</v>
      </c>
      <c r="J722" s="6">
        <v>5.545405060191E10</v>
      </c>
    </row>
    <row r="723">
      <c r="A723" s="4" t="s">
        <v>10</v>
      </c>
      <c r="B723" s="5">
        <v>42684.0</v>
      </c>
      <c r="C723" s="6">
        <v>216.92</v>
      </c>
      <c r="D723" s="13">
        <f>+0.54</f>
        <v>0.54</v>
      </c>
      <c r="E723" s="14">
        <f>+0.25%</f>
        <v>0.0025</v>
      </c>
      <c r="F723" s="6">
        <v>217.3</v>
      </c>
      <c r="G723" s="6">
        <v>215.22</v>
      </c>
      <c r="H723" s="6">
        <v>218.31</v>
      </c>
      <c r="I723" s="9">
        <v>1.72113313E8</v>
      </c>
      <c r="J723" s="6">
        <v>3.73112576875E10</v>
      </c>
    </row>
    <row r="724">
      <c r="A724" s="4" t="s">
        <v>10</v>
      </c>
      <c r="B724" s="5">
        <v>42685.0</v>
      </c>
      <c r="C724" s="6">
        <v>216.42</v>
      </c>
      <c r="D724" s="11">
        <v>-0.5</v>
      </c>
      <c r="E724" s="12">
        <v>-0.0023</v>
      </c>
      <c r="F724" s="6">
        <v>216.08</v>
      </c>
      <c r="G724" s="6">
        <v>215.32</v>
      </c>
      <c r="H724" s="6">
        <v>216.7</v>
      </c>
      <c r="I724" s="9">
        <v>1.00552732E8</v>
      </c>
      <c r="J724" s="6">
        <v>2.173786511349E10</v>
      </c>
    </row>
    <row r="725">
      <c r="A725" s="4" t="s">
        <v>10</v>
      </c>
      <c r="B725" s="5">
        <v>42688.0</v>
      </c>
      <c r="C725" s="6">
        <v>216.59</v>
      </c>
      <c r="D725" s="13">
        <f>+0.17</f>
        <v>0.17</v>
      </c>
      <c r="E725" s="14">
        <f>+0.08%</f>
        <v>0.0008</v>
      </c>
      <c r="F725" s="6">
        <v>217.03</v>
      </c>
      <c r="G725" s="6">
        <v>215.72</v>
      </c>
      <c r="H725" s="6">
        <v>217.27</v>
      </c>
      <c r="I725" s="9">
        <v>9.4579982E7</v>
      </c>
      <c r="J725" s="6">
        <v>2.047504761652E10</v>
      </c>
    </row>
    <row r="726">
      <c r="A726" s="4" t="s">
        <v>10</v>
      </c>
      <c r="B726" s="5">
        <v>42689.0</v>
      </c>
      <c r="C726" s="6">
        <v>218.28</v>
      </c>
      <c r="D726" s="13">
        <f>+1.69</f>
        <v>1.69</v>
      </c>
      <c r="E726" s="14">
        <f>+0.78%</f>
        <v>0.0078</v>
      </c>
      <c r="F726" s="6">
        <v>217.04</v>
      </c>
      <c r="G726" s="6">
        <v>216.8</v>
      </c>
      <c r="H726" s="6">
        <v>218.28</v>
      </c>
      <c r="I726" s="9">
        <v>9.165258E7</v>
      </c>
      <c r="J726" s="6">
        <v>1.994043147745E10</v>
      </c>
    </row>
    <row r="727">
      <c r="A727" s="4" t="s">
        <v>10</v>
      </c>
      <c r="B727" s="5">
        <v>42690.0</v>
      </c>
      <c r="C727" s="6">
        <v>217.87</v>
      </c>
      <c r="D727" s="11">
        <v>-0.41</v>
      </c>
      <c r="E727" s="12">
        <v>-0.0019</v>
      </c>
      <c r="F727" s="6">
        <v>217.56</v>
      </c>
      <c r="G727" s="6">
        <v>217.42</v>
      </c>
      <c r="H727" s="6">
        <v>218.14</v>
      </c>
      <c r="I727" s="9">
        <v>6.5617697E7</v>
      </c>
      <c r="J727" s="6">
        <v>1.429280798579E10</v>
      </c>
    </row>
    <row r="728">
      <c r="A728" s="4" t="s">
        <v>10</v>
      </c>
      <c r="B728" s="5">
        <v>42691.0</v>
      </c>
      <c r="C728" s="6">
        <v>218.99</v>
      </c>
      <c r="D728" s="13">
        <f>+1.12</f>
        <v>1.12</v>
      </c>
      <c r="E728" s="14">
        <f>+0.51%</f>
        <v>0.0051</v>
      </c>
      <c r="F728" s="6">
        <v>218.05</v>
      </c>
      <c r="G728" s="6">
        <v>217.92</v>
      </c>
      <c r="H728" s="6">
        <v>219.06</v>
      </c>
      <c r="I728" s="9">
        <v>6.9797191E7</v>
      </c>
      <c r="J728" s="6">
        <v>1.526221070401E10</v>
      </c>
    </row>
    <row r="729">
      <c r="A729" s="4" t="s">
        <v>10</v>
      </c>
      <c r="B729" s="5">
        <v>42692.0</v>
      </c>
      <c r="C729" s="6">
        <v>218.5</v>
      </c>
      <c r="D729" s="11">
        <v>-0.49</v>
      </c>
      <c r="E729" s="12">
        <v>-0.0022</v>
      </c>
      <c r="F729" s="6">
        <v>219.07</v>
      </c>
      <c r="G729" s="6">
        <v>218.29</v>
      </c>
      <c r="H729" s="6">
        <v>219.27</v>
      </c>
      <c r="I729" s="9">
        <v>8.6265751E7</v>
      </c>
      <c r="J729" s="6">
        <v>1.886392862248E10</v>
      </c>
    </row>
    <row r="730">
      <c r="A730" s="4" t="s">
        <v>10</v>
      </c>
      <c r="B730" s="5">
        <v>42695.0</v>
      </c>
      <c r="C730" s="6">
        <v>220.15</v>
      </c>
      <c r="D730" s="13">
        <f>+1.65</f>
        <v>1.65</v>
      </c>
      <c r="E730" s="14">
        <f>+0.76%</f>
        <v>0.0076</v>
      </c>
      <c r="F730" s="6">
        <v>219.17</v>
      </c>
      <c r="G730" s="6">
        <v>219.0</v>
      </c>
      <c r="H730" s="6">
        <v>220.18</v>
      </c>
      <c r="I730" s="9">
        <v>7.2402638E7</v>
      </c>
      <c r="J730" s="6">
        <v>1.590631314861E10</v>
      </c>
    </row>
    <row r="731">
      <c r="A731" s="4" t="s">
        <v>10</v>
      </c>
      <c r="B731" s="5">
        <v>42696.0</v>
      </c>
      <c r="C731" s="6">
        <v>220.58</v>
      </c>
      <c r="D731" s="13">
        <f>+0.43</f>
        <v>0.43</v>
      </c>
      <c r="E731" s="14">
        <f>+0.2%</f>
        <v>0.002</v>
      </c>
      <c r="F731" s="6">
        <v>220.51</v>
      </c>
      <c r="G731" s="6">
        <v>219.73</v>
      </c>
      <c r="H731" s="6">
        <v>220.79</v>
      </c>
      <c r="I731" s="9">
        <v>6.7428957E7</v>
      </c>
      <c r="J731" s="6">
        <v>1.485784549356E10</v>
      </c>
    </row>
    <row r="732">
      <c r="A732" s="4" t="s">
        <v>10</v>
      </c>
      <c r="B732" s="5">
        <v>42697.0</v>
      </c>
      <c r="C732" s="6">
        <v>220.7</v>
      </c>
      <c r="D732" s="13">
        <f>+0.12</f>
        <v>0.12</v>
      </c>
      <c r="E732" s="14">
        <f>+0.05%</f>
        <v>0.0005</v>
      </c>
      <c r="F732" s="6">
        <v>219.98</v>
      </c>
      <c r="G732" s="6">
        <v>219.75</v>
      </c>
      <c r="H732" s="6">
        <v>220.76</v>
      </c>
      <c r="I732" s="9">
        <v>5.6620237E7</v>
      </c>
      <c r="J732" s="6">
        <v>1.247612189131E10</v>
      </c>
    </row>
    <row r="733">
      <c r="A733" s="4" t="s">
        <v>10</v>
      </c>
      <c r="B733" s="5">
        <v>42699.0</v>
      </c>
      <c r="C733" s="6">
        <v>221.52</v>
      </c>
      <c r="D733" s="13">
        <f>+0.82</f>
        <v>0.82</v>
      </c>
      <c r="E733" s="14">
        <f>+0.37%</f>
        <v>0.0037</v>
      </c>
      <c r="F733" s="6">
        <v>221.1</v>
      </c>
      <c r="G733" s="6">
        <v>221.01</v>
      </c>
      <c r="H733" s="6">
        <v>221.56</v>
      </c>
      <c r="I733" s="9">
        <v>3.7872255E7</v>
      </c>
      <c r="J733" s="6">
        <v>8.38072624727E9</v>
      </c>
    </row>
    <row r="734">
      <c r="A734" s="4" t="s">
        <v>10</v>
      </c>
      <c r="B734" s="5">
        <v>42702.0</v>
      </c>
      <c r="C734" s="6">
        <v>220.48</v>
      </c>
      <c r="D734" s="11">
        <v>-1.04</v>
      </c>
      <c r="E734" s="12">
        <v>-0.0047</v>
      </c>
      <c r="F734" s="6">
        <v>221.16</v>
      </c>
      <c r="G734" s="6">
        <v>220.36</v>
      </c>
      <c r="H734" s="6">
        <v>221.48</v>
      </c>
      <c r="I734" s="9">
        <v>7.6572511E7</v>
      </c>
      <c r="J734" s="6">
        <v>1.691774321111E10</v>
      </c>
    </row>
    <row r="735">
      <c r="A735" s="4" t="s">
        <v>10</v>
      </c>
      <c r="B735" s="5">
        <v>42703.0</v>
      </c>
      <c r="C735" s="6">
        <v>220.91</v>
      </c>
      <c r="D735" s="13">
        <f>+0.43</f>
        <v>0.43</v>
      </c>
      <c r="E735" s="14">
        <f>+0.2%</f>
        <v>0.002</v>
      </c>
      <c r="F735" s="6">
        <v>220.52</v>
      </c>
      <c r="G735" s="6">
        <v>220.17</v>
      </c>
      <c r="H735" s="6">
        <v>221.44</v>
      </c>
      <c r="I735" s="9">
        <v>6.988669E7</v>
      </c>
      <c r="J735" s="6">
        <v>1.543273794056E10</v>
      </c>
    </row>
    <row r="736">
      <c r="A736" s="4" t="s">
        <v>10</v>
      </c>
      <c r="B736" s="5">
        <v>42704.0</v>
      </c>
      <c r="C736" s="6">
        <v>220.38</v>
      </c>
      <c r="D736" s="11">
        <v>-0.53</v>
      </c>
      <c r="E736" s="12">
        <v>-0.0024</v>
      </c>
      <c r="F736" s="6">
        <v>221.63</v>
      </c>
      <c r="G736" s="6">
        <v>220.31</v>
      </c>
      <c r="H736" s="6">
        <v>221.82</v>
      </c>
      <c r="I736" s="9">
        <v>1.13291793E8</v>
      </c>
      <c r="J736" s="6">
        <v>2.502596957852E10</v>
      </c>
    </row>
    <row r="737">
      <c r="A737" s="4" t="s">
        <v>10</v>
      </c>
      <c r="B737" s="5">
        <v>42705.0</v>
      </c>
      <c r="C737" s="6">
        <v>219.57</v>
      </c>
      <c r="D737" s="11">
        <v>-0.81</v>
      </c>
      <c r="E737" s="12">
        <v>-0.0037</v>
      </c>
      <c r="F737" s="6">
        <v>220.73</v>
      </c>
      <c r="G737" s="6">
        <v>219.15</v>
      </c>
      <c r="H737" s="6">
        <v>220.73</v>
      </c>
      <c r="I737" s="9">
        <v>7.9040487E7</v>
      </c>
      <c r="J737" s="6">
        <v>1.737800102467E10</v>
      </c>
    </row>
    <row r="738">
      <c r="A738" s="4" t="s">
        <v>10</v>
      </c>
      <c r="B738" s="5">
        <v>42706.0</v>
      </c>
      <c r="C738" s="6">
        <v>219.68</v>
      </c>
      <c r="D738" s="13">
        <f>+0.11</f>
        <v>0.11</v>
      </c>
      <c r="E738" s="14">
        <f>+0.05%</f>
        <v>0.0005</v>
      </c>
      <c r="F738" s="6">
        <v>219.67</v>
      </c>
      <c r="G738" s="6">
        <v>219.26</v>
      </c>
      <c r="H738" s="6">
        <v>220.25</v>
      </c>
      <c r="I738" s="9">
        <v>7.4840347E7</v>
      </c>
      <c r="J738" s="6">
        <v>1.644167781395E10</v>
      </c>
    </row>
    <row r="739">
      <c r="A739" s="4" t="s">
        <v>10</v>
      </c>
      <c r="B739" s="5">
        <v>42709.0</v>
      </c>
      <c r="C739" s="6">
        <v>221.0</v>
      </c>
      <c r="D739" s="13">
        <f>+1.32</f>
        <v>1.32</v>
      </c>
      <c r="E739" s="14">
        <f>+0.6%</f>
        <v>0.006</v>
      </c>
      <c r="F739" s="6">
        <v>220.65</v>
      </c>
      <c r="G739" s="6">
        <v>220.42</v>
      </c>
      <c r="H739" s="6">
        <v>221.4</v>
      </c>
      <c r="I739" s="9">
        <v>6.7837821E7</v>
      </c>
      <c r="J739" s="6">
        <v>1.497886195147E10</v>
      </c>
    </row>
    <row r="740">
      <c r="A740" s="4" t="s">
        <v>10</v>
      </c>
      <c r="B740" s="5">
        <v>42710.0</v>
      </c>
      <c r="C740" s="6">
        <v>221.7</v>
      </c>
      <c r="D740" s="13">
        <f>+0.7</f>
        <v>0.7</v>
      </c>
      <c r="E740" s="14">
        <f>+0.32%</f>
        <v>0.0032</v>
      </c>
      <c r="F740" s="6">
        <v>221.22</v>
      </c>
      <c r="G740" s="6">
        <v>220.66</v>
      </c>
      <c r="H740" s="6">
        <v>221.74</v>
      </c>
      <c r="I740" s="9">
        <v>5.9877377E7</v>
      </c>
      <c r="J740" s="6">
        <v>1.324870095476E10</v>
      </c>
    </row>
    <row r="741">
      <c r="A741" s="4" t="s">
        <v>10</v>
      </c>
      <c r="B741" s="5">
        <v>42711.0</v>
      </c>
      <c r="C741" s="6">
        <v>224.6</v>
      </c>
      <c r="D741" s="13">
        <f>+2.9</f>
        <v>2.9</v>
      </c>
      <c r="E741" s="14">
        <f>+1.31%</f>
        <v>0.0131</v>
      </c>
      <c r="F741" s="6">
        <v>221.52</v>
      </c>
      <c r="G741" s="6">
        <v>221.38</v>
      </c>
      <c r="H741" s="6">
        <v>224.67</v>
      </c>
      <c r="I741" s="9">
        <v>1.1073805E8</v>
      </c>
      <c r="J741" s="6">
        <v>2.473196324492E10</v>
      </c>
    </row>
    <row r="742">
      <c r="A742" s="4" t="s">
        <v>10</v>
      </c>
      <c r="B742" s="5">
        <v>42712.0</v>
      </c>
      <c r="C742" s="6">
        <v>225.15</v>
      </c>
      <c r="D742" s="13">
        <f>+0.55</f>
        <v>0.55</v>
      </c>
      <c r="E742" s="14">
        <f>+0.24%</f>
        <v>0.0024</v>
      </c>
      <c r="F742" s="6">
        <v>224.57</v>
      </c>
      <c r="G742" s="6">
        <v>224.26</v>
      </c>
      <c r="H742" s="6">
        <v>225.7</v>
      </c>
      <c r="I742" s="9">
        <v>9.9714387E7</v>
      </c>
      <c r="J742" s="6">
        <v>2.243408164638E10</v>
      </c>
    </row>
    <row r="743">
      <c r="A743" s="4" t="s">
        <v>10</v>
      </c>
      <c r="B743" s="5">
        <v>42713.0</v>
      </c>
      <c r="C743" s="6">
        <v>226.51</v>
      </c>
      <c r="D743" s="13">
        <f>+1.36</f>
        <v>1.36</v>
      </c>
      <c r="E743" s="14">
        <f>+0.6%</f>
        <v>0.006</v>
      </c>
      <c r="F743" s="6">
        <v>225.41</v>
      </c>
      <c r="G743" s="6">
        <v>225.37</v>
      </c>
      <c r="H743" s="6">
        <v>226.53</v>
      </c>
      <c r="I743" s="9">
        <v>8.8005766E7</v>
      </c>
      <c r="J743" s="6">
        <v>1.988302533557E10</v>
      </c>
    </row>
    <row r="744">
      <c r="A744" s="4" t="s">
        <v>10</v>
      </c>
      <c r="B744" s="5">
        <v>42716.0</v>
      </c>
      <c r="C744" s="6">
        <v>226.25</v>
      </c>
      <c r="D744" s="11">
        <v>-0.26</v>
      </c>
      <c r="E744" s="12">
        <v>-0.0011</v>
      </c>
      <c r="F744" s="6">
        <v>226.4</v>
      </c>
      <c r="G744" s="6">
        <v>225.76</v>
      </c>
      <c r="H744" s="6">
        <v>226.96</v>
      </c>
      <c r="I744" s="9">
        <v>1.02016125E8</v>
      </c>
      <c r="J744" s="6">
        <v>2.308259516529E10</v>
      </c>
    </row>
    <row r="745">
      <c r="A745" s="4" t="s">
        <v>10</v>
      </c>
      <c r="B745" s="5">
        <v>42717.0</v>
      </c>
      <c r="C745" s="6">
        <v>227.76</v>
      </c>
      <c r="D745" s="13">
        <f>+1.51</f>
        <v>1.51</v>
      </c>
      <c r="E745" s="14">
        <f>+0.67%</f>
        <v>0.0067</v>
      </c>
      <c r="F745" s="6">
        <v>227.02</v>
      </c>
      <c r="G745" s="6">
        <v>227.0</v>
      </c>
      <c r="H745" s="6">
        <v>228.34</v>
      </c>
      <c r="I745" s="9">
        <v>1.10477485E8</v>
      </c>
      <c r="J745" s="6">
        <v>2.512174189224E10</v>
      </c>
    </row>
    <row r="746">
      <c r="A746" s="4" t="s">
        <v>10</v>
      </c>
      <c r="B746" s="5">
        <v>42718.0</v>
      </c>
      <c r="C746" s="6">
        <v>225.88</v>
      </c>
      <c r="D746" s="11">
        <v>-1.88</v>
      </c>
      <c r="E746" s="12">
        <v>-0.0083</v>
      </c>
      <c r="F746" s="6">
        <v>227.41</v>
      </c>
      <c r="G746" s="6">
        <v>225.37</v>
      </c>
      <c r="H746" s="6">
        <v>228.23</v>
      </c>
      <c r="I746" s="9">
        <v>1.42501812E8</v>
      </c>
      <c r="J746" s="6">
        <v>3.23312971227E10</v>
      </c>
    </row>
    <row r="747">
      <c r="A747" s="4" t="s">
        <v>10</v>
      </c>
      <c r="B747" s="5">
        <v>42719.0</v>
      </c>
      <c r="C747" s="6">
        <v>226.81</v>
      </c>
      <c r="D747" s="13">
        <f>+0.93</f>
        <v>0.93</v>
      </c>
      <c r="E747" s="14">
        <f>+0.41%</f>
        <v>0.0041</v>
      </c>
      <c r="F747" s="6">
        <v>226.16</v>
      </c>
      <c r="G747" s="6">
        <v>225.89</v>
      </c>
      <c r="H747" s="6">
        <v>227.81</v>
      </c>
      <c r="I747" s="9">
        <v>1.24972554E8</v>
      </c>
      <c r="J747" s="6">
        <v>2.834947969601E10</v>
      </c>
    </row>
    <row r="748">
      <c r="A748" s="4" t="s">
        <v>10</v>
      </c>
      <c r="B748" s="5">
        <v>42720.0</v>
      </c>
      <c r="C748" s="6">
        <v>225.04</v>
      </c>
      <c r="D748" s="11">
        <v>-1.77</v>
      </c>
      <c r="E748" s="12">
        <v>-0.0078</v>
      </c>
      <c r="F748" s="6">
        <v>226.01</v>
      </c>
      <c r="G748" s="6">
        <v>224.67</v>
      </c>
      <c r="H748" s="6">
        <v>226.08</v>
      </c>
      <c r="I748" s="9">
        <v>1.56420152E8</v>
      </c>
      <c r="J748" s="6">
        <v>3.526298059671E10</v>
      </c>
    </row>
    <row r="749">
      <c r="A749" s="4" t="s">
        <v>10</v>
      </c>
      <c r="B749" s="5">
        <v>42723.0</v>
      </c>
      <c r="C749" s="6">
        <v>225.53</v>
      </c>
      <c r="D749" s="13">
        <f>+0.49</f>
        <v>0.49</v>
      </c>
      <c r="E749" s="14">
        <f>+0.22%</f>
        <v>0.0022</v>
      </c>
      <c r="F749" s="6">
        <v>225.25</v>
      </c>
      <c r="G749" s="6">
        <v>225.08</v>
      </c>
      <c r="H749" s="6">
        <v>226.02</v>
      </c>
      <c r="I749" s="9">
        <v>9.0341147E7</v>
      </c>
      <c r="J749" s="6">
        <v>2.036704234392E10</v>
      </c>
    </row>
    <row r="750">
      <c r="A750" s="4" t="s">
        <v>10</v>
      </c>
      <c r="B750" s="5">
        <v>42724.0</v>
      </c>
      <c r="C750" s="6">
        <v>226.4</v>
      </c>
      <c r="D750" s="13">
        <f>+0.87</f>
        <v>0.87</v>
      </c>
      <c r="E750" s="14">
        <f>+0.39%</f>
        <v>0.0039</v>
      </c>
      <c r="F750" s="6">
        <v>226.15</v>
      </c>
      <c r="G750" s="6">
        <v>225.88</v>
      </c>
      <c r="H750" s="6">
        <v>226.57</v>
      </c>
      <c r="I750" s="9">
        <v>8.983881E7</v>
      </c>
      <c r="J750" s="6">
        <v>2.031680192587E10</v>
      </c>
    </row>
    <row r="751">
      <c r="A751" s="4" t="s">
        <v>10</v>
      </c>
      <c r="B751" s="5">
        <v>42725.0</v>
      </c>
      <c r="C751" s="6">
        <v>225.77</v>
      </c>
      <c r="D751" s="11">
        <v>-0.63</v>
      </c>
      <c r="E751" s="12">
        <v>-0.0028</v>
      </c>
      <c r="F751" s="6">
        <v>226.25</v>
      </c>
      <c r="G751" s="6">
        <v>225.77</v>
      </c>
      <c r="H751" s="6">
        <v>226.45</v>
      </c>
      <c r="I751" s="9">
        <v>6.7909039E7</v>
      </c>
      <c r="J751" s="6">
        <v>1.53526458274E10</v>
      </c>
    </row>
    <row r="752">
      <c r="A752" s="4" t="s">
        <v>10</v>
      </c>
      <c r="B752" s="5">
        <v>42726.0</v>
      </c>
      <c r="C752" s="6">
        <v>225.38</v>
      </c>
      <c r="D752" s="11">
        <v>-0.39</v>
      </c>
      <c r="E752" s="12">
        <v>-0.0017</v>
      </c>
      <c r="F752" s="6">
        <v>225.6</v>
      </c>
      <c r="G752" s="6">
        <v>224.92</v>
      </c>
      <c r="H752" s="6">
        <v>225.74</v>
      </c>
      <c r="I752" s="9">
        <v>5.6219071E7</v>
      </c>
      <c r="J752" s="6">
        <v>1.266875888026E10</v>
      </c>
    </row>
    <row r="753">
      <c r="A753" s="4" t="s">
        <v>10</v>
      </c>
      <c r="B753" s="5">
        <v>42727.0</v>
      </c>
      <c r="C753" s="6">
        <v>225.71</v>
      </c>
      <c r="D753" s="13">
        <f>+0.33</f>
        <v>0.33</v>
      </c>
      <c r="E753" s="14">
        <f>+0.15%</f>
        <v>0.0015</v>
      </c>
      <c r="F753" s="6">
        <v>225.43</v>
      </c>
      <c r="G753" s="6">
        <v>225.21</v>
      </c>
      <c r="H753" s="6">
        <v>225.72</v>
      </c>
      <c r="I753" s="9">
        <v>3.6697822E7</v>
      </c>
      <c r="J753" s="6">
        <v>8.2764333149E9</v>
      </c>
    </row>
    <row r="754">
      <c r="A754" s="4" t="s">
        <v>10</v>
      </c>
      <c r="B754" s="5">
        <v>42731.0</v>
      </c>
      <c r="C754" s="6">
        <v>226.27</v>
      </c>
      <c r="D754" s="13">
        <f>+0.56</f>
        <v>0.56</v>
      </c>
      <c r="E754" s="14">
        <f>+0.25%</f>
        <v>0.0025</v>
      </c>
      <c r="F754" s="6">
        <v>226.02</v>
      </c>
      <c r="G754" s="6">
        <v>226.0</v>
      </c>
      <c r="H754" s="6">
        <v>226.73</v>
      </c>
      <c r="I754" s="9">
        <v>4.2672487E7</v>
      </c>
      <c r="J754" s="6">
        <v>9.65789106039E9</v>
      </c>
    </row>
    <row r="755">
      <c r="A755" s="4" t="s">
        <v>10</v>
      </c>
      <c r="B755" s="5">
        <v>42732.0</v>
      </c>
      <c r="C755" s="6">
        <v>224.4</v>
      </c>
      <c r="D755" s="11">
        <v>-1.87</v>
      </c>
      <c r="E755" s="12">
        <v>-0.0083</v>
      </c>
      <c r="F755" s="6">
        <v>226.57</v>
      </c>
      <c r="G755" s="6">
        <v>224.27</v>
      </c>
      <c r="H755" s="6">
        <v>226.59</v>
      </c>
      <c r="I755" s="9">
        <v>6.4095014E7</v>
      </c>
      <c r="J755" s="6">
        <v>1.442607181264E10</v>
      </c>
    </row>
    <row r="756">
      <c r="A756" s="4" t="s">
        <v>10</v>
      </c>
      <c r="B756" s="5">
        <v>42733.0</v>
      </c>
      <c r="C756" s="6">
        <v>224.35</v>
      </c>
      <c r="D756" s="11">
        <v>-0.05</v>
      </c>
      <c r="E756" s="12">
        <v>-2.0E-4</v>
      </c>
      <c r="F756" s="6">
        <v>224.48</v>
      </c>
      <c r="G756" s="6">
        <v>223.84</v>
      </c>
      <c r="H756" s="6">
        <v>224.89</v>
      </c>
      <c r="I756" s="9">
        <v>4.869608E7</v>
      </c>
      <c r="J756" s="6">
        <v>1.092426852957E10</v>
      </c>
    </row>
    <row r="757">
      <c r="A757" s="4" t="s">
        <v>10</v>
      </c>
      <c r="B757" s="5">
        <v>42734.0</v>
      </c>
      <c r="C757" s="6">
        <v>223.53</v>
      </c>
      <c r="D757" s="11">
        <v>-0.82</v>
      </c>
      <c r="E757" s="12">
        <v>-0.0037</v>
      </c>
      <c r="F757" s="6">
        <v>224.73</v>
      </c>
      <c r="G757" s="6">
        <v>222.73</v>
      </c>
      <c r="H757" s="6">
        <v>224.83</v>
      </c>
      <c r="I757" s="9">
        <v>1.08998328E8</v>
      </c>
      <c r="J757" s="6">
        <v>2.436607314658E10</v>
      </c>
    </row>
    <row r="758">
      <c r="A758" s="4" t="s">
        <v>10</v>
      </c>
      <c r="B758" s="5">
        <v>42738.0</v>
      </c>
      <c r="C758" s="6">
        <v>225.24</v>
      </c>
      <c r="D758" s="13">
        <f>+1.71</f>
        <v>1.71</v>
      </c>
      <c r="E758" s="14">
        <f>+0.76%</f>
        <v>0.0076</v>
      </c>
      <c r="F758" s="6">
        <v>225.04</v>
      </c>
      <c r="G758" s="6">
        <v>223.88</v>
      </c>
      <c r="H758" s="6">
        <v>225.83</v>
      </c>
      <c r="I758" s="9">
        <v>9.1366522E7</v>
      </c>
      <c r="J758" s="6">
        <v>2.052482090803E10</v>
      </c>
    </row>
    <row r="759">
      <c r="A759" s="4" t="s">
        <v>10</v>
      </c>
      <c r="B759" s="5">
        <v>42739.0</v>
      </c>
      <c r="C759" s="6">
        <v>226.58</v>
      </c>
      <c r="D759" s="13">
        <f>+1.34</f>
        <v>1.34</v>
      </c>
      <c r="E759" s="14">
        <f>+0.59%</f>
        <v>0.0059</v>
      </c>
      <c r="F759" s="6">
        <v>225.62</v>
      </c>
      <c r="G759" s="6">
        <v>225.61</v>
      </c>
      <c r="H759" s="6">
        <v>226.75</v>
      </c>
      <c r="I759" s="9">
        <v>7.8744433E7</v>
      </c>
      <c r="J759" s="6">
        <v>1.781172247219E10</v>
      </c>
    </row>
    <row r="760">
      <c r="A760" s="4" t="s">
        <v>10</v>
      </c>
      <c r="B760" s="5">
        <v>42740.0</v>
      </c>
      <c r="C760" s="6">
        <v>226.4</v>
      </c>
      <c r="D760" s="11">
        <v>-0.18</v>
      </c>
      <c r="E760" s="12">
        <v>-8.0E-4</v>
      </c>
      <c r="F760" s="6">
        <v>226.27</v>
      </c>
      <c r="G760" s="6">
        <v>225.48</v>
      </c>
      <c r="H760" s="6">
        <v>226.58</v>
      </c>
      <c r="I760" s="9">
        <v>7.8379012E7</v>
      </c>
      <c r="J760" s="6">
        <v>1.773338448045E10</v>
      </c>
    </row>
    <row r="761">
      <c r="A761" s="4" t="s">
        <v>10</v>
      </c>
      <c r="B761" s="5">
        <v>42741.0</v>
      </c>
      <c r="C761" s="6">
        <v>227.21</v>
      </c>
      <c r="D761" s="13">
        <f>+0.81</f>
        <v>0.81</v>
      </c>
      <c r="E761" s="14">
        <f>+0.36%</f>
        <v>0.0036</v>
      </c>
      <c r="F761" s="6">
        <v>226.53</v>
      </c>
      <c r="G761" s="6">
        <v>225.9</v>
      </c>
      <c r="H761" s="6">
        <v>227.75</v>
      </c>
      <c r="I761" s="9">
        <v>7.1559922E7</v>
      </c>
      <c r="J761" s="6">
        <v>1.625219478247E10</v>
      </c>
    </row>
    <row r="762">
      <c r="A762" s="4" t="s">
        <v>10</v>
      </c>
      <c r="B762" s="5">
        <v>42744.0</v>
      </c>
      <c r="C762" s="6">
        <v>226.46</v>
      </c>
      <c r="D762" s="11">
        <v>-0.75</v>
      </c>
      <c r="E762" s="12">
        <v>-0.0033</v>
      </c>
      <c r="F762" s="6">
        <v>226.91</v>
      </c>
      <c r="G762" s="6">
        <v>226.42</v>
      </c>
      <c r="H762" s="6">
        <v>227.07</v>
      </c>
      <c r="I762" s="9">
        <v>4.6939676E7</v>
      </c>
      <c r="J762" s="6">
        <v>1.064272500991E10</v>
      </c>
    </row>
    <row r="763">
      <c r="A763" s="4" t="s">
        <v>10</v>
      </c>
      <c r="B763" s="5">
        <v>42745.0</v>
      </c>
      <c r="C763" s="6">
        <v>226.46</v>
      </c>
      <c r="D763" s="11">
        <v>0.0</v>
      </c>
      <c r="E763" s="12">
        <v>0.0</v>
      </c>
      <c r="F763" s="6">
        <v>226.48</v>
      </c>
      <c r="G763" s="6">
        <v>226.01</v>
      </c>
      <c r="H763" s="6">
        <v>227.45</v>
      </c>
      <c r="I763" s="9">
        <v>6.3771939E7</v>
      </c>
      <c r="J763" s="6">
        <v>1.445619819254E10</v>
      </c>
    </row>
    <row r="764">
      <c r="A764" s="4" t="s">
        <v>10</v>
      </c>
      <c r="B764" s="5">
        <v>42746.0</v>
      </c>
      <c r="C764" s="6">
        <v>227.1</v>
      </c>
      <c r="D764" s="13">
        <f>+0.64</f>
        <v>0.64</v>
      </c>
      <c r="E764" s="14">
        <f>+0.28%</f>
        <v>0.0028</v>
      </c>
      <c r="F764" s="6">
        <v>226.36</v>
      </c>
      <c r="G764" s="6">
        <v>225.59</v>
      </c>
      <c r="H764" s="6">
        <v>227.1</v>
      </c>
      <c r="I764" s="9">
        <v>7.4650016E7</v>
      </c>
      <c r="J764" s="6">
        <v>1.69097700661E10</v>
      </c>
    </row>
    <row r="765">
      <c r="A765" s="4" t="s">
        <v>10</v>
      </c>
      <c r="B765" s="5">
        <v>42747.0</v>
      </c>
      <c r="C765" s="6">
        <v>226.53</v>
      </c>
      <c r="D765" s="11">
        <v>-0.57</v>
      </c>
      <c r="E765" s="12">
        <v>-0.0025</v>
      </c>
      <c r="F765" s="6">
        <v>226.5</v>
      </c>
      <c r="G765" s="6">
        <v>224.96</v>
      </c>
      <c r="H765" s="6">
        <v>226.75</v>
      </c>
      <c r="I765" s="9">
        <v>7.2113181E7</v>
      </c>
      <c r="J765" s="6">
        <v>1.630079079413E10</v>
      </c>
    </row>
    <row r="766">
      <c r="A766" s="4" t="s">
        <v>10</v>
      </c>
      <c r="B766" s="5">
        <v>42748.0</v>
      </c>
      <c r="C766" s="6">
        <v>227.05</v>
      </c>
      <c r="D766" s="13">
        <f>+0.52</f>
        <v>0.52</v>
      </c>
      <c r="E766" s="14">
        <f>+0.23%</f>
        <v>0.0023</v>
      </c>
      <c r="F766" s="6">
        <v>226.73</v>
      </c>
      <c r="G766" s="6">
        <v>226.69</v>
      </c>
      <c r="H766" s="6">
        <v>227.4</v>
      </c>
      <c r="I766" s="9">
        <v>6.2717865E7</v>
      </c>
      <c r="J766" s="6">
        <v>1.423950732269E10</v>
      </c>
    </row>
    <row r="767">
      <c r="A767" s="4" t="s">
        <v>10</v>
      </c>
      <c r="B767" s="5">
        <v>42752.0</v>
      </c>
      <c r="C767" s="6">
        <v>226.25</v>
      </c>
      <c r="D767" s="11">
        <v>-0.8</v>
      </c>
      <c r="E767" s="12">
        <v>-0.0035</v>
      </c>
      <c r="F767" s="6">
        <v>226.31</v>
      </c>
      <c r="G767" s="6">
        <v>225.8</v>
      </c>
      <c r="H767" s="6">
        <v>226.78</v>
      </c>
      <c r="I767" s="9">
        <v>6.1240814E7</v>
      </c>
      <c r="J767" s="6">
        <v>1.386299940693E10</v>
      </c>
    </row>
    <row r="768">
      <c r="A768" s="4" t="s">
        <v>10</v>
      </c>
      <c r="B768" s="5">
        <v>42753.0</v>
      </c>
      <c r="C768" s="6">
        <v>226.75</v>
      </c>
      <c r="D768" s="13">
        <f>+0.5</f>
        <v>0.5</v>
      </c>
      <c r="E768" s="14">
        <f>+0.22%</f>
        <v>0.0022</v>
      </c>
      <c r="F768" s="6">
        <v>226.54</v>
      </c>
      <c r="G768" s="6">
        <v>225.9</v>
      </c>
      <c r="H768" s="6">
        <v>226.8</v>
      </c>
      <c r="I768" s="9">
        <v>5.4793302E7</v>
      </c>
      <c r="J768" s="6">
        <v>1.241038812586E10</v>
      </c>
    </row>
    <row r="769">
      <c r="A769" s="4" t="s">
        <v>10</v>
      </c>
      <c r="B769" s="5">
        <v>42754.0</v>
      </c>
      <c r="C769" s="6">
        <v>225.91</v>
      </c>
      <c r="D769" s="11">
        <v>-0.84</v>
      </c>
      <c r="E769" s="12">
        <v>-0.0037</v>
      </c>
      <c r="F769" s="6">
        <v>226.84</v>
      </c>
      <c r="G769" s="6">
        <v>225.41</v>
      </c>
      <c r="H769" s="6">
        <v>227.0</v>
      </c>
      <c r="I769" s="9">
        <v>6.6608787E7</v>
      </c>
      <c r="J769" s="6">
        <v>1.507020804672E10</v>
      </c>
    </row>
    <row r="770">
      <c r="A770" s="4" t="s">
        <v>10</v>
      </c>
      <c r="B770" s="5">
        <v>42755.0</v>
      </c>
      <c r="C770" s="6">
        <v>226.74</v>
      </c>
      <c r="D770" s="13">
        <f>+0.83</f>
        <v>0.83</v>
      </c>
      <c r="E770" s="14">
        <f>+0.37%</f>
        <v>0.0037</v>
      </c>
      <c r="F770" s="6">
        <v>226.7</v>
      </c>
      <c r="G770" s="6">
        <v>225.97</v>
      </c>
      <c r="H770" s="6">
        <v>227.31</v>
      </c>
      <c r="I770" s="9">
        <v>1.29168623E8</v>
      </c>
      <c r="J770" s="6">
        <v>2.927343529249E10</v>
      </c>
    </row>
    <row r="771">
      <c r="A771" s="4" t="s">
        <v>10</v>
      </c>
      <c r="B771" s="5">
        <v>42758.0</v>
      </c>
      <c r="C771" s="6">
        <v>226.15</v>
      </c>
      <c r="D771" s="11">
        <v>-0.59</v>
      </c>
      <c r="E771" s="12">
        <v>-0.0026</v>
      </c>
      <c r="F771" s="6">
        <v>226.35</v>
      </c>
      <c r="G771" s="6">
        <v>225.27</v>
      </c>
      <c r="H771" s="6">
        <v>226.81</v>
      </c>
      <c r="I771" s="9">
        <v>7.5061645E7</v>
      </c>
      <c r="J771" s="6">
        <v>1.69715155391E10</v>
      </c>
    </row>
    <row r="772">
      <c r="A772" s="4" t="s">
        <v>10</v>
      </c>
      <c r="B772" s="5">
        <v>42759.0</v>
      </c>
      <c r="C772" s="6">
        <v>227.6</v>
      </c>
      <c r="D772" s="13">
        <f>+1.45</f>
        <v>1.45</v>
      </c>
      <c r="E772" s="14">
        <f>+0.64%</f>
        <v>0.0064</v>
      </c>
      <c r="F772" s="6">
        <v>226.4</v>
      </c>
      <c r="G772" s="6">
        <v>226.27</v>
      </c>
      <c r="H772" s="6">
        <v>228.08</v>
      </c>
      <c r="I772" s="9">
        <v>9.5555295E7</v>
      </c>
      <c r="J772" s="6">
        <v>2.170585023065E10</v>
      </c>
    </row>
    <row r="773">
      <c r="A773" s="4" t="s">
        <v>10</v>
      </c>
      <c r="B773" s="5">
        <v>42760.0</v>
      </c>
      <c r="C773" s="6">
        <v>229.57</v>
      </c>
      <c r="D773" s="13">
        <f>+1.97</f>
        <v>1.97</v>
      </c>
      <c r="E773" s="14">
        <f>+0.87%</f>
        <v>0.0087</v>
      </c>
      <c r="F773" s="6">
        <v>228.7</v>
      </c>
      <c r="G773" s="6">
        <v>228.51</v>
      </c>
      <c r="H773" s="6">
        <v>229.57</v>
      </c>
      <c r="I773" s="9">
        <v>8.4437712E7</v>
      </c>
      <c r="J773" s="6">
        <v>1.934446985287E10</v>
      </c>
    </row>
    <row r="774">
      <c r="A774" s="4" t="s">
        <v>10</v>
      </c>
      <c r="B774" s="5">
        <v>42761.0</v>
      </c>
      <c r="C774" s="6">
        <v>229.33</v>
      </c>
      <c r="D774" s="11">
        <v>-0.24</v>
      </c>
      <c r="E774" s="12">
        <v>-0.001</v>
      </c>
      <c r="F774" s="6">
        <v>229.4</v>
      </c>
      <c r="G774" s="6">
        <v>229.01</v>
      </c>
      <c r="H774" s="6">
        <v>229.71</v>
      </c>
      <c r="I774" s="9">
        <v>5.9970719E7</v>
      </c>
      <c r="J774" s="6">
        <v>1.375467896289E10</v>
      </c>
    </row>
    <row r="775">
      <c r="A775" s="4" t="s">
        <v>10</v>
      </c>
      <c r="B775" s="5">
        <v>42762.0</v>
      </c>
      <c r="C775" s="6">
        <v>228.97</v>
      </c>
      <c r="D775" s="11">
        <v>-0.36</v>
      </c>
      <c r="E775" s="12">
        <v>-0.0016</v>
      </c>
      <c r="F775" s="6">
        <v>229.42</v>
      </c>
      <c r="G775" s="6">
        <v>228.76</v>
      </c>
      <c r="H775" s="6">
        <v>229.59</v>
      </c>
      <c r="I775" s="9">
        <v>5.9711118E7</v>
      </c>
      <c r="J775" s="6">
        <v>1.367603452386E10</v>
      </c>
    </row>
    <row r="776">
      <c r="A776" s="4" t="s">
        <v>10</v>
      </c>
      <c r="B776" s="5">
        <v>42765.0</v>
      </c>
      <c r="C776" s="6">
        <v>227.55</v>
      </c>
      <c r="D776" s="11">
        <v>-1.42</v>
      </c>
      <c r="E776" s="12">
        <v>-0.0062</v>
      </c>
      <c r="F776" s="6">
        <v>228.17</v>
      </c>
      <c r="G776" s="6">
        <v>226.41</v>
      </c>
      <c r="H776" s="6">
        <v>228.2</v>
      </c>
      <c r="I776" s="9">
        <v>7.9737252E7</v>
      </c>
      <c r="J776" s="6">
        <v>1.812448674099E10</v>
      </c>
    </row>
    <row r="777">
      <c r="A777" s="4" t="s">
        <v>10</v>
      </c>
      <c r="B777" s="5">
        <v>42766.0</v>
      </c>
      <c r="C777" s="6">
        <v>227.53</v>
      </c>
      <c r="D777" s="11">
        <v>-0.02</v>
      </c>
      <c r="E777" s="12">
        <v>-1.0E-4</v>
      </c>
      <c r="F777" s="6">
        <v>226.98</v>
      </c>
      <c r="G777" s="6">
        <v>226.32</v>
      </c>
      <c r="H777" s="6">
        <v>227.6</v>
      </c>
      <c r="I777" s="9">
        <v>7.5880805E7</v>
      </c>
      <c r="J777" s="6">
        <v>1.722904448202E10</v>
      </c>
    </row>
    <row r="778">
      <c r="A778" s="4" t="s">
        <v>10</v>
      </c>
      <c r="B778" s="5">
        <v>42767.0</v>
      </c>
      <c r="C778" s="6">
        <v>227.62</v>
      </c>
      <c r="D778" s="13">
        <f>+0.09</f>
        <v>0.09</v>
      </c>
      <c r="E778" s="14">
        <f>+0.04%</f>
        <v>0.0004</v>
      </c>
      <c r="F778" s="6">
        <v>228.26</v>
      </c>
      <c r="G778" s="6">
        <v>226.94</v>
      </c>
      <c r="H778" s="6">
        <v>228.59</v>
      </c>
      <c r="I778" s="9">
        <v>7.9117651E7</v>
      </c>
      <c r="J778" s="6">
        <v>1.800938445969E10</v>
      </c>
    </row>
    <row r="779">
      <c r="A779" s="4" t="s">
        <v>10</v>
      </c>
      <c r="B779" s="5">
        <v>42768.0</v>
      </c>
      <c r="C779" s="6">
        <v>227.77</v>
      </c>
      <c r="D779" s="13">
        <f>+0.15</f>
        <v>0.15</v>
      </c>
      <c r="E779" s="14">
        <f>+0.07%</f>
        <v>0.0007</v>
      </c>
      <c r="F779" s="6">
        <v>227.2</v>
      </c>
      <c r="G779" s="6">
        <v>226.82</v>
      </c>
      <c r="H779" s="6">
        <v>228.1</v>
      </c>
      <c r="I779" s="9">
        <v>6.965756E7</v>
      </c>
      <c r="J779" s="6">
        <v>1.584955996466E10</v>
      </c>
    </row>
    <row r="780">
      <c r="A780" s="4" t="s">
        <v>10</v>
      </c>
      <c r="B780" s="5">
        <v>42769.0</v>
      </c>
      <c r="C780" s="6">
        <v>229.34</v>
      </c>
      <c r="D780" s="13">
        <f>+1.57</f>
        <v>1.57</v>
      </c>
      <c r="E780" s="14">
        <f>+0.69%</f>
        <v>0.0069</v>
      </c>
      <c r="F780" s="6">
        <v>228.82</v>
      </c>
      <c r="G780" s="6">
        <v>228.46</v>
      </c>
      <c r="H780" s="6">
        <v>229.55</v>
      </c>
      <c r="I780" s="9">
        <v>8.0563168E7</v>
      </c>
      <c r="J780" s="6">
        <v>1.845315235417E10</v>
      </c>
    </row>
    <row r="781">
      <c r="A781" s="4" t="s">
        <v>10</v>
      </c>
      <c r="B781" s="5">
        <v>42772.0</v>
      </c>
      <c r="C781" s="6">
        <v>228.93</v>
      </c>
      <c r="D781" s="11">
        <v>-0.41</v>
      </c>
      <c r="E781" s="12">
        <v>-0.0018</v>
      </c>
      <c r="F781" s="6">
        <v>228.87</v>
      </c>
      <c r="G781" s="6">
        <v>228.54</v>
      </c>
      <c r="H781" s="6">
        <v>229.33</v>
      </c>
      <c r="I781" s="9">
        <v>5.7790108E7</v>
      </c>
      <c r="J781" s="6">
        <v>1.323338027405E10</v>
      </c>
    </row>
    <row r="782">
      <c r="A782" s="4" t="s">
        <v>10</v>
      </c>
      <c r="B782" s="5">
        <v>42773.0</v>
      </c>
      <c r="C782" s="6">
        <v>228.94</v>
      </c>
      <c r="D782" s="13">
        <f>+0.01</f>
        <v>0.01</v>
      </c>
      <c r="E782" s="14">
        <f>+0%</f>
        <v>0</v>
      </c>
      <c r="F782" s="6">
        <v>229.38</v>
      </c>
      <c r="G782" s="6">
        <v>228.72</v>
      </c>
      <c r="H782" s="6">
        <v>229.66</v>
      </c>
      <c r="I782" s="9">
        <v>5.7931151E7</v>
      </c>
      <c r="J782" s="6">
        <v>1.327280110607E10</v>
      </c>
    </row>
    <row r="783">
      <c r="A783" s="4" t="s">
        <v>10</v>
      </c>
      <c r="B783" s="5">
        <v>42774.0</v>
      </c>
      <c r="C783" s="6">
        <v>229.24</v>
      </c>
      <c r="D783" s="13">
        <f>+0.3</f>
        <v>0.3</v>
      </c>
      <c r="E783" s="14">
        <f>+0.13%</f>
        <v>0.0013</v>
      </c>
      <c r="F783" s="6">
        <v>228.61</v>
      </c>
      <c r="G783" s="6">
        <v>228.31</v>
      </c>
      <c r="H783" s="6">
        <v>229.39</v>
      </c>
      <c r="I783" s="9">
        <v>5.1566218E7</v>
      </c>
      <c r="J783" s="6">
        <v>1.180939592079E10</v>
      </c>
    </row>
    <row r="784">
      <c r="A784" s="4" t="s">
        <v>10</v>
      </c>
      <c r="B784" s="5">
        <v>42775.0</v>
      </c>
      <c r="C784" s="6">
        <v>230.6</v>
      </c>
      <c r="D784" s="13">
        <f>+1.36</f>
        <v>1.36</v>
      </c>
      <c r="E784" s="14">
        <f>+0.59%</f>
        <v>0.0059</v>
      </c>
      <c r="F784" s="6">
        <v>229.56</v>
      </c>
      <c r="G784" s="6">
        <v>229.52</v>
      </c>
      <c r="H784" s="6">
        <v>230.95</v>
      </c>
      <c r="I784" s="9">
        <v>6.5955245E7</v>
      </c>
      <c r="J784" s="6">
        <v>1.5193854595E10</v>
      </c>
    </row>
    <row r="785">
      <c r="A785" s="4" t="s">
        <v>10</v>
      </c>
      <c r="B785" s="5">
        <v>42776.0</v>
      </c>
      <c r="C785" s="6">
        <v>231.51</v>
      </c>
      <c r="D785" s="13">
        <f>+0.91</f>
        <v>0.91</v>
      </c>
      <c r="E785" s="14">
        <f>+0.39%</f>
        <v>0.0039</v>
      </c>
      <c r="F785" s="6">
        <v>231.0</v>
      </c>
      <c r="G785" s="6">
        <v>230.62</v>
      </c>
      <c r="H785" s="6">
        <v>231.77</v>
      </c>
      <c r="I785" s="9">
        <v>6.6015892E7</v>
      </c>
      <c r="J785" s="6">
        <v>1.526906030875E10</v>
      </c>
    </row>
    <row r="786">
      <c r="A786" s="4" t="s">
        <v>10</v>
      </c>
      <c r="B786" s="5">
        <v>42779.0</v>
      </c>
      <c r="C786" s="6">
        <v>232.77</v>
      </c>
      <c r="D786" s="13">
        <f>+1.26</f>
        <v>1.26</v>
      </c>
      <c r="E786" s="14">
        <f>+0.54%</f>
        <v>0.0054</v>
      </c>
      <c r="F786" s="6">
        <v>232.08</v>
      </c>
      <c r="G786" s="6">
        <v>232.05</v>
      </c>
      <c r="H786" s="6">
        <v>233.07</v>
      </c>
      <c r="I786" s="9">
        <v>5.518205E7</v>
      </c>
      <c r="J786" s="6">
        <v>1.283495690726E10</v>
      </c>
    </row>
    <row r="787">
      <c r="A787" s="4" t="s">
        <v>10</v>
      </c>
      <c r="B787" s="5">
        <v>42780.0</v>
      </c>
      <c r="C787" s="6">
        <v>233.7</v>
      </c>
      <c r="D787" s="13">
        <f>+0.93</f>
        <v>0.93</v>
      </c>
      <c r="E787" s="14">
        <f>+0.4%</f>
        <v>0.004</v>
      </c>
      <c r="F787" s="6">
        <v>232.56</v>
      </c>
      <c r="G787" s="6">
        <v>232.16</v>
      </c>
      <c r="H787" s="6">
        <v>233.71</v>
      </c>
      <c r="I787" s="9">
        <v>7.1108983E7</v>
      </c>
      <c r="J787" s="6">
        <v>1.657303462094E10</v>
      </c>
    </row>
    <row r="788">
      <c r="A788" s="4" t="s">
        <v>10</v>
      </c>
      <c r="B788" s="5">
        <v>42781.0</v>
      </c>
      <c r="C788" s="6">
        <v>234.92</v>
      </c>
      <c r="D788" s="13">
        <f>+1.22</f>
        <v>1.22</v>
      </c>
      <c r="E788" s="14">
        <f>+0.52%</f>
        <v>0.0052</v>
      </c>
      <c r="F788" s="6">
        <v>233.45</v>
      </c>
      <c r="G788" s="6">
        <v>233.39</v>
      </c>
      <c r="H788" s="6">
        <v>235.14</v>
      </c>
      <c r="I788" s="9">
        <v>8.6785826E7</v>
      </c>
      <c r="J788" s="6">
        <v>2.034305572237E10</v>
      </c>
    </row>
    <row r="789">
      <c r="A789" s="4" t="s">
        <v>10</v>
      </c>
      <c r="B789" s="5">
        <v>42782.0</v>
      </c>
      <c r="C789" s="6">
        <v>234.72</v>
      </c>
      <c r="D789" s="11">
        <v>-0.2</v>
      </c>
      <c r="E789" s="12">
        <v>-9.0E-4</v>
      </c>
      <c r="F789" s="6">
        <v>234.96</v>
      </c>
      <c r="G789" s="6">
        <v>233.85</v>
      </c>
      <c r="H789" s="6">
        <v>235.16</v>
      </c>
      <c r="I789" s="9">
        <v>8.4722437E7</v>
      </c>
      <c r="J789" s="6">
        <v>1.986961221011E10</v>
      </c>
    </row>
    <row r="790">
      <c r="A790" s="4" t="s">
        <v>10</v>
      </c>
      <c r="B790" s="5">
        <v>42783.0</v>
      </c>
      <c r="C790" s="6">
        <v>235.09</v>
      </c>
      <c r="D790" s="13">
        <f>+0.37</f>
        <v>0.37</v>
      </c>
      <c r="E790" s="14">
        <f>+0.16%</f>
        <v>0.0016</v>
      </c>
      <c r="F790" s="6">
        <v>233.95</v>
      </c>
      <c r="G790" s="6">
        <v>233.93</v>
      </c>
      <c r="H790" s="6">
        <v>235.09</v>
      </c>
      <c r="I790" s="9">
        <v>7.7204104E7</v>
      </c>
      <c r="J790" s="6">
        <v>1.810964086763E10</v>
      </c>
    </row>
    <row r="791">
      <c r="A791" s="4" t="s">
        <v>10</v>
      </c>
      <c r="B791" s="5">
        <v>42787.0</v>
      </c>
      <c r="C791" s="6">
        <v>236.49</v>
      </c>
      <c r="D791" s="13">
        <f>+1.4</f>
        <v>1.4</v>
      </c>
      <c r="E791" s="14">
        <f>+0.6%</f>
        <v>0.006</v>
      </c>
      <c r="F791" s="6">
        <v>235.52</v>
      </c>
      <c r="G791" s="6">
        <v>235.51</v>
      </c>
      <c r="H791" s="6">
        <v>236.69</v>
      </c>
      <c r="I791" s="9">
        <v>8.8946051E7</v>
      </c>
      <c r="J791" s="6">
        <v>2.101356342098E10</v>
      </c>
    </row>
    <row r="792">
      <c r="A792" s="4" t="s">
        <v>10</v>
      </c>
      <c r="B792" s="5">
        <v>42788.0</v>
      </c>
      <c r="C792" s="6">
        <v>236.28</v>
      </c>
      <c r="D792" s="11">
        <v>-0.21</v>
      </c>
      <c r="E792" s="12">
        <v>-9.0E-4</v>
      </c>
      <c r="F792" s="6">
        <v>236.02</v>
      </c>
      <c r="G792" s="6">
        <v>235.83</v>
      </c>
      <c r="H792" s="6">
        <v>236.54</v>
      </c>
      <c r="I792" s="9">
        <v>6.2115185E7</v>
      </c>
      <c r="J792" s="6">
        <v>1.467657891503E10</v>
      </c>
    </row>
    <row r="793">
      <c r="A793" s="4" t="s">
        <v>10</v>
      </c>
      <c r="B793" s="5">
        <v>42789.0</v>
      </c>
      <c r="C793" s="6">
        <v>236.44</v>
      </c>
      <c r="D793" s="13">
        <f>+0.16</f>
        <v>0.16</v>
      </c>
      <c r="E793" s="14">
        <f>+0.07%</f>
        <v>0.0007</v>
      </c>
      <c r="F793" s="6">
        <v>236.88</v>
      </c>
      <c r="G793" s="6">
        <v>235.56</v>
      </c>
      <c r="H793" s="6">
        <v>236.9</v>
      </c>
      <c r="I793" s="9">
        <v>7.4615902E7</v>
      </c>
      <c r="J793" s="6">
        <v>1.763403858548E10</v>
      </c>
    </row>
    <row r="794">
      <c r="A794" s="4" t="s">
        <v>10</v>
      </c>
      <c r="B794" s="5">
        <v>42790.0</v>
      </c>
      <c r="C794" s="6">
        <v>236.74</v>
      </c>
      <c r="D794" s="13">
        <f>+0.3</f>
        <v>0.3</v>
      </c>
      <c r="E794" s="14">
        <f>+0.13%</f>
        <v>0.0013</v>
      </c>
      <c r="F794" s="6">
        <v>235.46</v>
      </c>
      <c r="G794" s="6">
        <v>235.41</v>
      </c>
      <c r="H794" s="6">
        <v>236.79</v>
      </c>
      <c r="I794" s="9">
        <v>8.2381612E7</v>
      </c>
      <c r="J794" s="6">
        <v>1.945966320136E10</v>
      </c>
    </row>
    <row r="795">
      <c r="A795" s="4" t="s">
        <v>10</v>
      </c>
      <c r="B795" s="5">
        <v>42793.0</v>
      </c>
      <c r="C795" s="6">
        <v>237.11</v>
      </c>
      <c r="D795" s="13">
        <f>+0.37</f>
        <v>0.37</v>
      </c>
      <c r="E795" s="14">
        <f>+0.16%</f>
        <v>0.0016</v>
      </c>
      <c r="F795" s="6">
        <v>236.64</v>
      </c>
      <c r="G795" s="6">
        <v>236.35</v>
      </c>
      <c r="H795" s="6">
        <v>237.31</v>
      </c>
      <c r="I795" s="9">
        <v>5.651544E7</v>
      </c>
      <c r="J795" s="6">
        <v>1.339070289894E10</v>
      </c>
    </row>
    <row r="796">
      <c r="A796" s="4" t="s">
        <v>10</v>
      </c>
      <c r="B796" s="5">
        <v>42794.0</v>
      </c>
      <c r="C796" s="6">
        <v>236.47</v>
      </c>
      <c r="D796" s="11">
        <v>-0.64</v>
      </c>
      <c r="E796" s="12">
        <v>-0.0027</v>
      </c>
      <c r="F796" s="6">
        <v>236.67</v>
      </c>
      <c r="G796" s="6">
        <v>236.02</v>
      </c>
      <c r="H796" s="6">
        <v>236.95</v>
      </c>
      <c r="I796" s="9">
        <v>9.6961938E7</v>
      </c>
      <c r="J796" s="6">
        <v>2.293883830946E10</v>
      </c>
    </row>
    <row r="797">
      <c r="A797" s="4" t="s">
        <v>10</v>
      </c>
      <c r="B797" s="5">
        <v>42795.0</v>
      </c>
      <c r="C797" s="6">
        <v>239.78</v>
      </c>
      <c r="D797" s="13">
        <f>+3.31</f>
        <v>3.31</v>
      </c>
      <c r="E797" s="14">
        <f>+1.4%</f>
        <v>0.014</v>
      </c>
      <c r="F797" s="6">
        <v>238.39</v>
      </c>
      <c r="G797" s="6">
        <v>238.37</v>
      </c>
      <c r="H797" s="6">
        <v>240.32</v>
      </c>
      <c r="I797" s="9">
        <v>1.4915817E8</v>
      </c>
      <c r="J797" s="6">
        <v>3.563587302776E10</v>
      </c>
    </row>
    <row r="798">
      <c r="A798" s="4" t="s">
        <v>10</v>
      </c>
      <c r="B798" s="5">
        <v>42796.0</v>
      </c>
      <c r="C798" s="6">
        <v>238.27</v>
      </c>
      <c r="D798" s="11">
        <v>-1.51</v>
      </c>
      <c r="E798" s="12">
        <v>-0.0063</v>
      </c>
      <c r="F798" s="6">
        <v>239.56</v>
      </c>
      <c r="G798" s="6">
        <v>238.21</v>
      </c>
      <c r="H798" s="6">
        <v>239.57</v>
      </c>
      <c r="I798" s="9">
        <v>7.0245978E7</v>
      </c>
      <c r="J798" s="6">
        <v>1.677542487264E10</v>
      </c>
    </row>
    <row r="799">
      <c r="A799" s="4" t="s">
        <v>10</v>
      </c>
      <c r="B799" s="5">
        <v>42797.0</v>
      </c>
      <c r="C799" s="6">
        <v>238.42</v>
      </c>
      <c r="D799" s="13">
        <f>+0.15</f>
        <v>0.15</v>
      </c>
      <c r="E799" s="14">
        <f>+0.06%</f>
        <v>0.0006</v>
      </c>
      <c r="F799" s="6">
        <v>238.17</v>
      </c>
      <c r="G799" s="6">
        <v>237.73</v>
      </c>
      <c r="H799" s="6">
        <v>238.61</v>
      </c>
      <c r="I799" s="9">
        <v>8.19743E7</v>
      </c>
      <c r="J799" s="6">
        <v>1.953467861812E10</v>
      </c>
    </row>
    <row r="800">
      <c r="A800" s="4" t="s">
        <v>10</v>
      </c>
      <c r="B800" s="5">
        <v>42800.0</v>
      </c>
      <c r="C800" s="6">
        <v>237.71</v>
      </c>
      <c r="D800" s="11">
        <v>-0.71</v>
      </c>
      <c r="E800" s="12">
        <v>-0.003</v>
      </c>
      <c r="F800" s="6">
        <v>237.5</v>
      </c>
      <c r="G800" s="6">
        <v>237.01</v>
      </c>
      <c r="H800" s="6">
        <v>238.12</v>
      </c>
      <c r="I800" s="9">
        <v>5.5391533E7</v>
      </c>
      <c r="J800" s="6">
        <v>1.316630574714E10</v>
      </c>
    </row>
    <row r="801">
      <c r="A801" s="4" t="s">
        <v>10</v>
      </c>
      <c r="B801" s="5">
        <v>42801.0</v>
      </c>
      <c r="C801" s="6">
        <v>237.0</v>
      </c>
      <c r="D801" s="11">
        <v>-0.71</v>
      </c>
      <c r="E801" s="12">
        <v>-0.003</v>
      </c>
      <c r="F801" s="6">
        <v>237.36</v>
      </c>
      <c r="G801" s="6">
        <v>236.76</v>
      </c>
      <c r="H801" s="6">
        <v>237.77</v>
      </c>
      <c r="I801" s="9">
        <v>6.5103737E7</v>
      </c>
      <c r="J801" s="6">
        <v>1.544496186484E10</v>
      </c>
    </row>
    <row r="802">
      <c r="A802" s="4" t="s">
        <v>10</v>
      </c>
      <c r="B802" s="5">
        <v>42802.0</v>
      </c>
      <c r="C802" s="6">
        <v>236.56</v>
      </c>
      <c r="D802" s="11">
        <v>-0.44</v>
      </c>
      <c r="E802" s="12">
        <v>-0.0019</v>
      </c>
      <c r="F802" s="6">
        <v>237.34</v>
      </c>
      <c r="G802" s="6">
        <v>236.4</v>
      </c>
      <c r="H802" s="6">
        <v>237.64</v>
      </c>
      <c r="I802" s="9">
        <v>7.8168795E7</v>
      </c>
      <c r="J802" s="6">
        <v>1.852231944253E10</v>
      </c>
    </row>
    <row r="803">
      <c r="A803" s="4" t="s">
        <v>10</v>
      </c>
      <c r="B803" s="5">
        <v>42803.0</v>
      </c>
      <c r="C803" s="6">
        <v>236.86</v>
      </c>
      <c r="D803" s="13">
        <f>+0.3</f>
        <v>0.3</v>
      </c>
      <c r="E803" s="14">
        <f>+0.13%</f>
        <v>0.0013</v>
      </c>
      <c r="F803" s="6">
        <v>236.7</v>
      </c>
      <c r="G803" s="6">
        <v>235.74</v>
      </c>
      <c r="H803" s="6">
        <v>237.24</v>
      </c>
      <c r="I803" s="9">
        <v>9.0683918E7</v>
      </c>
      <c r="J803" s="6">
        <v>2.146386822974E10</v>
      </c>
    </row>
    <row r="804">
      <c r="A804" s="4" t="s">
        <v>10</v>
      </c>
      <c r="B804" s="5">
        <v>42804.0</v>
      </c>
      <c r="C804" s="6">
        <v>237.69</v>
      </c>
      <c r="D804" s="13">
        <f>+0.83</f>
        <v>0.83</v>
      </c>
      <c r="E804" s="14">
        <f>+0.35%</f>
        <v>0.0035</v>
      </c>
      <c r="F804" s="6">
        <v>237.97</v>
      </c>
      <c r="G804" s="6">
        <v>236.59</v>
      </c>
      <c r="H804" s="6">
        <v>238.02</v>
      </c>
      <c r="I804" s="9">
        <v>8.1991652E7</v>
      </c>
      <c r="J804" s="6">
        <v>1.946697743236E10</v>
      </c>
    </row>
    <row r="805">
      <c r="A805" s="4" t="s">
        <v>10</v>
      </c>
      <c r="B805" s="5">
        <v>42807.0</v>
      </c>
      <c r="C805" s="6">
        <v>237.81</v>
      </c>
      <c r="D805" s="13">
        <f>+0.12</f>
        <v>0.12</v>
      </c>
      <c r="E805" s="14">
        <f>+0.05%</f>
        <v>0.0005</v>
      </c>
      <c r="F805" s="6">
        <v>237.62</v>
      </c>
      <c r="G805" s="6">
        <v>237.24</v>
      </c>
      <c r="H805" s="6">
        <v>237.86</v>
      </c>
      <c r="I805" s="9">
        <v>5.7256824E7</v>
      </c>
      <c r="J805" s="6">
        <v>1.360439502625E10</v>
      </c>
    </row>
    <row r="806">
      <c r="A806" s="4" t="s">
        <v>10</v>
      </c>
      <c r="B806" s="5">
        <v>42808.0</v>
      </c>
      <c r="C806" s="6">
        <v>236.9</v>
      </c>
      <c r="D806" s="11">
        <v>-0.91</v>
      </c>
      <c r="E806" s="12">
        <v>-0.0038</v>
      </c>
      <c r="F806" s="6">
        <v>237.18</v>
      </c>
      <c r="G806" s="6">
        <v>236.19</v>
      </c>
      <c r="H806" s="6">
        <v>237.24</v>
      </c>
      <c r="I806" s="9">
        <v>5.9880778E7</v>
      </c>
      <c r="J806" s="6">
        <v>1.41817955841E10</v>
      </c>
    </row>
    <row r="807">
      <c r="A807" s="4" t="s">
        <v>10</v>
      </c>
      <c r="B807" s="5">
        <v>42809.0</v>
      </c>
      <c r="C807" s="6">
        <v>238.95</v>
      </c>
      <c r="D807" s="13">
        <f>+2.05</f>
        <v>2.05</v>
      </c>
      <c r="E807" s="14">
        <f>+0.87%</f>
        <v>0.0087</v>
      </c>
      <c r="F807" s="6">
        <v>237.56</v>
      </c>
      <c r="G807" s="6">
        <v>237.29</v>
      </c>
      <c r="H807" s="6">
        <v>239.44</v>
      </c>
      <c r="I807" s="9">
        <v>9.608175E7</v>
      </c>
      <c r="J807" s="6">
        <v>2.290270470266E10</v>
      </c>
    </row>
    <row r="808">
      <c r="A808" s="4" t="s">
        <v>10</v>
      </c>
      <c r="B808" s="5">
        <v>42810.0</v>
      </c>
      <c r="C808" s="6">
        <v>238.48</v>
      </c>
      <c r="D808" s="11">
        <v>-0.47</v>
      </c>
      <c r="E808" s="12">
        <v>-0.002</v>
      </c>
      <c r="F808" s="6">
        <v>239.11</v>
      </c>
      <c r="G808" s="6">
        <v>238.1</v>
      </c>
      <c r="H808" s="6">
        <v>239.2</v>
      </c>
      <c r="I808" s="9">
        <v>7.8343951E7</v>
      </c>
      <c r="J808" s="6">
        <v>1.869601962278E10</v>
      </c>
    </row>
    <row r="809">
      <c r="A809" s="4" t="s">
        <v>10</v>
      </c>
      <c r="B809" s="5">
        <v>42811.0</v>
      </c>
      <c r="C809" s="6">
        <v>237.03</v>
      </c>
      <c r="D809" s="11">
        <v>-1.45</v>
      </c>
      <c r="E809" s="12">
        <v>-0.0061</v>
      </c>
      <c r="F809" s="6">
        <v>237.75</v>
      </c>
      <c r="G809" s="6">
        <v>237.03</v>
      </c>
      <c r="H809" s="6">
        <v>237.97</v>
      </c>
      <c r="I809" s="9">
        <v>8.9002111E7</v>
      </c>
      <c r="J809" s="6">
        <v>2.114033399178E10</v>
      </c>
    </row>
    <row r="810">
      <c r="A810" s="4" t="s">
        <v>10</v>
      </c>
      <c r="B810" s="5">
        <v>42814.0</v>
      </c>
      <c r="C810" s="6">
        <v>236.77</v>
      </c>
      <c r="D810" s="11">
        <v>-0.26</v>
      </c>
      <c r="E810" s="12">
        <v>-0.0011</v>
      </c>
      <c r="F810" s="6">
        <v>237.03</v>
      </c>
      <c r="G810" s="6">
        <v>236.32</v>
      </c>
      <c r="H810" s="6">
        <v>237.36</v>
      </c>
      <c r="I810" s="9">
        <v>5.2536979E7</v>
      </c>
      <c r="J810" s="6">
        <v>1.24465040808E10</v>
      </c>
    </row>
    <row r="811">
      <c r="A811" s="4" t="s">
        <v>10</v>
      </c>
      <c r="B811" s="5">
        <v>42815.0</v>
      </c>
      <c r="C811" s="6">
        <v>233.73</v>
      </c>
      <c r="D811" s="11">
        <v>-3.04</v>
      </c>
      <c r="E811" s="12">
        <v>-0.0128</v>
      </c>
      <c r="F811" s="6">
        <v>237.47</v>
      </c>
      <c r="G811" s="6">
        <v>233.58</v>
      </c>
      <c r="H811" s="6">
        <v>237.61</v>
      </c>
      <c r="I811" s="9">
        <v>1.31809275E8</v>
      </c>
      <c r="J811" s="6">
        <v>3.095591664739E10</v>
      </c>
    </row>
    <row r="812">
      <c r="A812" s="4" t="s">
        <v>10</v>
      </c>
      <c r="B812" s="5">
        <v>42816.0</v>
      </c>
      <c r="C812" s="6">
        <v>234.28</v>
      </c>
      <c r="D812" s="13">
        <f>+0.55</f>
        <v>0.55</v>
      </c>
      <c r="E812" s="14">
        <f>+0.24%</f>
        <v>0.0024</v>
      </c>
      <c r="F812" s="6">
        <v>233.77</v>
      </c>
      <c r="G812" s="6">
        <v>233.05</v>
      </c>
      <c r="H812" s="6">
        <v>234.61</v>
      </c>
      <c r="I812" s="9">
        <v>9.7569204E7</v>
      </c>
      <c r="J812" s="6">
        <v>2.282460865832E10</v>
      </c>
    </row>
    <row r="813">
      <c r="A813" s="4" t="s">
        <v>10</v>
      </c>
      <c r="B813" s="5">
        <v>42817.0</v>
      </c>
      <c r="C813" s="6">
        <v>234.03</v>
      </c>
      <c r="D813" s="11">
        <v>-0.25</v>
      </c>
      <c r="E813" s="12">
        <v>-0.0011</v>
      </c>
      <c r="F813" s="6">
        <v>234.0</v>
      </c>
      <c r="G813" s="6">
        <v>233.6</v>
      </c>
      <c r="H813" s="6">
        <v>235.34</v>
      </c>
      <c r="I813" s="9">
        <v>1.00410277E8</v>
      </c>
      <c r="J813" s="6">
        <v>2.353504329498E10</v>
      </c>
    </row>
    <row r="814">
      <c r="A814" s="4" t="s">
        <v>10</v>
      </c>
      <c r="B814" s="5">
        <v>42818.0</v>
      </c>
      <c r="C814" s="6">
        <v>233.86</v>
      </c>
      <c r="D814" s="11">
        <v>-0.17</v>
      </c>
      <c r="E814" s="12">
        <v>-7.0E-4</v>
      </c>
      <c r="F814" s="6">
        <v>234.38</v>
      </c>
      <c r="G814" s="6">
        <v>232.96</v>
      </c>
      <c r="H814" s="6">
        <v>235.04</v>
      </c>
      <c r="I814" s="9">
        <v>1.12504853E8</v>
      </c>
      <c r="J814" s="6">
        <v>2.627984887813E10</v>
      </c>
    </row>
    <row r="815">
      <c r="A815" s="4" t="s">
        <v>10</v>
      </c>
      <c r="B815" s="5">
        <v>42821.0</v>
      </c>
      <c r="C815" s="6">
        <v>233.62</v>
      </c>
      <c r="D815" s="11">
        <v>-0.24</v>
      </c>
      <c r="E815" s="12">
        <v>-0.001</v>
      </c>
      <c r="F815" s="6">
        <v>231.93</v>
      </c>
      <c r="G815" s="6">
        <v>231.61</v>
      </c>
      <c r="H815" s="6">
        <v>233.92</v>
      </c>
      <c r="I815" s="9">
        <v>8.7454452E7</v>
      </c>
      <c r="J815" s="6">
        <v>2.038052328439E10</v>
      </c>
    </row>
    <row r="816">
      <c r="A816" s="4" t="s">
        <v>10</v>
      </c>
      <c r="B816" s="5">
        <v>42822.0</v>
      </c>
      <c r="C816" s="6">
        <v>235.32</v>
      </c>
      <c r="D816" s="13">
        <f>+1.7</f>
        <v>1.7</v>
      </c>
      <c r="E816" s="14">
        <f>+0.73%</f>
        <v>0.0073</v>
      </c>
      <c r="F816" s="6">
        <v>233.27</v>
      </c>
      <c r="G816" s="6">
        <v>233.14</v>
      </c>
      <c r="H816" s="6">
        <v>235.81</v>
      </c>
      <c r="I816" s="9">
        <v>9.3483915E7</v>
      </c>
      <c r="J816" s="6">
        <v>2.193102248578E10</v>
      </c>
    </row>
    <row r="817">
      <c r="A817" s="4" t="s">
        <v>10</v>
      </c>
      <c r="B817" s="5">
        <v>42823.0</v>
      </c>
      <c r="C817" s="6">
        <v>235.54</v>
      </c>
      <c r="D817" s="13">
        <f>+0.22</f>
        <v>0.22</v>
      </c>
      <c r="E817" s="14">
        <f>+0.09%</f>
        <v>0.0009</v>
      </c>
      <c r="F817" s="6">
        <v>234.99</v>
      </c>
      <c r="G817" s="6">
        <v>234.73</v>
      </c>
      <c r="H817" s="6">
        <v>235.81</v>
      </c>
      <c r="I817" s="9">
        <v>6.1950354E7</v>
      </c>
      <c r="J817" s="6">
        <v>1.458496624457E10</v>
      </c>
    </row>
    <row r="818">
      <c r="A818" s="4" t="s">
        <v>10</v>
      </c>
      <c r="B818" s="5">
        <v>42824.0</v>
      </c>
      <c r="C818" s="6">
        <v>236.29</v>
      </c>
      <c r="D818" s="13">
        <f>+0.75</f>
        <v>0.75</v>
      </c>
      <c r="E818" s="14">
        <f>+0.32%</f>
        <v>0.0032</v>
      </c>
      <c r="F818" s="6">
        <v>235.47</v>
      </c>
      <c r="G818" s="6">
        <v>235.27</v>
      </c>
      <c r="H818" s="6">
        <v>236.52</v>
      </c>
      <c r="I818" s="9">
        <v>5.673789E7</v>
      </c>
      <c r="J818" s="6">
        <v>1.339733496688E10</v>
      </c>
    </row>
    <row r="819">
      <c r="A819" s="4" t="s">
        <v>10</v>
      </c>
      <c r="B819" s="5">
        <v>42825.0</v>
      </c>
      <c r="C819" s="6">
        <v>235.74</v>
      </c>
      <c r="D819" s="11">
        <v>-0.55</v>
      </c>
      <c r="E819" s="12">
        <v>-0.0023</v>
      </c>
      <c r="F819" s="6">
        <v>235.9</v>
      </c>
      <c r="G819" s="6">
        <v>235.68</v>
      </c>
      <c r="H819" s="6">
        <v>236.51</v>
      </c>
      <c r="I819" s="9">
        <v>7.3733094E7</v>
      </c>
      <c r="J819" s="6">
        <v>1.74018703626E10</v>
      </c>
    </row>
    <row r="820">
      <c r="A820" s="4" t="s">
        <v>10</v>
      </c>
      <c r="B820" s="5">
        <v>42828.0</v>
      </c>
      <c r="C820" s="6">
        <v>235.33</v>
      </c>
      <c r="D820" s="11">
        <v>-0.41</v>
      </c>
      <c r="E820" s="12">
        <v>-0.0017</v>
      </c>
      <c r="F820" s="6">
        <v>235.8</v>
      </c>
      <c r="G820" s="6">
        <v>233.91</v>
      </c>
      <c r="H820" s="6">
        <v>236.03</v>
      </c>
      <c r="I820" s="9">
        <v>8.5546486E7</v>
      </c>
      <c r="J820" s="6">
        <v>2.012009144259E10</v>
      </c>
    </row>
    <row r="821">
      <c r="A821" s="4" t="s">
        <v>10</v>
      </c>
      <c r="B821" s="5">
        <v>42829.0</v>
      </c>
      <c r="C821" s="6">
        <v>235.48</v>
      </c>
      <c r="D821" s="13">
        <f>+0.15</f>
        <v>0.15</v>
      </c>
      <c r="E821" s="14">
        <f>+0.06%</f>
        <v>0.0006</v>
      </c>
      <c r="F821" s="6">
        <v>235.0</v>
      </c>
      <c r="G821" s="6">
        <v>234.56</v>
      </c>
      <c r="H821" s="6">
        <v>235.58</v>
      </c>
      <c r="I821" s="9">
        <v>5.6466195E7</v>
      </c>
      <c r="J821" s="6">
        <v>1.328296368633E10</v>
      </c>
    </row>
    <row r="822">
      <c r="A822" s="4" t="s">
        <v>10</v>
      </c>
      <c r="B822" s="5">
        <v>42830.0</v>
      </c>
      <c r="C822" s="6">
        <v>234.78</v>
      </c>
      <c r="D822" s="11">
        <v>-0.7</v>
      </c>
      <c r="E822" s="12">
        <v>-0.003</v>
      </c>
      <c r="F822" s="6">
        <v>236.26</v>
      </c>
      <c r="G822" s="6">
        <v>234.54</v>
      </c>
      <c r="H822" s="6">
        <v>237.39</v>
      </c>
      <c r="I822" s="9">
        <v>1.08800604E8</v>
      </c>
      <c r="J822" s="6">
        <v>2.566972443014E10</v>
      </c>
    </row>
    <row r="823">
      <c r="A823" s="4" t="s">
        <v>10</v>
      </c>
      <c r="B823" s="5">
        <v>42831.0</v>
      </c>
      <c r="C823" s="6">
        <v>235.44</v>
      </c>
      <c r="D823" s="13">
        <f>+0.66</f>
        <v>0.66</v>
      </c>
      <c r="E823" s="14">
        <f>+0.28%</f>
        <v>0.0028</v>
      </c>
      <c r="F823" s="6">
        <v>234.94</v>
      </c>
      <c r="G823" s="6">
        <v>234.43</v>
      </c>
      <c r="H823" s="6">
        <v>236.04</v>
      </c>
      <c r="I823" s="9">
        <v>6.9135757E7</v>
      </c>
      <c r="J823" s="6">
        <v>1.62667963665E10</v>
      </c>
    </row>
    <row r="824">
      <c r="A824" s="4" t="s">
        <v>10</v>
      </c>
      <c r="B824" s="5">
        <v>42832.0</v>
      </c>
      <c r="C824" s="6">
        <v>235.2</v>
      </c>
      <c r="D824" s="11">
        <v>-0.24</v>
      </c>
      <c r="E824" s="12">
        <v>-0.001</v>
      </c>
      <c r="F824" s="6">
        <v>235.15</v>
      </c>
      <c r="G824" s="6">
        <v>234.64</v>
      </c>
      <c r="H824" s="6">
        <v>236.0</v>
      </c>
      <c r="I824" s="9">
        <v>7.4412311E7</v>
      </c>
      <c r="J824" s="6">
        <v>1.750854440356E10</v>
      </c>
    </row>
    <row r="825">
      <c r="A825" s="4" t="s">
        <v>10</v>
      </c>
      <c r="B825" s="5">
        <v>42835.0</v>
      </c>
      <c r="C825" s="6">
        <v>235.34</v>
      </c>
      <c r="D825" s="13">
        <f>+0.14</f>
        <v>0.14</v>
      </c>
      <c r="E825" s="14">
        <f>+0.06%</f>
        <v>0.0006</v>
      </c>
      <c r="F825" s="6">
        <v>235.36</v>
      </c>
      <c r="G825" s="6">
        <v>234.73</v>
      </c>
      <c r="H825" s="6">
        <v>236.26</v>
      </c>
      <c r="I825" s="9">
        <v>6.7615302E7</v>
      </c>
      <c r="J825" s="6">
        <v>1.592254885015E10</v>
      </c>
    </row>
    <row r="826">
      <c r="A826" s="4" t="s">
        <v>10</v>
      </c>
      <c r="B826" s="5">
        <v>42836.0</v>
      </c>
      <c r="C826" s="6">
        <v>235.06</v>
      </c>
      <c r="D826" s="11">
        <v>-0.28</v>
      </c>
      <c r="E826" s="12">
        <v>-0.0012</v>
      </c>
      <c r="F826" s="6">
        <v>234.9</v>
      </c>
      <c r="G826" s="6">
        <v>233.34</v>
      </c>
      <c r="H826" s="6">
        <v>235.18</v>
      </c>
      <c r="I826" s="9">
        <v>8.8045276E7</v>
      </c>
      <c r="J826" s="6">
        <v>2.064659979218E10</v>
      </c>
    </row>
    <row r="827">
      <c r="A827" s="4" t="s">
        <v>10</v>
      </c>
      <c r="B827" s="5">
        <v>42837.0</v>
      </c>
      <c r="C827" s="6">
        <v>234.03</v>
      </c>
      <c r="D827" s="11">
        <v>-1.03</v>
      </c>
      <c r="E827" s="12">
        <v>-0.0044</v>
      </c>
      <c r="F827" s="6">
        <v>234.74</v>
      </c>
      <c r="G827" s="6">
        <v>233.77</v>
      </c>
      <c r="H827" s="6">
        <v>234.96</v>
      </c>
      <c r="I827" s="9">
        <v>8.1864436E7</v>
      </c>
      <c r="J827" s="6">
        <v>1.918069795957E10</v>
      </c>
    </row>
    <row r="828">
      <c r="A828" s="4" t="s">
        <v>10</v>
      </c>
      <c r="B828" s="5">
        <v>42838.0</v>
      </c>
      <c r="C828" s="6">
        <v>232.51</v>
      </c>
      <c r="D828" s="11">
        <v>-1.52</v>
      </c>
      <c r="E828" s="12">
        <v>-0.0065</v>
      </c>
      <c r="F828" s="6">
        <v>233.64</v>
      </c>
      <c r="G828" s="6">
        <v>232.51</v>
      </c>
      <c r="H828" s="6">
        <v>234.49</v>
      </c>
      <c r="I828" s="9">
        <v>9.2880394E7</v>
      </c>
      <c r="J828" s="6">
        <v>2.167500761424E10</v>
      </c>
    </row>
    <row r="829">
      <c r="A829" s="4" t="s">
        <v>10</v>
      </c>
      <c r="B829" s="5">
        <v>42842.0</v>
      </c>
      <c r="C829" s="6">
        <v>234.57</v>
      </c>
      <c r="D829" s="13">
        <f>+2.06</f>
        <v>2.06</v>
      </c>
      <c r="E829" s="14">
        <f>+0.89%</f>
        <v>0.0089</v>
      </c>
      <c r="F829" s="6">
        <v>233.11</v>
      </c>
      <c r="G829" s="6">
        <v>232.88</v>
      </c>
      <c r="H829" s="6">
        <v>234.57</v>
      </c>
      <c r="I829" s="9">
        <v>6.8405367E7</v>
      </c>
      <c r="J829" s="6">
        <v>1.599802191732E10</v>
      </c>
    </row>
    <row r="830">
      <c r="A830" s="4" t="s">
        <v>10</v>
      </c>
      <c r="B830" s="5">
        <v>42843.0</v>
      </c>
      <c r="C830" s="6">
        <v>233.87</v>
      </c>
      <c r="D830" s="11">
        <v>-0.7</v>
      </c>
      <c r="E830" s="12">
        <v>-0.003</v>
      </c>
      <c r="F830" s="6">
        <v>233.72</v>
      </c>
      <c r="G830" s="6">
        <v>233.08</v>
      </c>
      <c r="H830" s="6">
        <v>234.49</v>
      </c>
      <c r="I830" s="9">
        <v>8.3225821E7</v>
      </c>
      <c r="J830" s="6">
        <v>1.947142507582E10</v>
      </c>
    </row>
    <row r="831">
      <c r="A831" s="4" t="s">
        <v>10</v>
      </c>
      <c r="B831" s="5">
        <v>42844.0</v>
      </c>
      <c r="C831" s="6">
        <v>233.44</v>
      </c>
      <c r="D831" s="11">
        <v>-0.43</v>
      </c>
      <c r="E831" s="12">
        <v>-0.0018</v>
      </c>
      <c r="F831" s="6">
        <v>234.52</v>
      </c>
      <c r="G831" s="6">
        <v>233.18</v>
      </c>
      <c r="H831" s="6">
        <v>234.95</v>
      </c>
      <c r="I831" s="9">
        <v>6.8699868E7</v>
      </c>
      <c r="J831" s="6">
        <v>1.607259371922E10</v>
      </c>
    </row>
    <row r="832">
      <c r="A832" s="4" t="s">
        <v>10</v>
      </c>
      <c r="B832" s="5">
        <v>42845.0</v>
      </c>
      <c r="C832" s="6">
        <v>235.34</v>
      </c>
      <c r="D832" s="13">
        <f>+1.9</f>
        <v>1.9</v>
      </c>
      <c r="E832" s="14">
        <f>+0.81%</f>
        <v>0.0081</v>
      </c>
      <c r="F832" s="6">
        <v>234.15</v>
      </c>
      <c r="G832" s="6">
        <v>233.78</v>
      </c>
      <c r="H832" s="6">
        <v>235.85</v>
      </c>
      <c r="I832" s="9">
        <v>9.2572186E7</v>
      </c>
      <c r="J832" s="6">
        <v>2.175246708786E10</v>
      </c>
    </row>
    <row r="833">
      <c r="A833" s="4" t="s">
        <v>10</v>
      </c>
      <c r="B833" s="5">
        <v>42846.0</v>
      </c>
      <c r="C833" s="6">
        <v>234.59</v>
      </c>
      <c r="D833" s="11">
        <v>-0.75</v>
      </c>
      <c r="E833" s="12">
        <v>-0.0032</v>
      </c>
      <c r="F833" s="6">
        <v>235.25</v>
      </c>
      <c r="G833" s="6">
        <v>234.13</v>
      </c>
      <c r="H833" s="6">
        <v>235.31</v>
      </c>
      <c r="I833" s="9">
        <v>1.10389847E8</v>
      </c>
      <c r="J833" s="6">
        <v>2.591779615911E10</v>
      </c>
    </row>
    <row r="834">
      <c r="A834" s="4" t="s">
        <v>10</v>
      </c>
      <c r="B834" s="5">
        <v>42849.0</v>
      </c>
      <c r="C834" s="6">
        <v>237.17</v>
      </c>
      <c r="D834" s="13">
        <f>+2.58</f>
        <v>2.58</v>
      </c>
      <c r="E834" s="14">
        <f>+1.1%</f>
        <v>0.011</v>
      </c>
      <c r="F834" s="6">
        <v>237.18</v>
      </c>
      <c r="G834" s="6">
        <v>234.56</v>
      </c>
      <c r="H834" s="6">
        <v>237.41</v>
      </c>
      <c r="I834" s="9">
        <v>1.19209877E8</v>
      </c>
      <c r="J834" s="6">
        <v>2.82069627945E10</v>
      </c>
    </row>
    <row r="835">
      <c r="A835" s="4" t="s">
        <v>10</v>
      </c>
      <c r="B835" s="5">
        <v>42850.0</v>
      </c>
      <c r="C835" s="6">
        <v>238.55</v>
      </c>
      <c r="D835" s="13">
        <f>+1.38</f>
        <v>1.38</v>
      </c>
      <c r="E835" s="14">
        <f>+0.58%</f>
        <v>0.0058</v>
      </c>
      <c r="F835" s="6">
        <v>237.91</v>
      </c>
      <c r="G835" s="6">
        <v>237.81</v>
      </c>
      <c r="H835" s="6">
        <v>238.95</v>
      </c>
      <c r="I835" s="9">
        <v>7.6698265E7</v>
      </c>
      <c r="J835" s="6">
        <v>1.828940623703E10</v>
      </c>
    </row>
    <row r="836">
      <c r="A836" s="4" t="s">
        <v>10</v>
      </c>
      <c r="B836" s="5">
        <v>42851.0</v>
      </c>
      <c r="C836" s="6">
        <v>238.4</v>
      </c>
      <c r="D836" s="11">
        <v>-0.15</v>
      </c>
      <c r="E836" s="12">
        <v>-6.0E-4</v>
      </c>
      <c r="F836" s="6">
        <v>238.51</v>
      </c>
      <c r="G836" s="6">
        <v>238.35</v>
      </c>
      <c r="H836" s="6">
        <v>239.53</v>
      </c>
      <c r="I836" s="9">
        <v>8.4702455E7</v>
      </c>
      <c r="J836" s="6">
        <v>2.022706038709E10</v>
      </c>
    </row>
    <row r="837">
      <c r="A837" s="4" t="s">
        <v>10</v>
      </c>
      <c r="B837" s="5">
        <v>42852.0</v>
      </c>
      <c r="C837" s="6">
        <v>238.6</v>
      </c>
      <c r="D837" s="13">
        <f>+0.2</f>
        <v>0.2</v>
      </c>
      <c r="E837" s="14">
        <f>+0.08%</f>
        <v>0.0008</v>
      </c>
      <c r="F837" s="6">
        <v>238.77</v>
      </c>
      <c r="G837" s="6">
        <v>237.98</v>
      </c>
      <c r="H837" s="6">
        <v>238.95</v>
      </c>
      <c r="I837" s="9">
        <v>5.7410326E7</v>
      </c>
      <c r="J837" s="6">
        <v>1.369386652572E10</v>
      </c>
    </row>
    <row r="838">
      <c r="A838" s="4" t="s">
        <v>10</v>
      </c>
      <c r="B838" s="5">
        <v>42853.0</v>
      </c>
      <c r="C838" s="6">
        <v>238.08</v>
      </c>
      <c r="D838" s="11">
        <v>-0.52</v>
      </c>
      <c r="E838" s="12">
        <v>-0.0022</v>
      </c>
      <c r="F838" s="6">
        <v>238.9</v>
      </c>
      <c r="G838" s="6">
        <v>237.93</v>
      </c>
      <c r="H838" s="6">
        <v>238.93</v>
      </c>
      <c r="I838" s="9">
        <v>6.3532845E7</v>
      </c>
      <c r="J838" s="6">
        <v>1.513475159077E10</v>
      </c>
    </row>
    <row r="839">
      <c r="A839" s="4" t="s">
        <v>10</v>
      </c>
      <c r="B839" s="5">
        <v>42856.0</v>
      </c>
      <c r="C839" s="6">
        <v>238.68</v>
      </c>
      <c r="D839" s="13">
        <f>+0.6</f>
        <v>0.6</v>
      </c>
      <c r="E839" s="14">
        <f>+0.25%</f>
        <v>0.0025</v>
      </c>
      <c r="F839" s="6">
        <v>238.68</v>
      </c>
      <c r="G839" s="6">
        <v>238.2</v>
      </c>
      <c r="H839" s="6">
        <v>239.17</v>
      </c>
      <c r="I839" s="9">
        <v>6.6882521E7</v>
      </c>
      <c r="J839" s="6">
        <v>1.596367232205E10</v>
      </c>
    </row>
    <row r="840">
      <c r="A840" s="4" t="s">
        <v>10</v>
      </c>
      <c r="B840" s="5">
        <v>42857.0</v>
      </c>
      <c r="C840" s="6">
        <v>238.77</v>
      </c>
      <c r="D840" s="13">
        <f>+0.09</f>
        <v>0.09</v>
      </c>
      <c r="E840" s="14">
        <f>+0.04%</f>
        <v>0.0004</v>
      </c>
      <c r="F840" s="6">
        <v>238.84</v>
      </c>
      <c r="G840" s="6">
        <v>238.3</v>
      </c>
      <c r="H840" s="6">
        <v>238.98</v>
      </c>
      <c r="I840" s="9">
        <v>5.7375732E7</v>
      </c>
      <c r="J840" s="6">
        <v>1.369162675847E10</v>
      </c>
    </row>
    <row r="841">
      <c r="A841" s="4" t="s">
        <v>10</v>
      </c>
      <c r="B841" s="5">
        <v>42858.0</v>
      </c>
      <c r="C841" s="6">
        <v>238.48</v>
      </c>
      <c r="D841" s="11">
        <v>-0.29</v>
      </c>
      <c r="E841" s="12">
        <v>-0.0012</v>
      </c>
      <c r="F841" s="6">
        <v>238.29</v>
      </c>
      <c r="G841" s="6">
        <v>237.7</v>
      </c>
      <c r="H841" s="6">
        <v>238.88</v>
      </c>
      <c r="I841" s="9">
        <v>7.3137731E7</v>
      </c>
      <c r="J841" s="6">
        <v>1.743735885346E10</v>
      </c>
    </row>
    <row r="842">
      <c r="A842" s="4" t="s">
        <v>10</v>
      </c>
      <c r="B842" s="5">
        <v>42859.0</v>
      </c>
      <c r="C842" s="6">
        <v>238.76</v>
      </c>
      <c r="D842" s="13">
        <f>+0.28</f>
        <v>0.28</v>
      </c>
      <c r="E842" s="14">
        <f>+0.12%</f>
        <v>0.0012</v>
      </c>
      <c r="F842" s="6">
        <v>238.83</v>
      </c>
      <c r="G842" s="6">
        <v>237.78</v>
      </c>
      <c r="H842" s="6">
        <v>238.92</v>
      </c>
      <c r="I842" s="9">
        <v>6.1462732E7</v>
      </c>
      <c r="J842" s="6">
        <v>1.466143104143E10</v>
      </c>
    </row>
    <row r="843">
      <c r="A843" s="4" t="s">
        <v>10</v>
      </c>
      <c r="B843" s="5">
        <v>42860.0</v>
      </c>
      <c r="C843" s="6">
        <v>239.7</v>
      </c>
      <c r="D843" s="13">
        <f>+0.94</f>
        <v>0.94</v>
      </c>
      <c r="E843" s="14">
        <f>+0.39%</f>
        <v>0.0039</v>
      </c>
      <c r="F843" s="6">
        <v>239.19</v>
      </c>
      <c r="G843" s="6">
        <v>238.68</v>
      </c>
      <c r="H843" s="6">
        <v>239.72</v>
      </c>
      <c r="I843" s="9">
        <v>6.2001269E7</v>
      </c>
      <c r="J843" s="6">
        <v>1.483401506299E10</v>
      </c>
    </row>
    <row r="844">
      <c r="A844" s="4" t="s">
        <v>10</v>
      </c>
      <c r="B844" s="5">
        <v>42863.0</v>
      </c>
      <c r="C844" s="6">
        <v>239.66</v>
      </c>
      <c r="D844" s="11">
        <v>-0.04</v>
      </c>
      <c r="E844" s="12">
        <v>-2.0E-4</v>
      </c>
      <c r="F844" s="6">
        <v>239.75</v>
      </c>
      <c r="G844" s="6">
        <v>239.17</v>
      </c>
      <c r="H844" s="6">
        <v>239.92</v>
      </c>
      <c r="I844" s="9">
        <v>4.838573E7</v>
      </c>
      <c r="J844" s="6">
        <v>1.159190918695E10</v>
      </c>
    </row>
    <row r="845">
      <c r="A845" s="4" t="s">
        <v>10</v>
      </c>
      <c r="B845" s="5">
        <v>42864.0</v>
      </c>
      <c r="C845" s="6">
        <v>239.44</v>
      </c>
      <c r="D845" s="11">
        <v>-0.22</v>
      </c>
      <c r="E845" s="12">
        <v>-9.0E-4</v>
      </c>
      <c r="F845" s="6">
        <v>239.96</v>
      </c>
      <c r="G845" s="6">
        <v>239.04</v>
      </c>
      <c r="H845" s="6">
        <v>240.19</v>
      </c>
      <c r="I845" s="9">
        <v>5.13632E7</v>
      </c>
      <c r="J845" s="6">
        <v>1.231089954733E10</v>
      </c>
    </row>
    <row r="846">
      <c r="A846" s="4" t="s">
        <v>10</v>
      </c>
      <c r="B846" s="5">
        <v>42865.0</v>
      </c>
      <c r="C846" s="6">
        <v>239.87</v>
      </c>
      <c r="D846" s="13">
        <f>+0.43</f>
        <v>0.43</v>
      </c>
      <c r="E846" s="14">
        <f>+0.18%</f>
        <v>0.0018</v>
      </c>
      <c r="F846" s="6">
        <v>239.39</v>
      </c>
      <c r="G846" s="6">
        <v>239.15</v>
      </c>
      <c r="H846" s="6">
        <v>239.87</v>
      </c>
      <c r="I846" s="9">
        <v>5.4293799E7</v>
      </c>
      <c r="J846" s="6">
        <v>1.300979303637E10</v>
      </c>
    </row>
    <row r="847">
      <c r="A847" s="4" t="s">
        <v>10</v>
      </c>
      <c r="B847" s="5">
        <v>42866.0</v>
      </c>
      <c r="C847" s="6">
        <v>239.38</v>
      </c>
      <c r="D847" s="11">
        <v>-0.49</v>
      </c>
      <c r="E847" s="12">
        <v>-0.002</v>
      </c>
      <c r="F847" s="6">
        <v>239.35</v>
      </c>
      <c r="G847" s="6">
        <v>238.13</v>
      </c>
      <c r="H847" s="6">
        <v>239.57</v>
      </c>
      <c r="I847" s="9">
        <v>6.2358346E7</v>
      </c>
      <c r="J847" s="6">
        <v>1.490915955902E10</v>
      </c>
    </row>
    <row r="848">
      <c r="A848" s="4" t="s">
        <v>10</v>
      </c>
      <c r="B848" s="5">
        <v>42867.0</v>
      </c>
      <c r="C848" s="6">
        <v>238.98</v>
      </c>
      <c r="D848" s="11">
        <v>-0.4</v>
      </c>
      <c r="E848" s="12">
        <v>-0.0017</v>
      </c>
      <c r="F848" s="6">
        <v>239.09</v>
      </c>
      <c r="G848" s="6">
        <v>238.67</v>
      </c>
      <c r="H848" s="6">
        <v>239.43</v>
      </c>
      <c r="I848" s="9">
        <v>5.391273E7</v>
      </c>
      <c r="J848" s="6">
        <v>1.288517018841E10</v>
      </c>
    </row>
    <row r="849">
      <c r="A849" s="4" t="s">
        <v>10</v>
      </c>
      <c r="B849" s="5">
        <v>42870.0</v>
      </c>
      <c r="C849" s="6">
        <v>240.3</v>
      </c>
      <c r="D849" s="13">
        <f>+1.32</f>
        <v>1.32</v>
      </c>
      <c r="E849" s="14">
        <f>+0.55%</f>
        <v>0.0055</v>
      </c>
      <c r="F849" s="6">
        <v>239.47</v>
      </c>
      <c r="G849" s="6">
        <v>239.45</v>
      </c>
      <c r="H849" s="6">
        <v>240.44</v>
      </c>
      <c r="I849" s="9">
        <v>6.1918937E7</v>
      </c>
      <c r="J849" s="6">
        <v>1.486315463353E10</v>
      </c>
    </row>
    <row r="850">
      <c r="A850" s="4" t="s">
        <v>10</v>
      </c>
      <c r="B850" s="5">
        <v>42871.0</v>
      </c>
      <c r="C850" s="6">
        <v>240.08</v>
      </c>
      <c r="D850" s="11">
        <v>-0.22</v>
      </c>
      <c r="E850" s="12">
        <v>-9.0E-4</v>
      </c>
      <c r="F850" s="6">
        <v>240.64</v>
      </c>
      <c r="G850" s="6">
        <v>239.63</v>
      </c>
      <c r="H850" s="6">
        <v>240.67</v>
      </c>
      <c r="I850" s="9">
        <v>5.1241791E7</v>
      </c>
      <c r="J850" s="6">
        <v>1.230339368469E10</v>
      </c>
    </row>
    <row r="851">
      <c r="A851" s="4" t="s">
        <v>10</v>
      </c>
      <c r="B851" s="5">
        <v>42872.0</v>
      </c>
      <c r="C851" s="6">
        <v>235.82</v>
      </c>
      <c r="D851" s="11">
        <v>-4.26</v>
      </c>
      <c r="E851" s="12">
        <v>-0.0177</v>
      </c>
      <c r="F851" s="6">
        <v>238.1</v>
      </c>
      <c r="G851" s="6">
        <v>235.75</v>
      </c>
      <c r="H851" s="6">
        <v>238.64</v>
      </c>
      <c r="I851" s="9">
        <v>1.72174107E8</v>
      </c>
      <c r="J851" s="6">
        <v>4.08719723914E10</v>
      </c>
    </row>
    <row r="852">
      <c r="A852" s="4" t="s">
        <v>10</v>
      </c>
      <c r="B852" s="5">
        <v>42873.0</v>
      </c>
      <c r="C852" s="6">
        <v>236.77</v>
      </c>
      <c r="D852" s="13">
        <f>+0.95</f>
        <v>0.95</v>
      </c>
      <c r="E852" s="14">
        <f>+0.4%</f>
        <v>0.004</v>
      </c>
      <c r="F852" s="6">
        <v>235.73</v>
      </c>
      <c r="G852" s="6">
        <v>235.43</v>
      </c>
      <c r="H852" s="6">
        <v>237.75</v>
      </c>
      <c r="I852" s="9">
        <v>1.07047656E8</v>
      </c>
      <c r="J852" s="6">
        <v>2.532341913634E10</v>
      </c>
    </row>
    <row r="853">
      <c r="A853" s="4" t="s">
        <v>10</v>
      </c>
      <c r="B853" s="5">
        <v>42874.0</v>
      </c>
      <c r="C853" s="6">
        <v>238.31</v>
      </c>
      <c r="D853" s="13">
        <f>+1.54</f>
        <v>1.54</v>
      </c>
      <c r="E853" s="14">
        <f>+0.65%</f>
        <v>0.0065</v>
      </c>
      <c r="F853" s="6">
        <v>237.33</v>
      </c>
      <c r="G853" s="6">
        <v>237.27</v>
      </c>
      <c r="H853" s="6">
        <v>239.08</v>
      </c>
      <c r="I853" s="9">
        <v>1.15011373E8</v>
      </c>
      <c r="J853" s="6">
        <v>2.738988232688E10</v>
      </c>
    </row>
    <row r="854">
      <c r="A854" s="4" t="s">
        <v>10</v>
      </c>
      <c r="B854" s="5">
        <v>42877.0</v>
      </c>
      <c r="C854" s="6">
        <v>239.52</v>
      </c>
      <c r="D854" s="13">
        <f>+1.21</f>
        <v>1.21</v>
      </c>
      <c r="E854" s="14">
        <f>+0.51%</f>
        <v>0.0051</v>
      </c>
      <c r="F854" s="6">
        <v>238.9</v>
      </c>
      <c r="G854" s="6">
        <v>238.82</v>
      </c>
      <c r="H854" s="6">
        <v>239.71</v>
      </c>
      <c r="I854" s="9">
        <v>6.1010602E7</v>
      </c>
      <c r="J854" s="6">
        <v>1.459799551675E10</v>
      </c>
    </row>
    <row r="855">
      <c r="A855" s="4" t="s">
        <v>10</v>
      </c>
      <c r="B855" s="5">
        <v>42878.0</v>
      </c>
      <c r="C855" s="6">
        <v>240.05</v>
      </c>
      <c r="D855" s="13">
        <f>+0.53</f>
        <v>0.53</v>
      </c>
      <c r="E855" s="14">
        <f>+0.22%</f>
        <v>0.0022</v>
      </c>
      <c r="F855" s="6">
        <v>239.95</v>
      </c>
      <c r="G855" s="6">
        <v>239.51</v>
      </c>
      <c r="H855" s="6">
        <v>240.24</v>
      </c>
      <c r="I855" s="9">
        <v>4.8341683E7</v>
      </c>
      <c r="J855" s="6">
        <v>1.159846038264E10</v>
      </c>
    </row>
    <row r="856">
      <c r="A856" s="4" t="s">
        <v>10</v>
      </c>
      <c r="B856" s="5">
        <v>42879.0</v>
      </c>
      <c r="C856" s="6">
        <v>240.61</v>
      </c>
      <c r="D856" s="13">
        <f>+0.56</f>
        <v>0.56</v>
      </c>
      <c r="E856" s="14">
        <f>+0.23%</f>
        <v>0.0023</v>
      </c>
      <c r="F856" s="6">
        <v>240.32</v>
      </c>
      <c r="G856" s="6">
        <v>239.93</v>
      </c>
      <c r="H856" s="6">
        <v>240.73</v>
      </c>
      <c r="I856" s="9">
        <v>4.9181099E7</v>
      </c>
      <c r="J856" s="6">
        <v>1.181945339088E10</v>
      </c>
    </row>
    <row r="857">
      <c r="A857" s="4" t="s">
        <v>10</v>
      </c>
      <c r="B857" s="5">
        <v>42880.0</v>
      </c>
      <c r="C857" s="6">
        <v>241.76</v>
      </c>
      <c r="D857" s="13">
        <f>+1.15</f>
        <v>1.15</v>
      </c>
      <c r="E857" s="14">
        <f>+0.48%</f>
        <v>0.0048</v>
      </c>
      <c r="F857" s="6">
        <v>241.2</v>
      </c>
      <c r="G857" s="6">
        <v>240.96</v>
      </c>
      <c r="H857" s="6">
        <v>242.08</v>
      </c>
      <c r="I857" s="9">
        <v>6.4071661E7</v>
      </c>
      <c r="J857" s="6">
        <v>1.548097160824E10</v>
      </c>
    </row>
    <row r="858">
      <c r="A858" s="4" t="s">
        <v>10</v>
      </c>
      <c r="B858" s="5">
        <v>42881.0</v>
      </c>
      <c r="C858" s="6">
        <v>241.71</v>
      </c>
      <c r="D858" s="11">
        <v>-0.05</v>
      </c>
      <c r="E858" s="12">
        <v>-2.0E-4</v>
      </c>
      <c r="F858" s="6">
        <v>241.54</v>
      </c>
      <c r="G858" s="6">
        <v>241.45</v>
      </c>
      <c r="H858" s="6">
        <v>241.9</v>
      </c>
      <c r="I858" s="9">
        <v>4.6629905E7</v>
      </c>
      <c r="J858" s="6">
        <v>1.127124373472E10</v>
      </c>
    </row>
    <row r="859">
      <c r="A859" s="4" t="s">
        <v>10</v>
      </c>
      <c r="B859" s="5">
        <v>42885.0</v>
      </c>
      <c r="C859" s="6">
        <v>241.5</v>
      </c>
      <c r="D859" s="11">
        <v>-0.21</v>
      </c>
      <c r="E859" s="12">
        <v>-9.0E-4</v>
      </c>
      <c r="F859" s="6">
        <v>241.34</v>
      </c>
      <c r="G859" s="6">
        <v>241.16</v>
      </c>
      <c r="H859" s="6">
        <v>241.79</v>
      </c>
      <c r="I859" s="9">
        <v>3.5201897E7</v>
      </c>
      <c r="J859" s="6">
        <v>8.50257268193E9</v>
      </c>
    </row>
    <row r="860">
      <c r="A860" s="4" t="s">
        <v>10</v>
      </c>
      <c r="B860" s="5">
        <v>42886.0</v>
      </c>
      <c r="C860" s="6">
        <v>241.44</v>
      </c>
      <c r="D860" s="11">
        <v>-0.06</v>
      </c>
      <c r="E860" s="12">
        <v>-2.0E-4</v>
      </c>
      <c r="F860" s="6">
        <v>241.84</v>
      </c>
      <c r="G860" s="6">
        <v>240.64</v>
      </c>
      <c r="H860" s="6">
        <v>241.88</v>
      </c>
      <c r="I860" s="9">
        <v>9.1796016E7</v>
      </c>
      <c r="J860" s="6">
        <v>2.215034642214E10</v>
      </c>
    </row>
    <row r="861">
      <c r="A861" s="4" t="s">
        <v>10</v>
      </c>
      <c r="B861" s="5">
        <v>42887.0</v>
      </c>
      <c r="C861" s="6">
        <v>243.36</v>
      </c>
      <c r="D861" s="13">
        <f>+1.92</f>
        <v>1.92</v>
      </c>
      <c r="E861" s="14">
        <f>+0.8%</f>
        <v>0.008</v>
      </c>
      <c r="F861" s="6">
        <v>241.97</v>
      </c>
      <c r="G861" s="6">
        <v>241.64</v>
      </c>
      <c r="H861" s="6">
        <v>243.38</v>
      </c>
      <c r="I861" s="9">
        <v>6.8962024E7</v>
      </c>
      <c r="J861" s="6">
        <v>1.672811401774E10</v>
      </c>
    </row>
    <row r="862">
      <c r="A862" s="4" t="s">
        <v>10</v>
      </c>
      <c r="B862" s="5">
        <v>42888.0</v>
      </c>
      <c r="C862" s="6">
        <v>244.17</v>
      </c>
      <c r="D862" s="13">
        <f>+0.81</f>
        <v>0.81</v>
      </c>
      <c r="E862" s="14">
        <f>+0.33%</f>
        <v>0.0033</v>
      </c>
      <c r="F862" s="6">
        <v>243.42</v>
      </c>
      <c r="G862" s="6">
        <v>243.08</v>
      </c>
      <c r="H862" s="6">
        <v>244.35</v>
      </c>
      <c r="I862" s="9">
        <v>8.8666128E7</v>
      </c>
      <c r="J862" s="6">
        <v>2.162542974012E10</v>
      </c>
    </row>
    <row r="863">
      <c r="A863" s="4" t="s">
        <v>10</v>
      </c>
      <c r="B863" s="5">
        <v>42891.0</v>
      </c>
      <c r="C863" s="6">
        <v>243.99</v>
      </c>
      <c r="D863" s="11">
        <v>-0.18</v>
      </c>
      <c r="E863" s="12">
        <v>-7.0E-4</v>
      </c>
      <c r="F863" s="6">
        <v>243.97</v>
      </c>
      <c r="G863" s="6">
        <v>243.76</v>
      </c>
      <c r="H863" s="6">
        <v>244.3</v>
      </c>
      <c r="I863" s="9">
        <v>4.4698825E7</v>
      </c>
      <c r="J863" s="6">
        <v>1.090782876261E10</v>
      </c>
    </row>
    <row r="864">
      <c r="A864" s="4" t="s">
        <v>10</v>
      </c>
      <c r="B864" s="5">
        <v>42892.0</v>
      </c>
      <c r="C864" s="6">
        <v>243.21</v>
      </c>
      <c r="D864" s="11">
        <v>-0.78</v>
      </c>
      <c r="E864" s="12">
        <v>-0.0032</v>
      </c>
      <c r="F864" s="6">
        <v>243.34</v>
      </c>
      <c r="G864" s="6">
        <v>243.12</v>
      </c>
      <c r="H864" s="6">
        <v>243.98</v>
      </c>
      <c r="I864" s="9">
        <v>5.037543E7</v>
      </c>
      <c r="J864" s="6">
        <v>1.22673109767E10</v>
      </c>
    </row>
    <row r="865">
      <c r="A865" s="4" t="s">
        <v>10</v>
      </c>
      <c r="B865" s="5">
        <v>42893.0</v>
      </c>
      <c r="C865" s="6">
        <v>243.66</v>
      </c>
      <c r="D865" s="13">
        <f>+0.45</f>
        <v>0.45</v>
      </c>
      <c r="E865" s="14">
        <f>+0.19%</f>
        <v>0.0019</v>
      </c>
      <c r="F865" s="6">
        <v>243.6</v>
      </c>
      <c r="G865" s="6">
        <v>242.83</v>
      </c>
      <c r="H865" s="6">
        <v>243.92</v>
      </c>
      <c r="I865" s="9">
        <v>5.4144311E7</v>
      </c>
      <c r="J865" s="6">
        <v>1.318607886413E10</v>
      </c>
    </row>
    <row r="866">
      <c r="A866" s="4" t="s">
        <v>10</v>
      </c>
      <c r="B866" s="5">
        <v>42894.0</v>
      </c>
      <c r="C866" s="6">
        <v>243.78</v>
      </c>
      <c r="D866" s="13">
        <f>+0.12</f>
        <v>0.12</v>
      </c>
      <c r="E866" s="14">
        <f>+0.05%</f>
        <v>0.0005</v>
      </c>
      <c r="F866" s="6">
        <v>243.77</v>
      </c>
      <c r="G866" s="6">
        <v>243.17</v>
      </c>
      <c r="H866" s="6">
        <v>244.33</v>
      </c>
      <c r="I866" s="9">
        <v>6.5950691E7</v>
      </c>
      <c r="J866" s="6">
        <v>1.607199326089E10</v>
      </c>
    </row>
    <row r="867">
      <c r="A867" s="4" t="s">
        <v>10</v>
      </c>
      <c r="B867" s="5">
        <v>42895.0</v>
      </c>
      <c r="C867" s="6">
        <v>243.41</v>
      </c>
      <c r="D867" s="11">
        <v>-0.37</v>
      </c>
      <c r="E867" s="12">
        <v>-0.0015</v>
      </c>
      <c r="F867" s="6">
        <v>244.09</v>
      </c>
      <c r="G867" s="6">
        <v>241.95</v>
      </c>
      <c r="H867" s="6">
        <v>245.01</v>
      </c>
      <c r="I867" s="9">
        <v>1.32256362E8</v>
      </c>
      <c r="J867" s="6">
        <v>3.222340651931E10</v>
      </c>
    </row>
    <row r="868">
      <c r="A868" s="4" t="s">
        <v>10</v>
      </c>
      <c r="B868" s="5">
        <v>42898.0</v>
      </c>
      <c r="C868" s="6">
        <v>243.36</v>
      </c>
      <c r="D868" s="11">
        <v>-0.05</v>
      </c>
      <c r="E868" s="12">
        <v>-2.0E-4</v>
      </c>
      <c r="F868" s="6">
        <v>243.13</v>
      </c>
      <c r="G868" s="6">
        <v>242.38</v>
      </c>
      <c r="H868" s="6">
        <v>243.42</v>
      </c>
      <c r="I868" s="9">
        <v>8.6108102E7</v>
      </c>
      <c r="J868" s="6">
        <v>2.092958247938E10</v>
      </c>
    </row>
    <row r="869">
      <c r="A869" s="4" t="s">
        <v>10</v>
      </c>
      <c r="B869" s="5">
        <v>42899.0</v>
      </c>
      <c r="C869" s="6">
        <v>244.55</v>
      </c>
      <c r="D869" s="13">
        <f>+1.19</f>
        <v>1.19</v>
      </c>
      <c r="E869" s="14">
        <f>+0.49%</f>
        <v>0.0049</v>
      </c>
      <c r="F869" s="6">
        <v>243.98</v>
      </c>
      <c r="G869" s="6">
        <v>243.58</v>
      </c>
      <c r="H869" s="6">
        <v>244.61</v>
      </c>
      <c r="I869" s="9">
        <v>6.0066953E7</v>
      </c>
      <c r="J869" s="6">
        <v>1.466402005599E10</v>
      </c>
    </row>
    <row r="870">
      <c r="A870" s="4" t="s">
        <v>10</v>
      </c>
      <c r="B870" s="5">
        <v>42900.0</v>
      </c>
      <c r="C870" s="6">
        <v>244.24</v>
      </c>
      <c r="D870" s="11">
        <v>-0.31</v>
      </c>
      <c r="E870" s="12">
        <v>-0.0013</v>
      </c>
      <c r="F870" s="6">
        <v>244.86</v>
      </c>
      <c r="G870" s="6">
        <v>243.29</v>
      </c>
      <c r="H870" s="6">
        <v>244.87</v>
      </c>
      <c r="I870" s="9">
        <v>7.8602311E7</v>
      </c>
      <c r="J870" s="6">
        <v>1.919638975119E10</v>
      </c>
    </row>
    <row r="871">
      <c r="A871" s="4" t="s">
        <v>10</v>
      </c>
      <c r="B871" s="5">
        <v>42901.0</v>
      </c>
      <c r="C871" s="6">
        <v>243.77</v>
      </c>
      <c r="D871" s="11">
        <v>-0.47</v>
      </c>
      <c r="E871" s="12">
        <v>-0.0019</v>
      </c>
      <c r="F871" s="6">
        <v>242.68</v>
      </c>
      <c r="G871" s="6">
        <v>242.36</v>
      </c>
      <c r="H871" s="6">
        <v>243.91</v>
      </c>
      <c r="I871" s="9">
        <v>6.6464888E7</v>
      </c>
      <c r="J871" s="6">
        <v>1.617214084242E10</v>
      </c>
    </row>
    <row r="872">
      <c r="A872" s="4" t="s">
        <v>10</v>
      </c>
      <c r="B872" s="5">
        <v>42902.0</v>
      </c>
      <c r="C872" s="6">
        <v>242.64</v>
      </c>
      <c r="D872" s="11">
        <v>-1.13</v>
      </c>
      <c r="E872" s="12">
        <v>-0.0046</v>
      </c>
      <c r="F872" s="6">
        <v>242.77</v>
      </c>
      <c r="G872" s="6">
        <v>241.63</v>
      </c>
      <c r="H872" s="6">
        <v>242.83</v>
      </c>
      <c r="I872" s="9">
        <v>8.4553097E7</v>
      </c>
      <c r="J872" s="6">
        <v>2.049587170172E10</v>
      </c>
    </row>
    <row r="873">
      <c r="A873" s="4" t="s">
        <v>10</v>
      </c>
      <c r="B873" s="5">
        <v>42905.0</v>
      </c>
      <c r="C873" s="6">
        <v>244.66</v>
      </c>
      <c r="D873" s="13">
        <f>+2.02</f>
        <v>2.02</v>
      </c>
      <c r="E873" s="14">
        <f>+0.83%</f>
        <v>0.0083</v>
      </c>
      <c r="F873" s="6">
        <v>243.59</v>
      </c>
      <c r="G873" s="6">
        <v>243.48</v>
      </c>
      <c r="H873" s="6">
        <v>244.73</v>
      </c>
      <c r="I873" s="9">
        <v>6.5123802E7</v>
      </c>
      <c r="J873" s="6">
        <v>1.590135938034E10</v>
      </c>
    </row>
    <row r="874">
      <c r="A874" s="4" t="s">
        <v>10</v>
      </c>
      <c r="B874" s="5">
        <v>42906.0</v>
      </c>
      <c r="C874" s="6">
        <v>243.01</v>
      </c>
      <c r="D874" s="11">
        <v>-1.65</v>
      </c>
      <c r="E874" s="12">
        <v>-0.0067</v>
      </c>
      <c r="F874" s="6">
        <v>244.25</v>
      </c>
      <c r="G874" s="6">
        <v>242.99</v>
      </c>
      <c r="H874" s="6">
        <v>244.26</v>
      </c>
      <c r="I874" s="9">
        <v>5.6906368E7</v>
      </c>
      <c r="J874" s="6">
        <v>1.386085559851E10</v>
      </c>
    </row>
    <row r="875">
      <c r="A875" s="4" t="s">
        <v>10</v>
      </c>
      <c r="B875" s="5">
        <v>42907.0</v>
      </c>
      <c r="C875" s="6">
        <v>242.95</v>
      </c>
      <c r="D875" s="11">
        <v>-0.06</v>
      </c>
      <c r="E875" s="12">
        <v>-2.0E-4</v>
      </c>
      <c r="F875" s="6">
        <v>243.42</v>
      </c>
      <c r="G875" s="6">
        <v>242.41</v>
      </c>
      <c r="H875" s="6">
        <v>243.59</v>
      </c>
      <c r="I875" s="9">
        <v>5.5977569E7</v>
      </c>
      <c r="J875" s="6">
        <v>1.360107289632E10</v>
      </c>
    </row>
    <row r="876">
      <c r="A876" s="4" t="s">
        <v>10</v>
      </c>
      <c r="B876" s="5">
        <v>42908.0</v>
      </c>
      <c r="C876" s="6">
        <v>242.84</v>
      </c>
      <c r="D876" s="11">
        <v>-0.11</v>
      </c>
      <c r="E876" s="12">
        <v>-5.0E-4</v>
      </c>
      <c r="F876" s="6">
        <v>242.96</v>
      </c>
      <c r="G876" s="6">
        <v>242.64</v>
      </c>
      <c r="H876" s="6">
        <v>243.53</v>
      </c>
      <c r="I876" s="9">
        <v>4.4148059E7</v>
      </c>
      <c r="J876" s="6">
        <v>1.073067625707E10</v>
      </c>
    </row>
    <row r="877">
      <c r="A877" s="4" t="s">
        <v>10</v>
      </c>
      <c r="B877" s="5">
        <v>42909.0</v>
      </c>
      <c r="C877" s="6">
        <v>243.13</v>
      </c>
      <c r="D877" s="13">
        <f>+0.29</f>
        <v>0.29</v>
      </c>
      <c r="E877" s="14">
        <f>+0.12%</f>
        <v>0.0012</v>
      </c>
      <c r="F877" s="6">
        <v>242.91</v>
      </c>
      <c r="G877" s="6">
        <v>242.47</v>
      </c>
      <c r="H877" s="6">
        <v>243.51</v>
      </c>
      <c r="I877" s="9">
        <v>6.6986801E7</v>
      </c>
      <c r="J877" s="6">
        <v>1.628291326797E10</v>
      </c>
    </row>
    <row r="878">
      <c r="A878" s="4" t="s">
        <v>10</v>
      </c>
      <c r="B878" s="5">
        <v>42912.0</v>
      </c>
      <c r="C878" s="6">
        <v>243.29</v>
      </c>
      <c r="D878" s="13">
        <f>+0.16</f>
        <v>0.16</v>
      </c>
      <c r="E878" s="14">
        <f>+0.07%</f>
        <v>0.0007</v>
      </c>
      <c r="F878" s="6">
        <v>243.9</v>
      </c>
      <c r="G878" s="6">
        <v>243.05</v>
      </c>
      <c r="H878" s="6">
        <v>244.38</v>
      </c>
      <c r="I878" s="9">
        <v>5.6700477E7</v>
      </c>
      <c r="J878" s="6">
        <v>1.380920877078E10</v>
      </c>
    </row>
    <row r="879">
      <c r="A879" s="4" t="s">
        <v>10</v>
      </c>
      <c r="B879" s="5">
        <v>42913.0</v>
      </c>
      <c r="C879" s="6">
        <v>241.33</v>
      </c>
      <c r="D879" s="11">
        <v>-1.96</v>
      </c>
      <c r="E879" s="12">
        <v>-0.0081</v>
      </c>
      <c r="F879" s="6">
        <v>243.04</v>
      </c>
      <c r="G879" s="6">
        <v>241.31</v>
      </c>
      <c r="H879" s="6">
        <v>243.38</v>
      </c>
      <c r="I879" s="9">
        <v>8.2247666E7</v>
      </c>
      <c r="J879" s="6">
        <v>1.992773632415E10</v>
      </c>
    </row>
    <row r="880">
      <c r="A880" s="4" t="s">
        <v>10</v>
      </c>
      <c r="B880" s="5">
        <v>42914.0</v>
      </c>
      <c r="C880" s="6">
        <v>243.49</v>
      </c>
      <c r="D880" s="13">
        <f>+2.16</f>
        <v>2.16</v>
      </c>
      <c r="E880" s="14">
        <f>+0.9%</f>
        <v>0.009</v>
      </c>
      <c r="F880" s="6">
        <v>242.5</v>
      </c>
      <c r="G880" s="6">
        <v>242.23</v>
      </c>
      <c r="H880" s="6">
        <v>243.72</v>
      </c>
      <c r="I880" s="9">
        <v>7.0042599E7</v>
      </c>
      <c r="J880" s="6">
        <v>1.702513701074E10</v>
      </c>
    </row>
    <row r="881">
      <c r="A881" s="4" t="s">
        <v>10</v>
      </c>
      <c r="B881" s="5">
        <v>42915.0</v>
      </c>
      <c r="C881" s="6">
        <v>241.35</v>
      </c>
      <c r="D881" s="11">
        <v>-2.14</v>
      </c>
      <c r="E881" s="12">
        <v>-0.0088</v>
      </c>
      <c r="F881" s="6">
        <v>243.66</v>
      </c>
      <c r="G881" s="6">
        <v>239.96</v>
      </c>
      <c r="H881" s="6">
        <v>243.72</v>
      </c>
      <c r="I881" s="9">
        <v>1.06949719E8</v>
      </c>
      <c r="J881" s="6">
        <v>2.585300122698E10</v>
      </c>
    </row>
    <row r="882">
      <c r="A882" s="4" t="s">
        <v>10</v>
      </c>
      <c r="B882" s="5">
        <v>42916.0</v>
      </c>
      <c r="C882" s="6">
        <v>241.8</v>
      </c>
      <c r="D882" s="13">
        <f>+0.45</f>
        <v>0.45</v>
      </c>
      <c r="E882" s="14">
        <f>+0.19%</f>
        <v>0.0019</v>
      </c>
      <c r="F882" s="6">
        <v>242.28</v>
      </c>
      <c r="G882" s="6">
        <v>241.58</v>
      </c>
      <c r="H882" s="6">
        <v>242.71</v>
      </c>
      <c r="I882" s="9">
        <v>8.6820694E7</v>
      </c>
      <c r="J882" s="6">
        <v>2.101199284446E10</v>
      </c>
    </row>
    <row r="883">
      <c r="A883" s="4" t="s">
        <v>10</v>
      </c>
      <c r="B883" s="5">
        <v>42919.0</v>
      </c>
      <c r="C883" s="6">
        <v>242.21</v>
      </c>
      <c r="D883" s="13">
        <f>+0.41</f>
        <v>0.41</v>
      </c>
      <c r="E883" s="14">
        <f>+0.17%</f>
        <v>0.0017</v>
      </c>
      <c r="F883" s="6">
        <v>242.88</v>
      </c>
      <c r="G883" s="6">
        <v>242.21</v>
      </c>
      <c r="H883" s="6">
        <v>243.38</v>
      </c>
      <c r="I883" s="9">
        <v>3.9153806E7</v>
      </c>
      <c r="J883" s="6">
        <v>9.50666034328E9</v>
      </c>
    </row>
    <row r="884">
      <c r="A884" s="4" t="s">
        <v>10</v>
      </c>
      <c r="B884" s="5">
        <v>42921.0</v>
      </c>
      <c r="C884" s="6">
        <v>242.77</v>
      </c>
      <c r="D884" s="13">
        <f>+0.56</f>
        <v>0.56</v>
      </c>
      <c r="E884" s="14">
        <f>+0.23%</f>
        <v>0.0023</v>
      </c>
      <c r="F884" s="6">
        <v>242.63</v>
      </c>
      <c r="G884" s="6">
        <v>241.7</v>
      </c>
      <c r="H884" s="6">
        <v>243.01</v>
      </c>
      <c r="I884" s="9">
        <v>5.4427596E7</v>
      </c>
      <c r="J884" s="6">
        <v>1.320010128931E10</v>
      </c>
    </row>
    <row r="885">
      <c r="A885" s="4" t="s">
        <v>10</v>
      </c>
      <c r="B885" s="5">
        <v>42922.0</v>
      </c>
      <c r="C885" s="6">
        <v>240.55</v>
      </c>
      <c r="D885" s="11">
        <v>-2.22</v>
      </c>
      <c r="E885" s="12">
        <v>-0.0091</v>
      </c>
      <c r="F885" s="6">
        <v>241.89</v>
      </c>
      <c r="G885" s="6">
        <v>240.34</v>
      </c>
      <c r="H885" s="6">
        <v>242.03</v>
      </c>
      <c r="I885" s="9">
        <v>6.6115317E7</v>
      </c>
      <c r="J885" s="6">
        <v>1.594208545546E10</v>
      </c>
    </row>
    <row r="886">
      <c r="A886" s="4" t="s">
        <v>10</v>
      </c>
      <c r="B886" s="5">
        <v>42923.0</v>
      </c>
      <c r="C886" s="6">
        <v>242.11</v>
      </c>
      <c r="D886" s="13">
        <f>+1.56</f>
        <v>1.56</v>
      </c>
      <c r="E886" s="14">
        <f>+0.65%</f>
        <v>0.0065</v>
      </c>
      <c r="F886" s="6">
        <v>241.21</v>
      </c>
      <c r="G886" s="6">
        <v>240.56</v>
      </c>
      <c r="H886" s="6">
        <v>242.28</v>
      </c>
      <c r="I886" s="9">
        <v>5.7972268E7</v>
      </c>
      <c r="J886" s="6">
        <v>1.401776959436E10</v>
      </c>
    </row>
    <row r="887">
      <c r="A887" s="4" t="s">
        <v>10</v>
      </c>
      <c r="B887" s="5">
        <v>42926.0</v>
      </c>
      <c r="C887" s="6">
        <v>242.37</v>
      </c>
      <c r="D887" s="13">
        <f>+0.26</f>
        <v>0.26</v>
      </c>
      <c r="E887" s="14">
        <f>+0.11%</f>
        <v>0.0011</v>
      </c>
      <c r="F887" s="6">
        <v>241.95</v>
      </c>
      <c r="G887" s="6">
        <v>241.76</v>
      </c>
      <c r="H887" s="6">
        <v>242.8</v>
      </c>
      <c r="I887" s="9">
        <v>3.6663274E7</v>
      </c>
      <c r="J887" s="6">
        <v>8.88636476306E9</v>
      </c>
    </row>
    <row r="888">
      <c r="A888" s="4" t="s">
        <v>10</v>
      </c>
      <c r="B888" s="5">
        <v>42927.0</v>
      </c>
      <c r="C888" s="6">
        <v>242.19</v>
      </c>
      <c r="D888" s="11">
        <v>-0.18</v>
      </c>
      <c r="E888" s="12">
        <v>-7.0E-4</v>
      </c>
      <c r="F888" s="6">
        <v>242.16</v>
      </c>
      <c r="G888" s="6">
        <v>240.85</v>
      </c>
      <c r="H888" s="6">
        <v>242.55</v>
      </c>
      <c r="I888" s="9">
        <v>5.0354614E7</v>
      </c>
      <c r="J888" s="6">
        <v>1.218494257482E10</v>
      </c>
    </row>
    <row r="889">
      <c r="A889" s="4" t="s">
        <v>10</v>
      </c>
      <c r="B889" s="5">
        <v>42928.0</v>
      </c>
      <c r="C889" s="6">
        <v>244.01</v>
      </c>
      <c r="D889" s="13">
        <f>+1.82</f>
        <v>1.82</v>
      </c>
      <c r="E889" s="14">
        <f>+0.75%</f>
        <v>0.0075</v>
      </c>
      <c r="F889" s="6">
        <v>243.3</v>
      </c>
      <c r="G889" s="6">
        <v>243.3</v>
      </c>
      <c r="H889" s="6">
        <v>244.2</v>
      </c>
      <c r="I889" s="9">
        <v>5.9610405E7</v>
      </c>
      <c r="J889" s="6">
        <v>1.452641945151E10</v>
      </c>
    </row>
    <row r="890">
      <c r="A890" s="4" t="s">
        <v>10</v>
      </c>
      <c r="B890" s="5">
        <v>42929.0</v>
      </c>
      <c r="C890" s="6">
        <v>244.42</v>
      </c>
      <c r="D890" s="13">
        <f>+0.41</f>
        <v>0.41</v>
      </c>
      <c r="E890" s="14">
        <f>+0.17%</f>
        <v>0.0017</v>
      </c>
      <c r="F890" s="6">
        <v>244.02</v>
      </c>
      <c r="G890" s="6">
        <v>243.76</v>
      </c>
      <c r="H890" s="6">
        <v>244.55</v>
      </c>
      <c r="I890" s="9">
        <v>3.9471637E7</v>
      </c>
      <c r="J890" s="6">
        <v>9.64256850993E9</v>
      </c>
    </row>
    <row r="891">
      <c r="A891" s="4" t="s">
        <v>10</v>
      </c>
      <c r="B891" s="5">
        <v>42930.0</v>
      </c>
      <c r="C891" s="6">
        <v>245.56</v>
      </c>
      <c r="D891" s="13">
        <f>+1.14</f>
        <v>1.14</v>
      </c>
      <c r="E891" s="14">
        <f>+0.47%</f>
        <v>0.0047</v>
      </c>
      <c r="F891" s="6">
        <v>244.43</v>
      </c>
      <c r="G891" s="6">
        <v>244.31</v>
      </c>
      <c r="H891" s="6">
        <v>245.97</v>
      </c>
      <c r="I891" s="9">
        <v>6.0262692E7</v>
      </c>
      <c r="J891" s="6">
        <v>1.477860622234E10</v>
      </c>
    </row>
    <row r="892">
      <c r="A892" s="4" t="s">
        <v>10</v>
      </c>
      <c r="B892" s="5">
        <v>42933.0</v>
      </c>
      <c r="C892" s="6">
        <v>245.53</v>
      </c>
      <c r="D892" s="11">
        <v>-0.03</v>
      </c>
      <c r="E892" s="12">
        <v>-1.0E-4</v>
      </c>
      <c r="F892" s="6">
        <v>245.47</v>
      </c>
      <c r="G892" s="6">
        <v>245.33</v>
      </c>
      <c r="H892" s="6">
        <v>245.91</v>
      </c>
      <c r="I892" s="9">
        <v>3.3531917E7</v>
      </c>
      <c r="J892" s="6">
        <v>8.23551114919E9</v>
      </c>
    </row>
    <row r="893">
      <c r="A893" s="4" t="s">
        <v>10</v>
      </c>
      <c r="B893" s="5">
        <v>42934.0</v>
      </c>
      <c r="C893" s="6">
        <v>245.66</v>
      </c>
      <c r="D893" s="13">
        <f>+0.13</f>
        <v>0.13</v>
      </c>
      <c r="E893" s="14">
        <f>+0.05%</f>
        <v>0.0005</v>
      </c>
      <c r="F893" s="6">
        <v>245.06</v>
      </c>
      <c r="G893" s="6">
        <v>244.67</v>
      </c>
      <c r="H893" s="6">
        <v>245.72</v>
      </c>
      <c r="I893" s="9">
        <v>4.2742498E7</v>
      </c>
      <c r="J893" s="6">
        <v>1.048639541207E10</v>
      </c>
    </row>
    <row r="894">
      <c r="A894" s="4" t="s">
        <v>10</v>
      </c>
      <c r="B894" s="5">
        <v>42935.0</v>
      </c>
      <c r="C894" s="6">
        <v>246.99</v>
      </c>
      <c r="D894" s="13">
        <f>+1.33</f>
        <v>1.33</v>
      </c>
      <c r="E894" s="14">
        <f>+0.54%</f>
        <v>0.0054</v>
      </c>
      <c r="F894" s="6">
        <v>246.02</v>
      </c>
      <c r="G894" s="6">
        <v>246.01</v>
      </c>
      <c r="H894" s="6">
        <v>247.0</v>
      </c>
      <c r="I894" s="9">
        <v>5.103426E7</v>
      </c>
      <c r="J894" s="6">
        <v>1.258713580215E10</v>
      </c>
    </row>
    <row r="895">
      <c r="A895" s="4" t="s">
        <v>10</v>
      </c>
      <c r="B895" s="5">
        <v>42936.0</v>
      </c>
      <c r="C895" s="6">
        <v>247.1</v>
      </c>
      <c r="D895" s="13">
        <f>+0.11</f>
        <v>0.11</v>
      </c>
      <c r="E895" s="14">
        <f>+0.04%</f>
        <v>0.0004</v>
      </c>
      <c r="F895" s="6">
        <v>247.28</v>
      </c>
      <c r="G895" s="6">
        <v>246.47</v>
      </c>
      <c r="H895" s="6">
        <v>247.42</v>
      </c>
      <c r="I895" s="9">
        <v>4.7135183E7</v>
      </c>
      <c r="J895" s="6">
        <v>1.164529560983E10</v>
      </c>
    </row>
    <row r="896">
      <c r="A896" s="4" t="s">
        <v>10</v>
      </c>
      <c r="B896" s="5">
        <v>42937.0</v>
      </c>
      <c r="C896" s="6">
        <v>246.88</v>
      </c>
      <c r="D896" s="11">
        <v>-0.22</v>
      </c>
      <c r="E896" s="12">
        <v>-9.0E-4</v>
      </c>
      <c r="F896" s="6">
        <v>246.44</v>
      </c>
      <c r="G896" s="6">
        <v>246.18</v>
      </c>
      <c r="H896" s="6">
        <v>246.91</v>
      </c>
      <c r="I896" s="9">
        <v>8.8711019E7</v>
      </c>
      <c r="J896" s="6">
        <v>2.187321568028E10</v>
      </c>
    </row>
    <row r="897">
      <c r="A897" s="4" t="s">
        <v>10</v>
      </c>
      <c r="B897" s="5">
        <v>42940.0</v>
      </c>
      <c r="C897" s="6">
        <v>246.82</v>
      </c>
      <c r="D897" s="11">
        <v>-0.06</v>
      </c>
      <c r="E897" s="12">
        <v>-2.0E-4</v>
      </c>
      <c r="F897" s="6">
        <v>246.79</v>
      </c>
      <c r="G897" s="6">
        <v>246.28</v>
      </c>
      <c r="H897" s="6">
        <v>246.98</v>
      </c>
      <c r="I897" s="9">
        <v>4.6622256E7</v>
      </c>
      <c r="J897" s="6">
        <v>1.150148896843E10</v>
      </c>
    </row>
    <row r="898">
      <c r="A898" s="4" t="s">
        <v>10</v>
      </c>
      <c r="B898" s="5">
        <v>42941.0</v>
      </c>
      <c r="C898" s="6">
        <v>247.42</v>
      </c>
      <c r="D898" s="13">
        <f>+0.6</f>
        <v>0.6</v>
      </c>
      <c r="E898" s="14">
        <f>+0.24%</f>
        <v>0.0024</v>
      </c>
      <c r="F898" s="6">
        <v>247.68</v>
      </c>
      <c r="G898" s="6">
        <v>247.16</v>
      </c>
      <c r="H898" s="6">
        <v>247.8</v>
      </c>
      <c r="I898" s="9">
        <v>5.4915591E7</v>
      </c>
      <c r="J898" s="6">
        <v>1.358419523464E10</v>
      </c>
    </row>
    <row r="899">
      <c r="A899" s="4" t="s">
        <v>10</v>
      </c>
      <c r="B899" s="5">
        <v>42942.0</v>
      </c>
      <c r="C899" s="6">
        <v>247.43</v>
      </c>
      <c r="D899" s="13">
        <f>+0.01</f>
        <v>0.01</v>
      </c>
      <c r="E899" s="14">
        <f>+0%</f>
        <v>0</v>
      </c>
      <c r="F899" s="6">
        <v>247.75</v>
      </c>
      <c r="G899" s="6">
        <v>247.13</v>
      </c>
      <c r="H899" s="6">
        <v>247.79</v>
      </c>
      <c r="I899" s="9">
        <v>4.7575422E7</v>
      </c>
      <c r="J899" s="6">
        <v>1.177437418532E10</v>
      </c>
    </row>
    <row r="900">
      <c r="A900" s="4" t="s">
        <v>10</v>
      </c>
      <c r="B900" s="5">
        <v>42943.0</v>
      </c>
      <c r="C900" s="6">
        <v>247.2</v>
      </c>
      <c r="D900" s="11">
        <v>-0.23</v>
      </c>
      <c r="E900" s="12">
        <v>-9.0E-4</v>
      </c>
      <c r="F900" s="6">
        <v>247.96</v>
      </c>
      <c r="G900" s="6">
        <v>245.68</v>
      </c>
      <c r="H900" s="6">
        <v>248.0</v>
      </c>
      <c r="I900" s="9">
        <v>7.0766568E7</v>
      </c>
      <c r="J900" s="6">
        <v>1.747411527752E10</v>
      </c>
    </row>
    <row r="901">
      <c r="A901" s="4" t="s">
        <v>10</v>
      </c>
      <c r="B901" s="5">
        <v>42944.0</v>
      </c>
      <c r="C901" s="6">
        <v>246.91</v>
      </c>
      <c r="D901" s="11">
        <v>-0.29</v>
      </c>
      <c r="E901" s="12">
        <v>-0.0012</v>
      </c>
      <c r="F901" s="6">
        <v>246.65</v>
      </c>
      <c r="G901" s="6">
        <v>246.13</v>
      </c>
      <c r="H901" s="6">
        <v>247.06</v>
      </c>
      <c r="I901" s="9">
        <v>5.0088359E7</v>
      </c>
      <c r="J901" s="6">
        <v>1.235753324734E10</v>
      </c>
    </row>
    <row r="902">
      <c r="A902" s="4" t="s">
        <v>10</v>
      </c>
      <c r="B902" s="5">
        <v>42947.0</v>
      </c>
      <c r="C902" s="6">
        <v>246.77</v>
      </c>
      <c r="D902" s="11">
        <v>-0.14</v>
      </c>
      <c r="E902" s="12">
        <v>-6.0E-4</v>
      </c>
      <c r="F902" s="6">
        <v>247.37</v>
      </c>
      <c r="G902" s="6">
        <v>246.53</v>
      </c>
      <c r="H902" s="6">
        <v>247.48</v>
      </c>
      <c r="I902" s="9">
        <v>6.5838659E7</v>
      </c>
      <c r="J902" s="6">
        <v>1.625458185027E10</v>
      </c>
    </row>
    <row r="903">
      <c r="A903" s="4" t="s">
        <v>10</v>
      </c>
      <c r="B903" s="5">
        <v>42948.0</v>
      </c>
      <c r="C903" s="6">
        <v>247.32</v>
      </c>
      <c r="D903" s="13">
        <f>+0.55</f>
        <v>0.55</v>
      </c>
      <c r="E903" s="14">
        <f>+0.22%</f>
        <v>0.0022</v>
      </c>
      <c r="F903" s="6">
        <v>247.46</v>
      </c>
      <c r="G903" s="6">
        <v>246.72</v>
      </c>
      <c r="H903" s="6">
        <v>247.5</v>
      </c>
      <c r="I903" s="9">
        <v>5.5050401E7</v>
      </c>
      <c r="J903" s="6">
        <v>1.360841793723E10</v>
      </c>
    </row>
    <row r="904">
      <c r="A904" s="4" t="s">
        <v>10</v>
      </c>
      <c r="B904" s="5">
        <v>42949.0</v>
      </c>
      <c r="C904" s="6">
        <v>247.44</v>
      </c>
      <c r="D904" s="13">
        <f>+0.12</f>
        <v>0.12</v>
      </c>
      <c r="E904" s="14">
        <f>+0.05%</f>
        <v>0.0005</v>
      </c>
      <c r="F904" s="6">
        <v>247.47</v>
      </c>
      <c r="G904" s="6">
        <v>246.37</v>
      </c>
      <c r="H904" s="6">
        <v>247.6</v>
      </c>
      <c r="I904" s="9">
        <v>4.7211216E7</v>
      </c>
      <c r="J904" s="6">
        <v>1.166633782192E10</v>
      </c>
    </row>
    <row r="905">
      <c r="A905" s="4" t="s">
        <v>10</v>
      </c>
      <c r="B905" s="5">
        <v>42950.0</v>
      </c>
      <c r="C905" s="6">
        <v>246.96</v>
      </c>
      <c r="D905" s="11">
        <v>-0.48</v>
      </c>
      <c r="E905" s="12">
        <v>-0.0019</v>
      </c>
      <c r="F905" s="6">
        <v>247.31</v>
      </c>
      <c r="G905" s="6">
        <v>246.64</v>
      </c>
      <c r="H905" s="6">
        <v>247.34</v>
      </c>
      <c r="I905" s="9">
        <v>4.0855997E7</v>
      </c>
      <c r="J905" s="6">
        <v>1.009451137341E10</v>
      </c>
    </row>
    <row r="906">
      <c r="A906" s="4" t="s">
        <v>10</v>
      </c>
      <c r="B906" s="5">
        <v>42951.0</v>
      </c>
      <c r="C906" s="6">
        <v>247.41</v>
      </c>
      <c r="D906" s="13">
        <f>+0.45</f>
        <v>0.45</v>
      </c>
      <c r="E906" s="14">
        <f>+0.18%</f>
        <v>0.0018</v>
      </c>
      <c r="F906" s="6">
        <v>247.52</v>
      </c>
      <c r="G906" s="6">
        <v>246.97</v>
      </c>
      <c r="H906" s="6">
        <v>247.79</v>
      </c>
      <c r="I906" s="9">
        <v>6.0191838E7</v>
      </c>
      <c r="J906" s="6">
        <v>1.488719644794E10</v>
      </c>
    </row>
    <row r="907">
      <c r="A907" s="4" t="s">
        <v>10</v>
      </c>
      <c r="B907" s="5">
        <v>42954.0</v>
      </c>
      <c r="C907" s="6">
        <v>247.87</v>
      </c>
      <c r="D907" s="13">
        <f>+0.46</f>
        <v>0.46</v>
      </c>
      <c r="E907" s="14">
        <f>+0.19%</f>
        <v>0.0019</v>
      </c>
      <c r="F907" s="6">
        <v>247.49</v>
      </c>
      <c r="G907" s="6">
        <v>247.37</v>
      </c>
      <c r="H907" s="6">
        <v>247.87</v>
      </c>
      <c r="I907" s="9">
        <v>3.1995021E7</v>
      </c>
      <c r="J907" s="6">
        <v>7.92416520107E9</v>
      </c>
    </row>
    <row r="908">
      <c r="A908" s="4" t="s">
        <v>10</v>
      </c>
      <c r="B908" s="5">
        <v>42955.0</v>
      </c>
      <c r="C908" s="6">
        <v>247.26</v>
      </c>
      <c r="D908" s="11">
        <v>-0.61</v>
      </c>
      <c r="E908" s="12">
        <v>-0.0025</v>
      </c>
      <c r="F908" s="6">
        <v>247.51</v>
      </c>
      <c r="G908" s="6">
        <v>246.83</v>
      </c>
      <c r="H908" s="6">
        <v>248.91</v>
      </c>
      <c r="I908" s="9">
        <v>6.1719353E7</v>
      </c>
      <c r="J908" s="6">
        <v>1.529033456633E10</v>
      </c>
    </row>
    <row r="909">
      <c r="A909" s="4" t="s">
        <v>10</v>
      </c>
      <c r="B909" s="5">
        <v>42956.0</v>
      </c>
      <c r="C909" s="6">
        <v>247.25</v>
      </c>
      <c r="D909" s="11">
        <v>-0.01</v>
      </c>
      <c r="E909" s="12">
        <v>0.0</v>
      </c>
      <c r="F909" s="6">
        <v>246.47</v>
      </c>
      <c r="G909" s="6">
        <v>246.06</v>
      </c>
      <c r="H909" s="6">
        <v>247.31</v>
      </c>
      <c r="I909" s="9">
        <v>6.2632619E7</v>
      </c>
      <c r="J909" s="6">
        <v>1.54571930499E10</v>
      </c>
    </row>
    <row r="910">
      <c r="A910" s="4" t="s">
        <v>10</v>
      </c>
      <c r="B910" s="5">
        <v>42957.0</v>
      </c>
      <c r="C910" s="6">
        <v>243.76</v>
      </c>
      <c r="D910" s="11">
        <v>-3.49</v>
      </c>
      <c r="E910" s="12">
        <v>-0.0141</v>
      </c>
      <c r="F910" s="6">
        <v>246.29</v>
      </c>
      <c r="G910" s="6">
        <v>243.7</v>
      </c>
      <c r="H910" s="6">
        <v>246.44</v>
      </c>
      <c r="I910" s="9">
        <v>1.2047947E8</v>
      </c>
      <c r="J910" s="6">
        <v>2.95208503283E10</v>
      </c>
    </row>
    <row r="911">
      <c r="A911" s="4" t="s">
        <v>10</v>
      </c>
      <c r="B911" s="5">
        <v>42958.0</v>
      </c>
      <c r="C911" s="6">
        <v>244.12</v>
      </c>
      <c r="D911" s="13">
        <f>+0.36</f>
        <v>0.36</v>
      </c>
      <c r="E911" s="14">
        <f>+0.15%</f>
        <v>0.0015</v>
      </c>
      <c r="F911" s="6">
        <v>244.02</v>
      </c>
      <c r="G911" s="6">
        <v>243.75</v>
      </c>
      <c r="H911" s="6">
        <v>244.8</v>
      </c>
      <c r="I911" s="9">
        <v>7.4869947E7</v>
      </c>
      <c r="J911" s="6">
        <v>1.828495312554E10</v>
      </c>
    </row>
    <row r="912">
      <c r="A912" s="4" t="s">
        <v>10</v>
      </c>
      <c r="B912" s="5">
        <v>42961.0</v>
      </c>
      <c r="C912" s="6">
        <v>246.54</v>
      </c>
      <c r="D912" s="13">
        <f>+2.42</f>
        <v>2.42</v>
      </c>
      <c r="E912" s="14">
        <f>+0.99%</f>
        <v>0.0099</v>
      </c>
      <c r="F912" s="6">
        <v>245.59</v>
      </c>
      <c r="G912" s="6">
        <v>245.55</v>
      </c>
      <c r="H912" s="6">
        <v>246.79</v>
      </c>
      <c r="I912" s="9">
        <v>7.3291919E7</v>
      </c>
      <c r="J912" s="6">
        <v>1.805415802744E10</v>
      </c>
    </row>
    <row r="913">
      <c r="A913" s="4" t="s">
        <v>10</v>
      </c>
      <c r="B913" s="5">
        <v>42962.0</v>
      </c>
      <c r="C913" s="6">
        <v>246.51</v>
      </c>
      <c r="D913" s="11">
        <v>-0.03</v>
      </c>
      <c r="E913" s="12">
        <v>-1.0E-4</v>
      </c>
      <c r="F913" s="6">
        <v>246.98</v>
      </c>
      <c r="G913" s="6">
        <v>246.16</v>
      </c>
      <c r="H913" s="6">
        <v>247.0</v>
      </c>
      <c r="I913" s="9">
        <v>5.5242746E7</v>
      </c>
      <c r="J913" s="6">
        <v>1.362249138548E10</v>
      </c>
    </row>
    <row r="914">
      <c r="A914" s="4" t="s">
        <v>10</v>
      </c>
      <c r="B914" s="5">
        <v>42963.0</v>
      </c>
      <c r="C914" s="6">
        <v>246.94</v>
      </c>
      <c r="D914" s="13">
        <f>+0.43</f>
        <v>0.43</v>
      </c>
      <c r="E914" s="14">
        <f>+0.17%</f>
        <v>0.0017</v>
      </c>
      <c r="F914" s="6">
        <v>247.11</v>
      </c>
      <c r="G914" s="6">
        <v>246.45</v>
      </c>
      <c r="H914" s="6">
        <v>247.57</v>
      </c>
      <c r="I914" s="9">
        <v>5.6715544E7</v>
      </c>
      <c r="J914" s="6">
        <v>1.400968087178E10</v>
      </c>
    </row>
    <row r="915">
      <c r="A915" s="4" t="s">
        <v>10</v>
      </c>
      <c r="B915" s="5">
        <v>42964.0</v>
      </c>
      <c r="C915" s="6">
        <v>243.09</v>
      </c>
      <c r="D915" s="11">
        <v>-3.85</v>
      </c>
      <c r="E915" s="12">
        <v>-0.0156</v>
      </c>
      <c r="F915" s="6">
        <v>246.24</v>
      </c>
      <c r="G915" s="6">
        <v>243.09</v>
      </c>
      <c r="H915" s="6">
        <v>246.6</v>
      </c>
      <c r="I915" s="9">
        <v>1.28490396E8</v>
      </c>
      <c r="J915" s="6">
        <v>3.14504328624E10</v>
      </c>
    </row>
    <row r="916">
      <c r="A916" s="4" t="s">
        <v>10</v>
      </c>
      <c r="B916" s="5">
        <v>42965.0</v>
      </c>
      <c r="C916" s="6">
        <v>242.71</v>
      </c>
      <c r="D916" s="11">
        <v>-0.38</v>
      </c>
      <c r="E916" s="12">
        <v>-0.0016</v>
      </c>
      <c r="F916" s="6">
        <v>242.9</v>
      </c>
      <c r="G916" s="6">
        <v>242.2</v>
      </c>
      <c r="H916" s="6">
        <v>244.19</v>
      </c>
      <c r="I916" s="9">
        <v>1.36747986E8</v>
      </c>
      <c r="J916" s="6">
        <v>3.323240873394E10</v>
      </c>
    </row>
    <row r="917">
      <c r="A917" s="4" t="s">
        <v>10</v>
      </c>
      <c r="B917" s="5">
        <v>42968.0</v>
      </c>
      <c r="C917" s="6">
        <v>242.9</v>
      </c>
      <c r="D917" s="13">
        <f>+0.19</f>
        <v>0.19</v>
      </c>
      <c r="E917" s="14">
        <f>+0.08%</f>
        <v>0.0008</v>
      </c>
      <c r="F917" s="6">
        <v>242.64</v>
      </c>
      <c r="G917" s="6">
        <v>241.83</v>
      </c>
      <c r="H917" s="6">
        <v>243.2</v>
      </c>
      <c r="I917" s="9">
        <v>6.5469736E7</v>
      </c>
      <c r="J917" s="6">
        <v>1.589105492967E10</v>
      </c>
    </row>
    <row r="918">
      <c r="A918" s="4" t="s">
        <v>10</v>
      </c>
      <c r="B918" s="5">
        <v>42969.0</v>
      </c>
      <c r="C918" s="6">
        <v>245.44</v>
      </c>
      <c r="D918" s="13">
        <f>+2.54</f>
        <v>2.54</v>
      </c>
      <c r="E918" s="14">
        <f>+1.05%</f>
        <v>0.0105</v>
      </c>
      <c r="F918" s="6">
        <v>243.57</v>
      </c>
      <c r="G918" s="6">
        <v>243.55</v>
      </c>
      <c r="H918" s="6">
        <v>245.62</v>
      </c>
      <c r="I918" s="9">
        <v>6.3140101E7</v>
      </c>
      <c r="J918" s="6">
        <v>1.545892124898E10</v>
      </c>
    </row>
    <row r="919">
      <c r="A919" s="4" t="s">
        <v>10</v>
      </c>
      <c r="B919" s="5">
        <v>42970.0</v>
      </c>
      <c r="C919" s="6">
        <v>244.56</v>
      </c>
      <c r="D919" s="11">
        <v>-0.88</v>
      </c>
      <c r="E919" s="12">
        <v>-0.0036</v>
      </c>
      <c r="F919" s="6">
        <v>244.33</v>
      </c>
      <c r="G919" s="6">
        <v>244.16</v>
      </c>
      <c r="H919" s="6">
        <v>245.05</v>
      </c>
      <c r="I919" s="9">
        <v>5.0203837E7</v>
      </c>
      <c r="J919" s="6">
        <v>1.228442539727E10</v>
      </c>
    </row>
    <row r="920">
      <c r="A920" s="4" t="s">
        <v>10</v>
      </c>
      <c r="B920" s="5">
        <v>42971.0</v>
      </c>
      <c r="C920" s="6">
        <v>243.99</v>
      </c>
      <c r="D920" s="11">
        <v>-0.57</v>
      </c>
      <c r="E920" s="12">
        <v>-0.0023</v>
      </c>
      <c r="F920" s="6">
        <v>245.0</v>
      </c>
      <c r="G920" s="6">
        <v>243.75</v>
      </c>
      <c r="H920" s="6">
        <v>245.18</v>
      </c>
      <c r="I920" s="9">
        <v>5.0741671E7</v>
      </c>
      <c r="J920" s="6">
        <v>1.23973919953E10</v>
      </c>
    </row>
    <row r="921">
      <c r="A921" s="4" t="s">
        <v>10</v>
      </c>
      <c r="B921" s="5">
        <v>42972.0</v>
      </c>
      <c r="C921" s="6">
        <v>244.56</v>
      </c>
      <c r="D921" s="13">
        <f>+0.57</f>
        <v>0.57</v>
      </c>
      <c r="E921" s="14">
        <f>+0.23%</f>
        <v>0.0023</v>
      </c>
      <c r="F921" s="6">
        <v>244.9</v>
      </c>
      <c r="G921" s="6">
        <v>244.39</v>
      </c>
      <c r="H921" s="6">
        <v>245.61</v>
      </c>
      <c r="I921" s="9">
        <v>6.4445912E7</v>
      </c>
      <c r="J921" s="6">
        <v>1.577633518778E10</v>
      </c>
    </row>
    <row r="922">
      <c r="A922" s="4" t="s">
        <v>10</v>
      </c>
      <c r="B922" s="5">
        <v>42975.0</v>
      </c>
      <c r="C922" s="6">
        <v>244.57</v>
      </c>
      <c r="D922" s="13">
        <f>+0.01</f>
        <v>0.01</v>
      </c>
      <c r="E922" s="14">
        <f>+0%</f>
        <v>0</v>
      </c>
      <c r="F922" s="6">
        <v>245.17</v>
      </c>
      <c r="G922" s="6">
        <v>244.09</v>
      </c>
      <c r="H922" s="6">
        <v>245.2</v>
      </c>
      <c r="I922" s="9">
        <v>4.0565606E7</v>
      </c>
      <c r="J922" s="6">
        <v>9.91665473498E9</v>
      </c>
    </row>
    <row r="923">
      <c r="A923" s="4" t="s">
        <v>10</v>
      </c>
      <c r="B923" s="5">
        <v>42976.0</v>
      </c>
      <c r="C923" s="6">
        <v>244.85</v>
      </c>
      <c r="D923" s="13">
        <f>+0.28</f>
        <v>0.28</v>
      </c>
      <c r="E923" s="14">
        <f>+0.11%</f>
        <v>0.0011</v>
      </c>
      <c r="F923" s="6">
        <v>243.06</v>
      </c>
      <c r="G923" s="6">
        <v>242.93</v>
      </c>
      <c r="H923" s="6">
        <v>245.15</v>
      </c>
      <c r="I923" s="9">
        <v>5.1135715E7</v>
      </c>
      <c r="J923" s="6">
        <v>1.249164147403E10</v>
      </c>
    </row>
    <row r="924">
      <c r="A924" s="4" t="s">
        <v>10</v>
      </c>
      <c r="B924" s="5">
        <v>42977.0</v>
      </c>
      <c r="C924" s="6">
        <v>246.01</v>
      </c>
      <c r="D924" s="13">
        <f>+1.16</f>
        <v>1.16</v>
      </c>
      <c r="E924" s="14">
        <f>+0.47%</f>
        <v>0.0047</v>
      </c>
      <c r="F924" s="6">
        <v>244.83</v>
      </c>
      <c r="G924" s="6">
        <v>244.62</v>
      </c>
      <c r="H924" s="6">
        <v>246.32</v>
      </c>
      <c r="I924" s="9">
        <v>6.2030805E7</v>
      </c>
      <c r="J924" s="6">
        <v>1.523881838585E10</v>
      </c>
    </row>
    <row r="925">
      <c r="A925" s="4" t="s">
        <v>10</v>
      </c>
      <c r="B925" s="5">
        <v>42978.0</v>
      </c>
      <c r="C925" s="6">
        <v>247.49</v>
      </c>
      <c r="D925" s="13">
        <f>+1.48</f>
        <v>1.48</v>
      </c>
      <c r="E925" s="14">
        <f>+0.6%</f>
        <v>0.006</v>
      </c>
      <c r="F925" s="6">
        <v>246.72</v>
      </c>
      <c r="G925" s="6">
        <v>246.05</v>
      </c>
      <c r="H925" s="6">
        <v>247.77</v>
      </c>
      <c r="I925" s="9">
        <v>1.0380388E8</v>
      </c>
      <c r="J925" s="6">
        <v>2.563675998448E10</v>
      </c>
    </row>
    <row r="926">
      <c r="A926" s="4" t="s">
        <v>10</v>
      </c>
      <c r="B926" s="5">
        <v>42979.0</v>
      </c>
      <c r="C926" s="6">
        <v>247.84</v>
      </c>
      <c r="D926" s="13">
        <f>+0.35</f>
        <v>0.35</v>
      </c>
      <c r="E926" s="14">
        <f>+0.14%</f>
        <v>0.0014</v>
      </c>
      <c r="F926" s="6">
        <v>247.92</v>
      </c>
      <c r="G926" s="6">
        <v>247.67</v>
      </c>
      <c r="H926" s="6">
        <v>248.33</v>
      </c>
      <c r="I926" s="9">
        <v>6.2006989E7</v>
      </c>
      <c r="J926" s="6">
        <v>1.537559329232E10</v>
      </c>
    </row>
    <row r="927">
      <c r="A927" s="4" t="s">
        <v>10</v>
      </c>
      <c r="B927" s="5">
        <v>42983.0</v>
      </c>
      <c r="C927" s="6">
        <v>246.06</v>
      </c>
      <c r="D927" s="11">
        <v>-1.78</v>
      </c>
      <c r="E927" s="12">
        <v>-0.0072</v>
      </c>
      <c r="F927" s="6">
        <v>247.26</v>
      </c>
      <c r="G927" s="6">
        <v>244.95</v>
      </c>
      <c r="H927" s="6">
        <v>247.52</v>
      </c>
      <c r="I927" s="9">
        <v>9.1398777E7</v>
      </c>
      <c r="J927" s="6">
        <v>2.251199231636E10</v>
      </c>
    </row>
    <row r="928">
      <c r="A928" s="4" t="s">
        <v>10</v>
      </c>
      <c r="B928" s="5">
        <v>42984.0</v>
      </c>
      <c r="C928" s="6">
        <v>246.9</v>
      </c>
      <c r="D928" s="13">
        <f>+0.84</f>
        <v>0.84</v>
      </c>
      <c r="E928" s="14">
        <f>+0.34%</f>
        <v>0.0034</v>
      </c>
      <c r="F928" s="6">
        <v>246.84</v>
      </c>
      <c r="G928" s="6">
        <v>246.23</v>
      </c>
      <c r="H928" s="6">
        <v>247.28</v>
      </c>
      <c r="I928" s="9">
        <v>5.7916867E7</v>
      </c>
      <c r="J928" s="6">
        <v>1.429486868169E10</v>
      </c>
    </row>
    <row r="929">
      <c r="A929" s="4" t="s">
        <v>10</v>
      </c>
      <c r="B929" s="5">
        <v>42985.0</v>
      </c>
      <c r="C929" s="6">
        <v>246.87</v>
      </c>
      <c r="D929" s="11">
        <v>-0.03</v>
      </c>
      <c r="E929" s="12">
        <v>-1.0E-4</v>
      </c>
      <c r="F929" s="6">
        <v>247.25</v>
      </c>
      <c r="G929" s="6">
        <v>246.4</v>
      </c>
      <c r="H929" s="6">
        <v>247.27</v>
      </c>
      <c r="I929" s="9">
        <v>5.803473E7</v>
      </c>
      <c r="J929" s="6">
        <v>1.432371768897E10</v>
      </c>
    </row>
    <row r="930">
      <c r="A930" s="4" t="s">
        <v>10</v>
      </c>
      <c r="B930" s="5">
        <v>42986.0</v>
      </c>
      <c r="C930" s="6">
        <v>246.58</v>
      </c>
      <c r="D930" s="11">
        <v>-0.29</v>
      </c>
      <c r="E930" s="12">
        <v>-0.0012</v>
      </c>
      <c r="F930" s="6">
        <v>246.54</v>
      </c>
      <c r="G930" s="6">
        <v>246.3</v>
      </c>
      <c r="H930" s="6">
        <v>247.11</v>
      </c>
      <c r="I930" s="9">
        <v>6.3832825E7</v>
      </c>
      <c r="J930" s="6">
        <v>1.574461821139E10</v>
      </c>
    </row>
    <row r="931">
      <c r="A931" s="4" t="s">
        <v>10</v>
      </c>
      <c r="B931" s="5">
        <v>42989.0</v>
      </c>
      <c r="C931" s="6">
        <v>249.21</v>
      </c>
      <c r="D931" s="13">
        <f>+2.63</f>
        <v>2.63</v>
      </c>
      <c r="E931" s="14">
        <f>+1.07%</f>
        <v>0.0107</v>
      </c>
      <c r="F931" s="6">
        <v>248.04</v>
      </c>
      <c r="G931" s="6">
        <v>248.02</v>
      </c>
      <c r="H931" s="6">
        <v>249.3</v>
      </c>
      <c r="I931" s="9">
        <v>7.1364848E7</v>
      </c>
      <c r="J931" s="6">
        <v>1.775259493239E10</v>
      </c>
    </row>
    <row r="932">
      <c r="A932" s="4" t="s">
        <v>10</v>
      </c>
      <c r="B932" s="5">
        <v>42990.0</v>
      </c>
      <c r="C932" s="6">
        <v>250.05</v>
      </c>
      <c r="D932" s="13">
        <f>+0.84</f>
        <v>0.84</v>
      </c>
      <c r="E932" s="14">
        <f>+0.34%</f>
        <v>0.0034</v>
      </c>
      <c r="F932" s="6">
        <v>249.63</v>
      </c>
      <c r="G932" s="6">
        <v>249.42</v>
      </c>
      <c r="H932" s="6">
        <v>250.09</v>
      </c>
      <c r="I932" s="9">
        <v>5.6896027E7</v>
      </c>
      <c r="J932" s="6">
        <v>1.421213332736E10</v>
      </c>
    </row>
    <row r="933">
      <c r="A933" s="4" t="s">
        <v>10</v>
      </c>
      <c r="B933" s="5">
        <v>42991.0</v>
      </c>
      <c r="C933" s="6">
        <v>250.17</v>
      </c>
      <c r="D933" s="13">
        <f>+0.12</f>
        <v>0.12</v>
      </c>
      <c r="E933" s="14">
        <f>+0.05%</f>
        <v>0.0005</v>
      </c>
      <c r="F933" s="6">
        <v>249.72</v>
      </c>
      <c r="G933" s="6">
        <v>249.59</v>
      </c>
      <c r="H933" s="6">
        <v>250.21</v>
      </c>
      <c r="I933" s="9">
        <v>5.9228002E7</v>
      </c>
      <c r="J933" s="6">
        <v>1.480939380143E10</v>
      </c>
    </row>
    <row r="934">
      <c r="A934" s="4" t="s">
        <v>10</v>
      </c>
      <c r="B934" s="5">
        <v>42992.0</v>
      </c>
      <c r="C934" s="6">
        <v>250.09</v>
      </c>
      <c r="D934" s="11">
        <v>-0.08</v>
      </c>
      <c r="E934" s="12">
        <v>-3.0E-4</v>
      </c>
      <c r="F934" s="6">
        <v>249.8</v>
      </c>
      <c r="G934" s="6">
        <v>249.6</v>
      </c>
      <c r="H934" s="6">
        <v>250.32</v>
      </c>
      <c r="I934" s="9">
        <v>9.5446349E7</v>
      </c>
      <c r="J934" s="6">
        <v>2.386663071081E10</v>
      </c>
    </row>
    <row r="935">
      <c r="A935" s="4" t="s">
        <v>10</v>
      </c>
      <c r="B935" s="5">
        <v>42993.0</v>
      </c>
      <c r="C935" s="6">
        <v>249.19</v>
      </c>
      <c r="D935" s="11">
        <v>-0.9</v>
      </c>
      <c r="E935" s="12">
        <v>-0.0036</v>
      </c>
      <c r="F935" s="6">
        <v>248.69</v>
      </c>
      <c r="G935" s="6">
        <v>248.57</v>
      </c>
      <c r="H935" s="6">
        <v>249.29</v>
      </c>
      <c r="I935" s="9">
        <v>9.5432382E7</v>
      </c>
      <c r="J935" s="6">
        <v>2.376522641872E10</v>
      </c>
    </row>
    <row r="936">
      <c r="A936" s="4" t="s">
        <v>10</v>
      </c>
      <c r="B936" s="5">
        <v>42996.0</v>
      </c>
      <c r="C936" s="6">
        <v>249.72</v>
      </c>
      <c r="D936" s="13">
        <f>+0.53</f>
        <v>0.53</v>
      </c>
      <c r="E936" s="14">
        <f>+0.21%</f>
        <v>0.0021</v>
      </c>
      <c r="F936" s="6">
        <v>249.61</v>
      </c>
      <c r="G936" s="6">
        <v>249.28</v>
      </c>
      <c r="H936" s="6">
        <v>250.12</v>
      </c>
      <c r="I936" s="9">
        <v>4.6235238E7</v>
      </c>
      <c r="J936" s="6">
        <v>1.154485148181E10</v>
      </c>
    </row>
    <row r="937">
      <c r="A937" s="4" t="s">
        <v>10</v>
      </c>
      <c r="B937" s="5">
        <v>42997.0</v>
      </c>
      <c r="C937" s="6">
        <v>249.97</v>
      </c>
      <c r="D937" s="13">
        <f>+0.25</f>
        <v>0.25</v>
      </c>
      <c r="E937" s="14">
        <f>+0.1%</f>
        <v>0.001</v>
      </c>
      <c r="F937" s="6">
        <v>250.0</v>
      </c>
      <c r="G937" s="6">
        <v>249.6</v>
      </c>
      <c r="H937" s="6">
        <v>250.07</v>
      </c>
      <c r="I937" s="9">
        <v>4.7108148E7</v>
      </c>
      <c r="J937" s="6">
        <v>1.177127073388E10</v>
      </c>
    </row>
    <row r="938">
      <c r="A938" s="4" t="s">
        <v>10</v>
      </c>
      <c r="B938" s="5">
        <v>42998.0</v>
      </c>
      <c r="C938" s="6">
        <v>250.06</v>
      </c>
      <c r="D938" s="13">
        <f>+0.09</f>
        <v>0.09</v>
      </c>
      <c r="E938" s="14">
        <f>+0.04%</f>
        <v>0.0004</v>
      </c>
      <c r="F938" s="6">
        <v>250.07</v>
      </c>
      <c r="G938" s="6">
        <v>248.92</v>
      </c>
      <c r="H938" s="6">
        <v>250.19</v>
      </c>
      <c r="I938" s="9">
        <v>5.9574083E7</v>
      </c>
      <c r="J938" s="6">
        <v>1.488257144327E10</v>
      </c>
    </row>
    <row r="939">
      <c r="A939" s="4" t="s">
        <v>10</v>
      </c>
      <c r="B939" s="5">
        <v>42999.0</v>
      </c>
      <c r="C939" s="6">
        <v>249.39</v>
      </c>
      <c r="D939" s="11">
        <v>-0.67</v>
      </c>
      <c r="E939" s="12">
        <v>-0.0027</v>
      </c>
      <c r="F939" s="6">
        <v>249.88</v>
      </c>
      <c r="G939" s="6">
        <v>249.19</v>
      </c>
      <c r="H939" s="6">
        <v>249.98</v>
      </c>
      <c r="I939" s="9">
        <v>4.8211398E7</v>
      </c>
      <c r="J939" s="6">
        <v>1.203409271853E10</v>
      </c>
    </row>
    <row r="940">
      <c r="A940" s="4" t="s">
        <v>10</v>
      </c>
      <c r="B940" s="5">
        <v>43000.0</v>
      </c>
      <c r="C940" s="6">
        <v>249.44</v>
      </c>
      <c r="D940" s="13">
        <f>+0.05</f>
        <v>0.05</v>
      </c>
      <c r="E940" s="14">
        <f>+0.02%</f>
        <v>0.0002</v>
      </c>
      <c r="F940" s="6">
        <v>249.05</v>
      </c>
      <c r="G940" s="6">
        <v>249.02</v>
      </c>
      <c r="H940" s="6">
        <v>249.63</v>
      </c>
      <c r="I940" s="9">
        <v>5.1214032E7</v>
      </c>
      <c r="J940" s="6">
        <v>1.277078866893E10</v>
      </c>
    </row>
    <row r="941">
      <c r="A941" s="4" t="s">
        <v>10</v>
      </c>
      <c r="B941" s="5">
        <v>43003.0</v>
      </c>
      <c r="C941" s="6">
        <v>248.93</v>
      </c>
      <c r="D941" s="11">
        <v>-0.51</v>
      </c>
      <c r="E941" s="12">
        <v>-0.002</v>
      </c>
      <c r="F941" s="6">
        <v>249.15</v>
      </c>
      <c r="G941" s="6">
        <v>248.08</v>
      </c>
      <c r="H941" s="6">
        <v>249.55</v>
      </c>
      <c r="I941" s="9">
        <v>5.7064357E7</v>
      </c>
      <c r="J941" s="6">
        <v>1.42019455924E10</v>
      </c>
    </row>
    <row r="942">
      <c r="A942" s="4" t="s">
        <v>10</v>
      </c>
      <c r="B942" s="5">
        <v>43004.0</v>
      </c>
      <c r="C942" s="6">
        <v>249.08</v>
      </c>
      <c r="D942" s="13">
        <f>+0.15</f>
        <v>0.15</v>
      </c>
      <c r="E942" s="14">
        <f>+0.06%</f>
        <v>0.0006</v>
      </c>
      <c r="F942" s="6">
        <v>249.42</v>
      </c>
      <c r="G942" s="6">
        <v>248.81</v>
      </c>
      <c r="H942" s="6">
        <v>249.7</v>
      </c>
      <c r="I942" s="9">
        <v>5.4081959E7</v>
      </c>
      <c r="J942" s="6">
        <v>1.34777535877E10</v>
      </c>
    </row>
    <row r="943">
      <c r="A943" s="4" t="s">
        <v>10</v>
      </c>
      <c r="B943" s="5">
        <v>43005.0</v>
      </c>
      <c r="C943" s="6">
        <v>250.05</v>
      </c>
      <c r="D943" s="13">
        <f>+0.97</f>
        <v>0.97</v>
      </c>
      <c r="E943" s="14">
        <f>+0.39%</f>
        <v>0.0039</v>
      </c>
      <c r="F943" s="6">
        <v>249.88</v>
      </c>
      <c r="G943" s="6">
        <v>248.87</v>
      </c>
      <c r="H943" s="6">
        <v>250.49</v>
      </c>
      <c r="I943" s="9">
        <v>8.1001426E7</v>
      </c>
      <c r="J943" s="6">
        <v>2.023768847966E10</v>
      </c>
    </row>
    <row r="944">
      <c r="A944" s="4" t="s">
        <v>10</v>
      </c>
      <c r="B944" s="5">
        <v>43006.0</v>
      </c>
      <c r="C944" s="6">
        <v>250.35</v>
      </c>
      <c r="D944" s="13">
        <f>+0.3</f>
        <v>0.3</v>
      </c>
      <c r="E944" s="14">
        <f>+0.12%</f>
        <v>0.0012</v>
      </c>
      <c r="F944" s="6">
        <v>249.73</v>
      </c>
      <c r="G944" s="6">
        <v>249.63</v>
      </c>
      <c r="H944" s="6">
        <v>250.44</v>
      </c>
      <c r="I944" s="9">
        <v>4.4778841E7</v>
      </c>
      <c r="J944" s="6">
        <v>1.120149659916E10</v>
      </c>
    </row>
    <row r="945">
      <c r="A945" s="4" t="s">
        <v>10</v>
      </c>
      <c r="B945" s="5">
        <v>43007.0</v>
      </c>
      <c r="C945" s="6">
        <v>251.23</v>
      </c>
      <c r="D945" s="13">
        <f>+0.88</f>
        <v>0.88</v>
      </c>
      <c r="E945" s="14">
        <f>+0.35%</f>
        <v>0.0035</v>
      </c>
      <c r="F945" s="6">
        <v>250.34</v>
      </c>
      <c r="G945" s="6">
        <v>250.13</v>
      </c>
      <c r="H945" s="6">
        <v>251.32</v>
      </c>
      <c r="I945" s="9">
        <v>8.5578002E7</v>
      </c>
      <c r="J945" s="6">
        <v>2.147636489087E10</v>
      </c>
    </row>
    <row r="946">
      <c r="A946" s="4" t="s">
        <v>10</v>
      </c>
      <c r="B946" s="5">
        <v>43010.0</v>
      </c>
      <c r="C946" s="6">
        <v>252.32</v>
      </c>
      <c r="D946" s="13">
        <f>+1.09</f>
        <v>1.09</v>
      </c>
      <c r="E946" s="14">
        <f>+0.43%</f>
        <v>0.0043</v>
      </c>
      <c r="F946" s="6">
        <v>251.49</v>
      </c>
      <c r="G946" s="6">
        <v>251.29</v>
      </c>
      <c r="H946" s="6">
        <v>252.32</v>
      </c>
      <c r="I946" s="9">
        <v>5.9022985E7</v>
      </c>
      <c r="J946" s="6">
        <v>1.487222894282E10</v>
      </c>
    </row>
    <row r="947">
      <c r="A947" s="4" t="s">
        <v>10</v>
      </c>
      <c r="B947" s="5">
        <v>43011.0</v>
      </c>
      <c r="C947" s="6">
        <v>252.86</v>
      </c>
      <c r="D947" s="13">
        <f>+0.54</f>
        <v>0.54</v>
      </c>
      <c r="E947" s="14">
        <f>+0.21%</f>
        <v>0.0021</v>
      </c>
      <c r="F947" s="6">
        <v>252.46</v>
      </c>
      <c r="G947" s="6">
        <v>252.23</v>
      </c>
      <c r="H947" s="6">
        <v>252.89</v>
      </c>
      <c r="I947" s="9">
        <v>6.6810169E7</v>
      </c>
      <c r="J947" s="6">
        <v>1.687527807552E10</v>
      </c>
    </row>
    <row r="948">
      <c r="A948" s="4" t="s">
        <v>10</v>
      </c>
      <c r="B948" s="5">
        <v>43012.0</v>
      </c>
      <c r="C948" s="6">
        <v>253.16</v>
      </c>
      <c r="D948" s="13">
        <f>+0.3</f>
        <v>0.3</v>
      </c>
      <c r="E948" s="14">
        <f>+0.12%</f>
        <v>0.0012</v>
      </c>
      <c r="F948" s="6">
        <v>252.69</v>
      </c>
      <c r="G948" s="6">
        <v>252.56</v>
      </c>
      <c r="H948" s="6">
        <v>253.44</v>
      </c>
      <c r="I948" s="9">
        <v>5.5953619E7</v>
      </c>
      <c r="J948" s="6">
        <v>1.415766550481E10</v>
      </c>
    </row>
    <row r="949">
      <c r="A949" s="4" t="s">
        <v>10</v>
      </c>
      <c r="B949" s="5">
        <v>43013.0</v>
      </c>
      <c r="C949" s="6">
        <v>254.66</v>
      </c>
      <c r="D949" s="13">
        <f>+1.5</f>
        <v>1.5</v>
      </c>
      <c r="E949" s="14">
        <f>+0.59%</f>
        <v>0.0059</v>
      </c>
      <c r="F949" s="6">
        <v>253.54</v>
      </c>
      <c r="G949" s="6">
        <v>253.2</v>
      </c>
      <c r="H949" s="6">
        <v>254.68</v>
      </c>
      <c r="I949" s="9">
        <v>6.3522757E7</v>
      </c>
      <c r="J949" s="6">
        <v>1.614903093852E10</v>
      </c>
    </row>
    <row r="950">
      <c r="A950" s="4" t="s">
        <v>10</v>
      </c>
      <c r="B950" s="5">
        <v>43014.0</v>
      </c>
      <c r="C950" s="6">
        <v>254.37</v>
      </c>
      <c r="D950" s="11">
        <v>-0.29</v>
      </c>
      <c r="E950" s="12">
        <v>-0.0011</v>
      </c>
      <c r="F950" s="6">
        <v>254.15</v>
      </c>
      <c r="G950" s="6">
        <v>253.85</v>
      </c>
      <c r="H950" s="6">
        <v>254.7</v>
      </c>
      <c r="I950" s="9">
        <v>8.0645998E7</v>
      </c>
      <c r="J950" s="6">
        <v>2.050838426478E10</v>
      </c>
    </row>
    <row r="951">
      <c r="A951" s="4" t="s">
        <v>10</v>
      </c>
      <c r="B951" s="5">
        <v>43017.0</v>
      </c>
      <c r="C951" s="6">
        <v>253.95</v>
      </c>
      <c r="D951" s="11">
        <v>-0.42</v>
      </c>
      <c r="E951" s="12">
        <v>-0.0017</v>
      </c>
      <c r="F951" s="6">
        <v>254.63</v>
      </c>
      <c r="G951" s="6">
        <v>253.65</v>
      </c>
      <c r="H951" s="6">
        <v>254.7</v>
      </c>
      <c r="I951" s="9">
        <v>3.5803138E7</v>
      </c>
      <c r="J951" s="6">
        <v>9.09755001232E9</v>
      </c>
    </row>
    <row r="952">
      <c r="A952" s="4" t="s">
        <v>10</v>
      </c>
      <c r="B952" s="5">
        <v>43018.0</v>
      </c>
      <c r="C952" s="6">
        <v>254.62</v>
      </c>
      <c r="D952" s="13">
        <f>+0.67</f>
        <v>0.67</v>
      </c>
      <c r="E952" s="14">
        <f>+0.26%</f>
        <v>0.0026</v>
      </c>
      <c r="F952" s="6">
        <v>254.6</v>
      </c>
      <c r="G952" s="6">
        <v>253.98</v>
      </c>
      <c r="H952" s="6">
        <v>255.05</v>
      </c>
      <c r="I952" s="9">
        <v>4.3057363E7</v>
      </c>
      <c r="J952" s="6">
        <v>1.095381721242E10</v>
      </c>
    </row>
    <row r="953">
      <c r="A953" s="4" t="s">
        <v>10</v>
      </c>
      <c r="B953" s="5">
        <v>43019.0</v>
      </c>
      <c r="C953" s="6">
        <v>255.02</v>
      </c>
      <c r="D953" s="13">
        <f>+0.4</f>
        <v>0.4</v>
      </c>
      <c r="E953" s="14">
        <f>+0.16%</f>
        <v>0.0016</v>
      </c>
      <c r="F953" s="6">
        <v>254.51</v>
      </c>
      <c r="G953" s="6">
        <v>254.32</v>
      </c>
      <c r="H953" s="6">
        <v>255.02</v>
      </c>
      <c r="I953" s="9">
        <v>4.7674325E7</v>
      </c>
      <c r="J953" s="6">
        <v>1.21458315546E10</v>
      </c>
    </row>
    <row r="954">
      <c r="A954" s="4" t="s">
        <v>10</v>
      </c>
      <c r="B954" s="5">
        <v>43020.0</v>
      </c>
      <c r="C954" s="6">
        <v>254.64</v>
      </c>
      <c r="D954" s="11">
        <v>-0.38</v>
      </c>
      <c r="E954" s="12">
        <v>-0.0015</v>
      </c>
      <c r="F954" s="6">
        <v>254.66</v>
      </c>
      <c r="G954" s="6">
        <v>254.37</v>
      </c>
      <c r="H954" s="6">
        <v>255.06</v>
      </c>
      <c r="I954" s="9">
        <v>4.7065144E7</v>
      </c>
      <c r="J954" s="6">
        <v>1.198916888244E10</v>
      </c>
    </row>
    <row r="955">
      <c r="A955" s="4" t="s">
        <v>10</v>
      </c>
      <c r="B955" s="5">
        <v>43021.0</v>
      </c>
      <c r="C955" s="6">
        <v>254.95</v>
      </c>
      <c r="D955" s="13">
        <f>+0.31</f>
        <v>0.31</v>
      </c>
      <c r="E955" s="14">
        <f>+0.12%</f>
        <v>0.0012</v>
      </c>
      <c r="F955" s="6">
        <v>255.14</v>
      </c>
      <c r="G955" s="6">
        <v>254.64</v>
      </c>
      <c r="H955" s="6">
        <v>255.27</v>
      </c>
      <c r="I955" s="9">
        <v>5.4800435E7</v>
      </c>
      <c r="J955" s="6">
        <v>1.397297633387E10</v>
      </c>
    </row>
    <row r="956">
      <c r="A956" s="4" t="s">
        <v>10</v>
      </c>
      <c r="B956" s="5">
        <v>43024.0</v>
      </c>
      <c r="C956" s="6">
        <v>255.29</v>
      </c>
      <c r="D956" s="13">
        <f>+0.34</f>
        <v>0.34</v>
      </c>
      <c r="E956" s="14">
        <f>+0.13%</f>
        <v>0.0013</v>
      </c>
      <c r="F956" s="6">
        <v>255.21</v>
      </c>
      <c r="G956" s="6">
        <v>254.82</v>
      </c>
      <c r="H956" s="6">
        <v>255.51</v>
      </c>
      <c r="I956" s="9">
        <v>3.8221675E7</v>
      </c>
      <c r="J956" s="6">
        <v>9.75298121193E9</v>
      </c>
    </row>
    <row r="957">
      <c r="A957" s="4" t="s">
        <v>10</v>
      </c>
      <c r="B957" s="5">
        <v>43025.0</v>
      </c>
      <c r="C957" s="6">
        <v>255.47</v>
      </c>
      <c r="D957" s="13">
        <f>+0.18</f>
        <v>0.18</v>
      </c>
      <c r="E957" s="14">
        <f>+0.07%</f>
        <v>0.0007</v>
      </c>
      <c r="F957" s="6">
        <v>255.23</v>
      </c>
      <c r="G957" s="6">
        <v>254.98</v>
      </c>
      <c r="H957" s="6">
        <v>255.52</v>
      </c>
      <c r="I957" s="9">
        <v>3.1560964E7</v>
      </c>
      <c r="J957" s="6">
        <v>8.05671626838E9</v>
      </c>
    </row>
    <row r="958">
      <c r="A958" s="4" t="s">
        <v>10</v>
      </c>
      <c r="B958" s="5">
        <v>43026.0</v>
      </c>
      <c r="C958" s="6">
        <v>255.72</v>
      </c>
      <c r="D958" s="13">
        <f>+0.25</f>
        <v>0.25</v>
      </c>
      <c r="E958" s="14">
        <f>+0.1%</f>
        <v>0.001</v>
      </c>
      <c r="F958" s="6">
        <v>255.9</v>
      </c>
      <c r="G958" s="6">
        <v>255.5</v>
      </c>
      <c r="H958" s="6">
        <v>255.95</v>
      </c>
      <c r="I958" s="9">
        <v>4.088833E7</v>
      </c>
      <c r="J958" s="6">
        <v>1.045597119186E10</v>
      </c>
    </row>
    <row r="959">
      <c r="A959" s="4" t="s">
        <v>10</v>
      </c>
      <c r="B959" s="5">
        <v>43027.0</v>
      </c>
      <c r="C959" s="6">
        <v>255.79</v>
      </c>
      <c r="D959" s="13">
        <f>+0.07</f>
        <v>0.07</v>
      </c>
      <c r="E959" s="14">
        <f>+0.03%</f>
        <v>0.0003</v>
      </c>
      <c r="F959" s="6">
        <v>254.83</v>
      </c>
      <c r="G959" s="6">
        <v>254.35</v>
      </c>
      <c r="H959" s="6">
        <v>255.83</v>
      </c>
      <c r="I959" s="9">
        <v>6.1903788E7</v>
      </c>
      <c r="J959" s="6">
        <v>1.580385483068E10</v>
      </c>
    </row>
    <row r="960">
      <c r="A960" s="4" t="s">
        <v>10</v>
      </c>
      <c r="B960" s="5">
        <v>43028.0</v>
      </c>
      <c r="C960" s="6">
        <v>257.11</v>
      </c>
      <c r="D960" s="13">
        <f>+1.32</f>
        <v>1.32</v>
      </c>
      <c r="E960" s="14">
        <f>+0.52%</f>
        <v>0.0052</v>
      </c>
      <c r="F960" s="6">
        <v>256.7</v>
      </c>
      <c r="G960" s="6">
        <v>255.77</v>
      </c>
      <c r="H960" s="6">
        <v>257.14</v>
      </c>
      <c r="I960" s="9">
        <v>8.9176377E7</v>
      </c>
      <c r="J960" s="6">
        <v>2.289747814842E10</v>
      </c>
    </row>
    <row r="961">
      <c r="A961" s="4" t="s">
        <v>10</v>
      </c>
      <c r="B961" s="5">
        <v>43031.0</v>
      </c>
      <c r="C961" s="6">
        <v>256.11</v>
      </c>
      <c r="D961" s="11">
        <v>-1.0</v>
      </c>
      <c r="E961" s="12">
        <v>-0.0039</v>
      </c>
      <c r="F961" s="6">
        <v>257.48</v>
      </c>
      <c r="G961" s="6">
        <v>256.02</v>
      </c>
      <c r="H961" s="6">
        <v>257.51</v>
      </c>
      <c r="I961" s="9">
        <v>6.3915306E7</v>
      </c>
      <c r="J961" s="6">
        <v>1.640729496792E10</v>
      </c>
    </row>
    <row r="962">
      <c r="A962" s="4" t="s">
        <v>10</v>
      </c>
      <c r="B962" s="5">
        <v>43032.0</v>
      </c>
      <c r="C962" s="6">
        <v>256.56</v>
      </c>
      <c r="D962" s="13">
        <f>+0.45</f>
        <v>0.45</v>
      </c>
      <c r="E962" s="14">
        <f>+0.18%</f>
        <v>0.0018</v>
      </c>
      <c r="F962" s="6">
        <v>256.6</v>
      </c>
      <c r="G962" s="6">
        <v>256.15</v>
      </c>
      <c r="H962" s="6">
        <v>256.83</v>
      </c>
      <c r="I962" s="9">
        <v>6.693591E7</v>
      </c>
      <c r="J962" s="6">
        <v>1.716834785914E10</v>
      </c>
    </row>
    <row r="963">
      <c r="A963" s="4" t="s">
        <v>10</v>
      </c>
      <c r="B963" s="5">
        <v>43033.0</v>
      </c>
      <c r="C963" s="6">
        <v>255.29</v>
      </c>
      <c r="D963" s="11">
        <v>-1.27</v>
      </c>
      <c r="E963" s="12">
        <v>-0.005</v>
      </c>
      <c r="F963" s="6">
        <v>256.18</v>
      </c>
      <c r="G963" s="6">
        <v>254.0</v>
      </c>
      <c r="H963" s="6">
        <v>256.31</v>
      </c>
      <c r="I963" s="9">
        <v>1.03715291E8</v>
      </c>
      <c r="J963" s="6">
        <v>2.64734443827E10</v>
      </c>
    </row>
    <row r="964">
      <c r="A964" s="4" t="s">
        <v>10</v>
      </c>
      <c r="B964" s="5">
        <v>43034.0</v>
      </c>
      <c r="C964" s="6">
        <v>255.62</v>
      </c>
      <c r="D964" s="13">
        <f>+0.33</f>
        <v>0.33</v>
      </c>
      <c r="E964" s="14">
        <f>+0.13%</f>
        <v>0.0013</v>
      </c>
      <c r="F964" s="6">
        <v>255.99</v>
      </c>
      <c r="G964" s="6">
        <v>255.48</v>
      </c>
      <c r="H964" s="6">
        <v>256.3</v>
      </c>
      <c r="I964" s="9">
        <v>6.9797972E7</v>
      </c>
      <c r="J964" s="6">
        <v>1.785123230135E10</v>
      </c>
    </row>
    <row r="965">
      <c r="A965" s="4" t="s">
        <v>10</v>
      </c>
      <c r="B965" s="5">
        <v>43035.0</v>
      </c>
      <c r="C965" s="6">
        <v>257.71</v>
      </c>
      <c r="D965" s="13">
        <f>+2.09</f>
        <v>2.09</v>
      </c>
      <c r="E965" s="14">
        <f>+0.82%</f>
        <v>0.0082</v>
      </c>
      <c r="F965" s="6">
        <v>256.47</v>
      </c>
      <c r="G965" s="6">
        <v>255.63</v>
      </c>
      <c r="H965" s="6">
        <v>257.89</v>
      </c>
      <c r="I965" s="9">
        <v>8.5562544E7</v>
      </c>
      <c r="J965" s="6">
        <v>2.200829664142E10</v>
      </c>
    </row>
    <row r="966">
      <c r="A966" s="4" t="s">
        <v>10</v>
      </c>
      <c r="B966" s="5">
        <v>43038.0</v>
      </c>
      <c r="C966" s="6">
        <v>256.75</v>
      </c>
      <c r="D966" s="11">
        <v>-0.96</v>
      </c>
      <c r="E966" s="12">
        <v>-0.0037</v>
      </c>
      <c r="F966" s="6">
        <v>257.07</v>
      </c>
      <c r="G966" s="6">
        <v>256.41</v>
      </c>
      <c r="H966" s="6">
        <v>257.6</v>
      </c>
      <c r="I966" s="9">
        <v>5.4285687E7</v>
      </c>
      <c r="J966" s="6">
        <v>1.39535510776E10</v>
      </c>
    </row>
    <row r="967">
      <c r="A967" s="4" t="s">
        <v>10</v>
      </c>
      <c r="B967" s="5">
        <v>43039.0</v>
      </c>
      <c r="C967" s="6">
        <v>257.15</v>
      </c>
      <c r="D967" s="13">
        <f>+0.4</f>
        <v>0.4</v>
      </c>
      <c r="E967" s="14">
        <f>+0.16%</f>
        <v>0.0016</v>
      </c>
      <c r="F967" s="6">
        <v>257.18</v>
      </c>
      <c r="G967" s="6">
        <v>256.81</v>
      </c>
      <c r="H967" s="6">
        <v>257.44</v>
      </c>
      <c r="I967" s="9">
        <v>6.0304781E7</v>
      </c>
      <c r="J967" s="6">
        <v>1.550827882168E10</v>
      </c>
    </row>
    <row r="968">
      <c r="A968" s="4" t="s">
        <v>10</v>
      </c>
      <c r="B968" s="5">
        <v>43040.0</v>
      </c>
      <c r="C968" s="6">
        <v>257.49</v>
      </c>
      <c r="D968" s="13">
        <f>+0.34</f>
        <v>0.34</v>
      </c>
      <c r="E968" s="14">
        <f>+0.13%</f>
        <v>0.0013</v>
      </c>
      <c r="F968" s="6">
        <v>258.04</v>
      </c>
      <c r="G968" s="6">
        <v>257.07</v>
      </c>
      <c r="H968" s="6">
        <v>258.43</v>
      </c>
      <c r="I968" s="9">
        <v>5.4202736E7</v>
      </c>
      <c r="J968" s="6">
        <v>1.396902869292E10</v>
      </c>
    </row>
    <row r="969">
      <c r="A969" s="4" t="s">
        <v>10</v>
      </c>
      <c r="B969" s="5">
        <v>43041.0</v>
      </c>
      <c r="C969" s="6">
        <v>257.59</v>
      </c>
      <c r="D969" s="13">
        <f>+0.1</f>
        <v>0.1</v>
      </c>
      <c r="E969" s="14">
        <f>+0.04%</f>
        <v>0.0004</v>
      </c>
      <c r="F969" s="6">
        <v>257.41</v>
      </c>
      <c r="G969" s="6">
        <v>256.19</v>
      </c>
      <c r="H969" s="6">
        <v>257.75</v>
      </c>
      <c r="I969" s="9">
        <v>5.6449535E7</v>
      </c>
      <c r="J969" s="6">
        <v>1.452173421343E10</v>
      </c>
    </row>
    <row r="970">
      <c r="A970" s="4" t="s">
        <v>10</v>
      </c>
      <c r="B970" s="5">
        <v>43042.0</v>
      </c>
      <c r="C970" s="6">
        <v>258.45</v>
      </c>
      <c r="D970" s="13">
        <f>+0.86</f>
        <v>0.86</v>
      </c>
      <c r="E970" s="14">
        <f>+0.33%</f>
        <v>0.0033</v>
      </c>
      <c r="F970" s="6">
        <v>257.77</v>
      </c>
      <c r="G970" s="6">
        <v>257.3</v>
      </c>
      <c r="H970" s="6">
        <v>258.5</v>
      </c>
      <c r="I970" s="9">
        <v>5.958973E7</v>
      </c>
      <c r="J970" s="6">
        <v>1.538027850328E10</v>
      </c>
    </row>
    <row r="971">
      <c r="A971" s="4" t="s">
        <v>10</v>
      </c>
      <c r="B971" s="5">
        <v>43045.0</v>
      </c>
      <c r="C971" s="6">
        <v>258.85</v>
      </c>
      <c r="D971" s="13">
        <f>+0.4</f>
        <v>0.4</v>
      </c>
      <c r="E971" s="14">
        <f>+0.15%</f>
        <v>0.0015</v>
      </c>
      <c r="F971" s="6">
        <v>258.3</v>
      </c>
      <c r="G971" s="6">
        <v>258.22</v>
      </c>
      <c r="H971" s="6">
        <v>259.0</v>
      </c>
      <c r="I971" s="9">
        <v>4.9652598E7</v>
      </c>
      <c r="J971" s="6">
        <v>1.28427921989E10</v>
      </c>
    </row>
    <row r="972">
      <c r="A972" s="4" t="s">
        <v>10</v>
      </c>
      <c r="B972" s="5">
        <v>43046.0</v>
      </c>
      <c r="C972" s="6">
        <v>258.67</v>
      </c>
      <c r="D972" s="11">
        <v>-0.18</v>
      </c>
      <c r="E972" s="12">
        <v>-7.0E-4</v>
      </c>
      <c r="F972" s="6">
        <v>258.97</v>
      </c>
      <c r="G972" s="6">
        <v>258.09</v>
      </c>
      <c r="H972" s="6">
        <v>259.35</v>
      </c>
      <c r="I972" s="9">
        <v>5.7502161E7</v>
      </c>
      <c r="J972" s="6">
        <v>1.487378836436E10</v>
      </c>
    </row>
    <row r="973">
      <c r="A973" s="4" t="s">
        <v>10</v>
      </c>
      <c r="B973" s="5">
        <v>43047.0</v>
      </c>
      <c r="C973" s="6">
        <v>259.11</v>
      </c>
      <c r="D973" s="13">
        <f>+0.44</f>
        <v>0.44</v>
      </c>
      <c r="E973" s="14">
        <f>+0.17%</f>
        <v>0.0017</v>
      </c>
      <c r="F973" s="6">
        <v>258.47</v>
      </c>
      <c r="G973" s="6">
        <v>258.15</v>
      </c>
      <c r="H973" s="6">
        <v>259.22</v>
      </c>
      <c r="I973" s="9">
        <v>5.0469579E7</v>
      </c>
      <c r="J973" s="6">
        <v>1.306304439786E10</v>
      </c>
    </row>
    <row r="974">
      <c r="A974" s="4" t="s">
        <v>10</v>
      </c>
      <c r="B974" s="5">
        <v>43048.0</v>
      </c>
      <c r="C974" s="6">
        <v>258.17</v>
      </c>
      <c r="D974" s="11">
        <v>-0.94</v>
      </c>
      <c r="E974" s="12">
        <v>-0.0036</v>
      </c>
      <c r="F974" s="6">
        <v>257.73</v>
      </c>
      <c r="G974" s="6">
        <v>256.36</v>
      </c>
      <c r="H974" s="6">
        <v>258.39</v>
      </c>
      <c r="I974" s="9">
        <v>9.5085497E7</v>
      </c>
      <c r="J974" s="6">
        <v>2.450887515906E10</v>
      </c>
    </row>
    <row r="975">
      <c r="A975" s="4" t="s">
        <v>10</v>
      </c>
      <c r="B975" s="5">
        <v>43049.0</v>
      </c>
      <c r="C975" s="6">
        <v>258.09</v>
      </c>
      <c r="D975" s="11">
        <v>-0.08</v>
      </c>
      <c r="E975" s="12">
        <v>-3.0E-4</v>
      </c>
      <c r="F975" s="6">
        <v>257.73</v>
      </c>
      <c r="G975" s="6">
        <v>257.37</v>
      </c>
      <c r="H975" s="6">
        <v>258.29</v>
      </c>
      <c r="I975" s="9">
        <v>5.9984662E7</v>
      </c>
      <c r="J975" s="6">
        <v>1.547340821122E10</v>
      </c>
    </row>
    <row r="976">
      <c r="A976" s="4" t="s">
        <v>10</v>
      </c>
      <c r="B976" s="5">
        <v>43052.0</v>
      </c>
      <c r="C976" s="6">
        <v>258.33</v>
      </c>
      <c r="D976" s="13">
        <f>+0.24</f>
        <v>0.24</v>
      </c>
      <c r="E976" s="14">
        <f>+0.09%</f>
        <v>0.0009</v>
      </c>
      <c r="F976" s="6">
        <v>257.31</v>
      </c>
      <c r="G976" s="6">
        <v>257.27</v>
      </c>
      <c r="H976" s="6">
        <v>258.59</v>
      </c>
      <c r="I976" s="9">
        <v>5.0228648E7</v>
      </c>
      <c r="J976" s="6">
        <v>1.296568672137E10</v>
      </c>
    </row>
    <row r="977">
      <c r="A977" s="4" t="s">
        <v>10</v>
      </c>
      <c r="B977" s="5">
        <v>43053.0</v>
      </c>
      <c r="C977" s="6">
        <v>257.73</v>
      </c>
      <c r="D977" s="11">
        <v>-0.6</v>
      </c>
      <c r="E977" s="12">
        <v>-0.0023</v>
      </c>
      <c r="F977" s="6">
        <v>257.41</v>
      </c>
      <c r="G977" s="6">
        <v>256.52</v>
      </c>
      <c r="H977" s="6">
        <v>257.85</v>
      </c>
      <c r="I977" s="9">
        <v>6.1315152E7</v>
      </c>
      <c r="J977" s="6">
        <v>1.579196183314E10</v>
      </c>
    </row>
    <row r="978">
      <c r="A978" s="4" t="s">
        <v>10</v>
      </c>
      <c r="B978" s="5">
        <v>43054.0</v>
      </c>
      <c r="C978" s="6">
        <v>256.44</v>
      </c>
      <c r="D978" s="11">
        <v>-1.29</v>
      </c>
      <c r="E978" s="12">
        <v>-0.005</v>
      </c>
      <c r="F978" s="6">
        <v>256.62</v>
      </c>
      <c r="G978" s="6">
        <v>255.63</v>
      </c>
      <c r="H978" s="6">
        <v>257.22</v>
      </c>
      <c r="I978" s="9">
        <v>8.0811525E7</v>
      </c>
      <c r="J978" s="6">
        <v>2.073828761634E10</v>
      </c>
    </row>
    <row r="979">
      <c r="A979" s="4" t="s">
        <v>10</v>
      </c>
      <c r="B979" s="5">
        <v>43055.0</v>
      </c>
      <c r="C979" s="6">
        <v>258.62</v>
      </c>
      <c r="D979" s="13">
        <f>+2.18</f>
        <v>2.18</v>
      </c>
      <c r="E979" s="14">
        <f>+0.85%</f>
        <v>0.0085</v>
      </c>
      <c r="F979" s="6">
        <v>257.52</v>
      </c>
      <c r="G979" s="6">
        <v>257.47</v>
      </c>
      <c r="H979" s="6">
        <v>259.04</v>
      </c>
      <c r="I979" s="9">
        <v>6.7777027E7</v>
      </c>
      <c r="J979" s="6">
        <v>1.750893099305E10</v>
      </c>
    </row>
    <row r="980">
      <c r="A980" s="4" t="s">
        <v>10</v>
      </c>
      <c r="B980" s="5">
        <v>43056.0</v>
      </c>
      <c r="C980" s="6">
        <v>257.86</v>
      </c>
      <c r="D980" s="11">
        <v>-0.76</v>
      </c>
      <c r="E980" s="12">
        <v>-0.0029</v>
      </c>
      <c r="F980" s="6">
        <v>258.22</v>
      </c>
      <c r="G980" s="6">
        <v>257.77</v>
      </c>
      <c r="H980" s="6">
        <v>258.59</v>
      </c>
      <c r="I980" s="9">
        <v>7.5756833E7</v>
      </c>
      <c r="J980" s="6">
        <v>1.955380437494E10</v>
      </c>
    </row>
    <row r="981">
      <c r="A981" s="4" t="s">
        <v>10</v>
      </c>
      <c r="B981" s="5">
        <v>43059.0</v>
      </c>
      <c r="C981" s="6">
        <v>258.3</v>
      </c>
      <c r="D981" s="13">
        <f>+0.44</f>
        <v>0.44</v>
      </c>
      <c r="E981" s="14">
        <f>+0.17%</f>
        <v>0.0017</v>
      </c>
      <c r="F981" s="6">
        <v>258.14</v>
      </c>
      <c r="G981" s="6">
        <v>257.86</v>
      </c>
      <c r="H981" s="6">
        <v>258.53</v>
      </c>
      <c r="I981" s="9">
        <v>4.8075514E7</v>
      </c>
      <c r="J981" s="6">
        <v>1.24135737193E10</v>
      </c>
    </row>
    <row r="982">
      <c r="A982" s="4" t="s">
        <v>10</v>
      </c>
      <c r="B982" s="5">
        <v>43060.0</v>
      </c>
      <c r="C982" s="6">
        <v>259.99</v>
      </c>
      <c r="D982" s="13">
        <f>+1.69</f>
        <v>1.69</v>
      </c>
      <c r="E982" s="14">
        <f>+0.65%</f>
        <v>0.0065</v>
      </c>
      <c r="F982" s="6">
        <v>259.18</v>
      </c>
      <c r="G982" s="6">
        <v>258.26</v>
      </c>
      <c r="H982" s="6">
        <v>260.2</v>
      </c>
      <c r="I982" s="9">
        <v>6.9176799E7</v>
      </c>
      <c r="J982" s="6">
        <v>1.796638382977E10</v>
      </c>
    </row>
    <row r="983">
      <c r="A983" s="4" t="s">
        <v>10</v>
      </c>
      <c r="B983" s="5">
        <v>43061.0</v>
      </c>
      <c r="C983" s="6">
        <v>259.76</v>
      </c>
      <c r="D983" s="11">
        <v>-0.23</v>
      </c>
      <c r="E983" s="12">
        <v>-9.0E-4</v>
      </c>
      <c r="F983" s="6">
        <v>260.0</v>
      </c>
      <c r="G983" s="6">
        <v>259.57</v>
      </c>
      <c r="H983" s="6">
        <v>260.15</v>
      </c>
      <c r="I983" s="9">
        <v>4.5033392E7</v>
      </c>
      <c r="J983" s="6">
        <v>1.170258240554E10</v>
      </c>
    </row>
    <row r="984">
      <c r="A984" s="4" t="s">
        <v>10</v>
      </c>
      <c r="B984" s="5">
        <v>43063.0</v>
      </c>
      <c r="C984" s="6">
        <v>260.36</v>
      </c>
      <c r="D984" s="13">
        <f>+0.6</f>
        <v>0.6</v>
      </c>
      <c r="E984" s="14">
        <f>+0.23%</f>
        <v>0.0023</v>
      </c>
      <c r="F984" s="6">
        <v>260.32</v>
      </c>
      <c r="G984" s="6">
        <v>260.16</v>
      </c>
      <c r="H984" s="6">
        <v>260.48</v>
      </c>
      <c r="I984" s="9">
        <v>2.7856514E7</v>
      </c>
      <c r="J984" s="6">
        <v>7.25063203916E9</v>
      </c>
    </row>
    <row r="985">
      <c r="A985" s="4" t="s">
        <v>10</v>
      </c>
      <c r="B985" s="5">
        <v>43066.0</v>
      </c>
      <c r="C985" s="6">
        <v>260.23</v>
      </c>
      <c r="D985" s="11">
        <v>-0.13</v>
      </c>
      <c r="E985" s="12">
        <v>-5.0E-4</v>
      </c>
      <c r="F985" s="6">
        <v>260.41</v>
      </c>
      <c r="G985" s="6">
        <v>260.0</v>
      </c>
      <c r="H985" s="6">
        <v>260.75</v>
      </c>
      <c r="I985" s="9">
        <v>5.2274922E7</v>
      </c>
      <c r="J985" s="6">
        <v>1.360969361102E10</v>
      </c>
    </row>
    <row r="986">
      <c r="A986" s="4" t="s">
        <v>10</v>
      </c>
      <c r="B986" s="5">
        <v>43067.0</v>
      </c>
      <c r="C986" s="6">
        <v>262.87</v>
      </c>
      <c r="D986" s="13">
        <f>+2.64</f>
        <v>2.64</v>
      </c>
      <c r="E986" s="14">
        <f>+1.01%</f>
        <v>0.0101</v>
      </c>
      <c r="F986" s="6">
        <v>260.76</v>
      </c>
      <c r="G986" s="6">
        <v>260.66</v>
      </c>
      <c r="H986" s="6">
        <v>262.9</v>
      </c>
      <c r="I986" s="9">
        <v>9.8971719E7</v>
      </c>
      <c r="J986" s="6">
        <v>2.590319131167E10</v>
      </c>
    </row>
    <row r="987">
      <c r="A987" s="4" t="s">
        <v>10</v>
      </c>
      <c r="B987" s="5">
        <v>43068.0</v>
      </c>
      <c r="C987" s="6">
        <v>262.71</v>
      </c>
      <c r="D987" s="11">
        <v>-0.16</v>
      </c>
      <c r="E987" s="12">
        <v>-6.0E-4</v>
      </c>
      <c r="F987" s="6">
        <v>263.02</v>
      </c>
      <c r="G987" s="6">
        <v>262.2</v>
      </c>
      <c r="H987" s="6">
        <v>263.63</v>
      </c>
      <c r="I987" s="9">
        <v>7.7512102E7</v>
      </c>
      <c r="J987" s="6">
        <v>2.036966151984E10</v>
      </c>
    </row>
    <row r="988">
      <c r="A988" s="4" t="s">
        <v>10</v>
      </c>
      <c r="B988" s="5">
        <v>43069.0</v>
      </c>
      <c r="C988" s="6">
        <v>265.01</v>
      </c>
      <c r="D988" s="13">
        <f>+2.3</f>
        <v>2.3</v>
      </c>
      <c r="E988" s="14">
        <f>+0.88%</f>
        <v>0.0088</v>
      </c>
      <c r="F988" s="6">
        <v>263.76</v>
      </c>
      <c r="G988" s="6">
        <v>263.67</v>
      </c>
      <c r="H988" s="6">
        <v>266.05</v>
      </c>
      <c r="I988" s="9">
        <v>1.27894389E8</v>
      </c>
      <c r="J988" s="6">
        <v>3.385165386637E10</v>
      </c>
    </row>
    <row r="989">
      <c r="A989" s="4" t="s">
        <v>10</v>
      </c>
      <c r="B989" s="5">
        <v>43070.0</v>
      </c>
      <c r="C989" s="6">
        <v>264.46</v>
      </c>
      <c r="D989" s="11">
        <v>-0.55</v>
      </c>
      <c r="E989" s="12">
        <v>-0.0021</v>
      </c>
      <c r="F989" s="6">
        <v>264.76</v>
      </c>
      <c r="G989" s="6">
        <v>260.76</v>
      </c>
      <c r="H989" s="6">
        <v>265.31</v>
      </c>
      <c r="I989" s="9">
        <v>1.64390902E8</v>
      </c>
      <c r="J989" s="6">
        <v>4.335301718967E10</v>
      </c>
    </row>
    <row r="990">
      <c r="A990" s="4" t="s">
        <v>10</v>
      </c>
      <c r="B990" s="5">
        <v>43073.0</v>
      </c>
      <c r="C990" s="6">
        <v>264.14</v>
      </c>
      <c r="D990" s="11">
        <v>-0.32</v>
      </c>
      <c r="E990" s="12">
        <v>-0.0012</v>
      </c>
      <c r="F990" s="6">
        <v>266.31</v>
      </c>
      <c r="G990" s="6">
        <v>264.08</v>
      </c>
      <c r="H990" s="6">
        <v>266.8</v>
      </c>
      <c r="I990" s="9">
        <v>9.404056E7</v>
      </c>
      <c r="J990" s="6">
        <v>2.495333278172E10</v>
      </c>
    </row>
    <row r="991">
      <c r="A991" s="4" t="s">
        <v>10</v>
      </c>
      <c r="B991" s="5">
        <v>43074.0</v>
      </c>
      <c r="C991" s="6">
        <v>263.19</v>
      </c>
      <c r="D991" s="11">
        <v>-0.95</v>
      </c>
      <c r="E991" s="12">
        <v>-0.0036</v>
      </c>
      <c r="F991" s="6">
        <v>264.43</v>
      </c>
      <c r="G991" s="6">
        <v>263.04</v>
      </c>
      <c r="H991" s="6">
        <v>265.15</v>
      </c>
      <c r="I991" s="9">
        <v>7.7994544E7</v>
      </c>
      <c r="J991" s="6">
        <v>2.058905470029E10</v>
      </c>
    </row>
    <row r="992">
      <c r="A992" s="4" t="s">
        <v>10</v>
      </c>
      <c r="B992" s="5">
        <v>43075.0</v>
      </c>
      <c r="C992" s="6">
        <v>263.24</v>
      </c>
      <c r="D992" s="13">
        <f>+0.05</f>
        <v>0.05</v>
      </c>
      <c r="E992" s="14">
        <f>+0.02%</f>
        <v>0.0002</v>
      </c>
      <c r="F992" s="6">
        <v>262.87</v>
      </c>
      <c r="G992" s="6">
        <v>262.71</v>
      </c>
      <c r="H992" s="6">
        <v>263.73</v>
      </c>
      <c r="I992" s="9">
        <v>7.5898566E7</v>
      </c>
      <c r="J992" s="6">
        <v>1.997923899551E10</v>
      </c>
    </row>
    <row r="993">
      <c r="A993" s="4" t="s">
        <v>10</v>
      </c>
      <c r="B993" s="5">
        <v>43076.0</v>
      </c>
      <c r="C993" s="6">
        <v>264.07</v>
      </c>
      <c r="D993" s="13">
        <f>+0.83</f>
        <v>0.83</v>
      </c>
      <c r="E993" s="14">
        <f>+0.32%</f>
        <v>0.0032</v>
      </c>
      <c r="F993" s="6">
        <v>263.09</v>
      </c>
      <c r="G993" s="6">
        <v>262.94</v>
      </c>
      <c r="H993" s="6">
        <v>264.43</v>
      </c>
      <c r="I993" s="9">
        <v>7.7218569E7</v>
      </c>
      <c r="J993" s="6">
        <v>2.036657904657E10</v>
      </c>
    </row>
    <row r="994">
      <c r="A994" s="4" t="s">
        <v>10</v>
      </c>
      <c r="B994" s="5">
        <v>43077.0</v>
      </c>
      <c r="C994" s="6">
        <v>265.51</v>
      </c>
      <c r="D994" s="13">
        <f>+1.44</f>
        <v>1.44</v>
      </c>
      <c r="E994" s="14">
        <f>+0.55%</f>
        <v>0.0055</v>
      </c>
      <c r="F994" s="6">
        <v>264.99</v>
      </c>
      <c r="G994" s="6">
        <v>264.03</v>
      </c>
      <c r="H994" s="6">
        <v>265.52</v>
      </c>
      <c r="I994" s="9">
        <v>7.6563873E7</v>
      </c>
      <c r="J994" s="6">
        <v>2.029639375954E10</v>
      </c>
    </row>
    <row r="995">
      <c r="A995" s="4" t="s">
        <v>10</v>
      </c>
      <c r="B995" s="5">
        <v>43080.0</v>
      </c>
      <c r="C995" s="6">
        <v>266.31</v>
      </c>
      <c r="D995" s="13">
        <f>+0.8</f>
        <v>0.8</v>
      </c>
      <c r="E995" s="14">
        <f>+0.3%</f>
        <v>0.003</v>
      </c>
      <c r="F995" s="6">
        <v>265.58</v>
      </c>
      <c r="G995" s="6">
        <v>265.48</v>
      </c>
      <c r="H995" s="6">
        <v>266.38</v>
      </c>
      <c r="I995" s="9">
        <v>8.3077533E7</v>
      </c>
      <c r="J995" s="6">
        <v>2.20943196038E10</v>
      </c>
    </row>
    <row r="996">
      <c r="A996" s="4" t="s">
        <v>10</v>
      </c>
      <c r="B996" s="5">
        <v>43081.0</v>
      </c>
      <c r="C996" s="6">
        <v>266.78</v>
      </c>
      <c r="D996" s="13">
        <f>+0.47</f>
        <v>0.47</v>
      </c>
      <c r="E996" s="14">
        <f>+0.18%</f>
        <v>0.0018</v>
      </c>
      <c r="F996" s="6">
        <v>266.57</v>
      </c>
      <c r="G996" s="6">
        <v>266.35</v>
      </c>
      <c r="H996" s="6">
        <v>267.32</v>
      </c>
      <c r="I996" s="9">
        <v>8.519575E7</v>
      </c>
      <c r="J996" s="6">
        <v>2.272929541793E10</v>
      </c>
    </row>
    <row r="997">
      <c r="A997" s="4" t="s">
        <v>10</v>
      </c>
      <c r="B997" s="5">
        <v>43082.0</v>
      </c>
      <c r="C997" s="6">
        <v>266.75</v>
      </c>
      <c r="D997" s="11">
        <v>-0.03</v>
      </c>
      <c r="E997" s="12">
        <v>-1.0E-4</v>
      </c>
      <c r="F997" s="6">
        <v>267.06</v>
      </c>
      <c r="G997" s="6">
        <v>266.65</v>
      </c>
      <c r="H997" s="6">
        <v>267.56</v>
      </c>
      <c r="I997" s="9">
        <v>1.02905409E8</v>
      </c>
      <c r="J997" s="6">
        <v>2.747479237229E10</v>
      </c>
    </row>
    <row r="998">
      <c r="A998" s="4" t="s">
        <v>10</v>
      </c>
      <c r="B998" s="5">
        <v>43083.0</v>
      </c>
      <c r="C998" s="6">
        <v>265.66</v>
      </c>
      <c r="D998" s="11">
        <v>-1.09</v>
      </c>
      <c r="E998" s="12">
        <v>-0.0041</v>
      </c>
      <c r="F998" s="6">
        <v>267.09</v>
      </c>
      <c r="G998" s="6">
        <v>265.6</v>
      </c>
      <c r="H998" s="6">
        <v>267.22</v>
      </c>
      <c r="I998" s="9">
        <v>1.00666692E8</v>
      </c>
      <c r="J998" s="6">
        <v>2.680249567964E10</v>
      </c>
    </row>
    <row r="999">
      <c r="A999" s="4" t="s">
        <v>10</v>
      </c>
      <c r="B999" s="5">
        <v>43084.0</v>
      </c>
      <c r="C999" s="6">
        <v>266.51</v>
      </c>
      <c r="D999" s="13">
        <f>+0.85</f>
        <v>0.85</v>
      </c>
      <c r="E999" s="14">
        <f>+0.32%</f>
        <v>0.0032</v>
      </c>
      <c r="F999" s="6">
        <v>265.45</v>
      </c>
      <c r="G999" s="6">
        <v>265.39</v>
      </c>
      <c r="H999" s="6">
        <v>267.04</v>
      </c>
      <c r="I999" s="9">
        <v>1.4461029E8</v>
      </c>
      <c r="J999" s="6">
        <v>3.848362118372E10</v>
      </c>
    </row>
    <row r="1000">
      <c r="A1000" s="4" t="s">
        <v>10</v>
      </c>
      <c r="B1000" s="5">
        <v>43087.0</v>
      </c>
      <c r="C1000" s="6">
        <v>268.2</v>
      </c>
      <c r="D1000" s="13">
        <f>+1.69</f>
        <v>1.69</v>
      </c>
      <c r="E1000" s="14">
        <f>+0.63%</f>
        <v>0.0063</v>
      </c>
      <c r="F1000" s="6">
        <v>268.1</v>
      </c>
      <c r="G1000" s="6">
        <v>267.98</v>
      </c>
      <c r="H1000" s="6">
        <v>268.6</v>
      </c>
      <c r="I1000" s="9">
        <v>8.3653572E7</v>
      </c>
      <c r="J1000" s="6">
        <v>2.242957207392E10</v>
      </c>
    </row>
    <row r="1001">
      <c r="A1001" s="4" t="s">
        <v>10</v>
      </c>
      <c r="B1001" s="5">
        <v>43088.0</v>
      </c>
      <c r="C1001" s="6">
        <v>267.17</v>
      </c>
      <c r="D1001" s="11">
        <v>-1.03</v>
      </c>
      <c r="E1001" s="12">
        <v>-0.0038</v>
      </c>
      <c r="F1001" s="6">
        <v>268.48</v>
      </c>
      <c r="G1001" s="6">
        <v>267.09</v>
      </c>
      <c r="H1001" s="6">
        <v>268.53</v>
      </c>
      <c r="I1001" s="9">
        <v>8.2382876E7</v>
      </c>
      <c r="J1001" s="6">
        <v>2.204402916256E10</v>
      </c>
    </row>
    <row r="1002">
      <c r="A1002" s="4" t="s">
        <v>10</v>
      </c>
      <c r="B1002" s="5">
        <v>43089.0</v>
      </c>
      <c r="C1002" s="6">
        <v>267.03</v>
      </c>
      <c r="D1002" s="11">
        <v>-0.14</v>
      </c>
      <c r="E1002" s="12">
        <v>-5.0E-4</v>
      </c>
      <c r="F1002" s="6">
        <v>268.27</v>
      </c>
      <c r="G1002" s="6">
        <v>266.69</v>
      </c>
      <c r="H1002" s="6">
        <v>268.33</v>
      </c>
      <c r="I1002" s="9">
        <v>7.67515E7</v>
      </c>
      <c r="J1002" s="6">
        <v>2.051017035788E10</v>
      </c>
    </row>
    <row r="1003">
      <c r="A1003" s="4" t="s">
        <v>10</v>
      </c>
      <c r="B1003" s="5">
        <v>43090.0</v>
      </c>
      <c r="C1003" s="6">
        <v>267.58</v>
      </c>
      <c r="D1003" s="13">
        <f>+0.55</f>
        <v>0.55</v>
      </c>
      <c r="E1003" s="14">
        <f>+0.21%</f>
        <v>0.0021</v>
      </c>
      <c r="F1003" s="6">
        <v>267.74</v>
      </c>
      <c r="G1003" s="6">
        <v>267.3</v>
      </c>
      <c r="H1003" s="6">
        <v>268.39</v>
      </c>
      <c r="I1003" s="9">
        <v>6.7032339E7</v>
      </c>
      <c r="J1003" s="6">
        <v>1.794878150471E10</v>
      </c>
    </row>
    <row r="1004">
      <c r="A1004" s="4" t="s">
        <v>10</v>
      </c>
      <c r="B1004" s="5">
        <v>43091.0</v>
      </c>
      <c r="C1004" s="6">
        <v>267.51</v>
      </c>
      <c r="D1004" s="11">
        <v>-0.07</v>
      </c>
      <c r="E1004" s="12">
        <v>-3.0E-4</v>
      </c>
      <c r="F1004" s="6">
        <v>267.6</v>
      </c>
      <c r="G1004" s="6">
        <v>266.9</v>
      </c>
      <c r="H1004" s="6">
        <v>267.64</v>
      </c>
      <c r="I1004" s="9">
        <v>7.8720873E7</v>
      </c>
      <c r="J1004" s="6">
        <v>2.10475856015E10</v>
      </c>
    </row>
    <row r="1005">
      <c r="A1005" s="4" t="s">
        <v>10</v>
      </c>
      <c r="B1005" s="5">
        <v>43095.0</v>
      </c>
      <c r="C1005" s="6">
        <v>267.19</v>
      </c>
      <c r="D1005" s="11">
        <v>-0.32</v>
      </c>
      <c r="E1005" s="12">
        <v>-0.0012</v>
      </c>
      <c r="F1005" s="6">
        <v>267.05</v>
      </c>
      <c r="G1005" s="6">
        <v>266.89</v>
      </c>
      <c r="H1005" s="6">
        <v>267.44</v>
      </c>
      <c r="I1005" s="9">
        <v>4.5244433E7</v>
      </c>
      <c r="J1005" s="6">
        <v>1.208781349065E10</v>
      </c>
    </row>
    <row r="1006">
      <c r="A1006" s="4" t="s">
        <v>10</v>
      </c>
      <c r="B1006" s="5">
        <v>43096.0</v>
      </c>
      <c r="C1006" s="6">
        <v>267.32</v>
      </c>
      <c r="D1006" s="13">
        <f>+0.13</f>
        <v>0.13</v>
      </c>
      <c r="E1006" s="14">
        <f>+0.05%</f>
        <v>0.0005</v>
      </c>
      <c r="F1006" s="6">
        <v>267.38</v>
      </c>
      <c r="G1006" s="6">
        <v>267.01</v>
      </c>
      <c r="H1006" s="6">
        <v>267.73</v>
      </c>
      <c r="I1006" s="9">
        <v>5.7750986E7</v>
      </c>
      <c r="J1006" s="6">
        <v>1.543934337015E10</v>
      </c>
    </row>
    <row r="1007">
      <c r="A1007" s="4" t="s">
        <v>10</v>
      </c>
      <c r="B1007" s="5">
        <v>43097.0</v>
      </c>
      <c r="C1007" s="6">
        <v>267.87</v>
      </c>
      <c r="D1007" s="13">
        <f>+0.55</f>
        <v>0.55</v>
      </c>
      <c r="E1007" s="14">
        <f>+0.21%</f>
        <v>0.0021</v>
      </c>
      <c r="F1007" s="6">
        <v>267.89</v>
      </c>
      <c r="G1007" s="6">
        <v>267.45</v>
      </c>
      <c r="H1007" s="6">
        <v>267.92</v>
      </c>
      <c r="I1007" s="9">
        <v>4.5116139E7</v>
      </c>
      <c r="J1007" s="6">
        <v>1.207439240935E10</v>
      </c>
    </row>
    <row r="1008">
      <c r="A1008" s="4" t="s">
        <v>10</v>
      </c>
      <c r="B1008" s="5">
        <v>43098.0</v>
      </c>
      <c r="C1008" s="6">
        <v>266.86</v>
      </c>
      <c r="D1008" s="11">
        <v>-1.01</v>
      </c>
      <c r="E1008" s="12">
        <v>-0.0038</v>
      </c>
      <c r="F1008" s="6">
        <v>268.53</v>
      </c>
      <c r="G1008" s="6">
        <v>266.64</v>
      </c>
      <c r="H1008" s="6">
        <v>268.55</v>
      </c>
      <c r="I1008" s="9">
        <v>9.6007424E7</v>
      </c>
      <c r="J1008" s="6">
        <v>2.564974457419E10</v>
      </c>
    </row>
    <row r="1009">
      <c r="A1009" s="4" t="s">
        <v>10</v>
      </c>
      <c r="B1009" s="5">
        <v>43102.0</v>
      </c>
      <c r="C1009" s="6">
        <v>268.77</v>
      </c>
      <c r="D1009" s="13">
        <f>+1.91</f>
        <v>1.91</v>
      </c>
      <c r="E1009" s="14">
        <f>+0.72%</f>
        <v>0.0072</v>
      </c>
      <c r="F1009" s="6">
        <v>267.84</v>
      </c>
      <c r="G1009" s="6">
        <v>267.4</v>
      </c>
      <c r="H1009" s="6">
        <v>268.81</v>
      </c>
      <c r="I1009" s="9">
        <v>8.6655749E7</v>
      </c>
      <c r="J1009" s="6">
        <v>2.324325002321E10</v>
      </c>
    </row>
    <row r="1010">
      <c r="A1010" s="4" t="s">
        <v>10</v>
      </c>
      <c r="B1010" s="5">
        <v>43103.0</v>
      </c>
      <c r="C1010" s="6">
        <v>270.47</v>
      </c>
      <c r="D1010" s="13">
        <f>+1.7</f>
        <v>1.7</v>
      </c>
      <c r="E1010" s="14">
        <f>+0.63%</f>
        <v>0.0063</v>
      </c>
      <c r="F1010" s="6">
        <v>268.96</v>
      </c>
      <c r="G1010" s="6">
        <v>268.96</v>
      </c>
      <c r="H1010" s="6">
        <v>270.64</v>
      </c>
      <c r="I1010" s="9">
        <v>9.0070416E7</v>
      </c>
      <c r="J1010" s="6">
        <v>2.431556567228E10</v>
      </c>
    </row>
    <row r="1011">
      <c r="A1011" s="4" t="s">
        <v>10</v>
      </c>
      <c r="B1011" s="5">
        <v>43104.0</v>
      </c>
      <c r="C1011" s="6">
        <v>271.61</v>
      </c>
      <c r="D1011" s="13">
        <f>+1.14</f>
        <v>1.14</v>
      </c>
      <c r="E1011" s="14">
        <f>+0.42%</f>
        <v>0.0042</v>
      </c>
      <c r="F1011" s="6">
        <v>271.2</v>
      </c>
      <c r="G1011" s="6">
        <v>270.54</v>
      </c>
      <c r="H1011" s="6">
        <v>272.16</v>
      </c>
      <c r="I1011" s="9">
        <v>8.0636408E7</v>
      </c>
      <c r="J1011" s="6">
        <v>2.190327827242E10</v>
      </c>
    </row>
    <row r="1012">
      <c r="A1012" s="4" t="s">
        <v>10</v>
      </c>
      <c r="B1012" s="5">
        <v>43105.0</v>
      </c>
      <c r="C1012" s="6">
        <v>273.42</v>
      </c>
      <c r="D1012" s="13">
        <f>+1.81</f>
        <v>1.81</v>
      </c>
      <c r="E1012" s="14">
        <f>+0.67%</f>
        <v>0.0067</v>
      </c>
      <c r="F1012" s="6">
        <v>272.51</v>
      </c>
      <c r="G1012" s="6">
        <v>271.95</v>
      </c>
      <c r="H1012" s="6">
        <v>273.56</v>
      </c>
      <c r="I1012" s="9">
        <v>8.3523995E7</v>
      </c>
      <c r="J1012" s="6">
        <v>2.279093670614E10</v>
      </c>
    </row>
    <row r="1013">
      <c r="A1013" s="4" t="s">
        <v>10</v>
      </c>
      <c r="B1013" s="5">
        <v>43108.0</v>
      </c>
      <c r="C1013" s="6">
        <v>273.92</v>
      </c>
      <c r="D1013" s="13">
        <f>+0.5</f>
        <v>0.5</v>
      </c>
      <c r="E1013" s="14">
        <f>+0.18%</f>
        <v>0.0018</v>
      </c>
      <c r="F1013" s="6">
        <v>273.31</v>
      </c>
      <c r="G1013" s="6">
        <v>272.98</v>
      </c>
      <c r="H1013" s="6">
        <v>274.1</v>
      </c>
      <c r="I1013" s="9">
        <v>5.7319192E7</v>
      </c>
      <c r="J1013" s="6">
        <v>1.569189780587E10</v>
      </c>
    </row>
    <row r="1014">
      <c r="A1014" s="4" t="s">
        <v>10</v>
      </c>
      <c r="B1014" s="5">
        <v>43109.0</v>
      </c>
      <c r="C1014" s="6">
        <v>274.54</v>
      </c>
      <c r="D1014" s="13">
        <f>+0.62</f>
        <v>0.62</v>
      </c>
      <c r="E1014" s="14">
        <f>+0.23%</f>
        <v>0.0023</v>
      </c>
      <c r="F1014" s="6">
        <v>274.4</v>
      </c>
      <c r="G1014" s="6">
        <v>274.08</v>
      </c>
      <c r="H1014" s="6">
        <v>275.25</v>
      </c>
      <c r="I1014" s="9">
        <v>5.7253957E7</v>
      </c>
      <c r="J1014" s="6">
        <v>1.572313950694E10</v>
      </c>
    </row>
    <row r="1015">
      <c r="A1015" s="4" t="s">
        <v>10</v>
      </c>
      <c r="B1015" s="5">
        <v>43110.0</v>
      </c>
      <c r="C1015" s="6">
        <v>274.12</v>
      </c>
      <c r="D1015" s="11">
        <v>-0.42</v>
      </c>
      <c r="E1015" s="12">
        <v>-0.0015</v>
      </c>
      <c r="F1015" s="6">
        <v>273.68</v>
      </c>
      <c r="G1015" s="6">
        <v>272.92</v>
      </c>
      <c r="H1015" s="6">
        <v>274.42</v>
      </c>
      <c r="I1015" s="9">
        <v>6.9574318E7</v>
      </c>
      <c r="J1015" s="6">
        <v>1.906041720867E10</v>
      </c>
    </row>
    <row r="1016">
      <c r="A1016" s="4" t="s">
        <v>10</v>
      </c>
      <c r="B1016" s="5">
        <v>43111.0</v>
      </c>
      <c r="C1016" s="6">
        <v>276.12</v>
      </c>
      <c r="D1016" s="13">
        <f>+2</f>
        <v>2</v>
      </c>
      <c r="E1016" s="14">
        <f>+0.73%</f>
        <v>0.0073</v>
      </c>
      <c r="F1016" s="6">
        <v>274.75</v>
      </c>
      <c r="G1016" s="6">
        <v>274.56</v>
      </c>
      <c r="H1016" s="6">
        <v>276.12</v>
      </c>
      <c r="I1016" s="9">
        <v>6.2361455E7</v>
      </c>
      <c r="J1016" s="6">
        <v>1.717475427795E10</v>
      </c>
    </row>
    <row r="1017">
      <c r="A1017" s="4" t="s">
        <v>10</v>
      </c>
      <c r="B1017" s="5">
        <v>43112.0</v>
      </c>
      <c r="C1017" s="6">
        <v>277.92</v>
      </c>
      <c r="D1017" s="13">
        <f>+1.8</f>
        <v>1.8</v>
      </c>
      <c r="E1017" s="14">
        <f>+0.65%</f>
        <v>0.0065</v>
      </c>
      <c r="F1017" s="6">
        <v>276.42</v>
      </c>
      <c r="G1017" s="6">
        <v>276.08</v>
      </c>
      <c r="H1017" s="6">
        <v>278.11</v>
      </c>
      <c r="I1017" s="9">
        <v>9.0816076E7</v>
      </c>
      <c r="J1017" s="6">
        <v>2.519846953136E10</v>
      </c>
    </row>
    <row r="1018">
      <c r="A1018" s="4" t="s">
        <v>10</v>
      </c>
      <c r="B1018" s="5">
        <v>43116.0</v>
      </c>
      <c r="C1018" s="6">
        <v>276.97</v>
      </c>
      <c r="D1018" s="11">
        <v>-0.95</v>
      </c>
      <c r="E1018" s="12">
        <v>-0.0034</v>
      </c>
      <c r="F1018" s="6">
        <v>279.35</v>
      </c>
      <c r="G1018" s="6">
        <v>276.18</v>
      </c>
      <c r="H1018" s="6">
        <v>280.09</v>
      </c>
      <c r="I1018" s="9">
        <v>1.06555142E8</v>
      </c>
      <c r="J1018" s="6">
        <v>2.962936275922E10</v>
      </c>
    </row>
    <row r="1019">
      <c r="A1019" s="4" t="s">
        <v>10</v>
      </c>
      <c r="B1019" s="5">
        <v>43117.0</v>
      </c>
      <c r="C1019" s="6">
        <v>279.61</v>
      </c>
      <c r="D1019" s="13">
        <f>+2.64</f>
        <v>2.64</v>
      </c>
      <c r="E1019" s="14">
        <f>+0.95%</f>
        <v>0.0095</v>
      </c>
      <c r="F1019" s="6">
        <v>278.03</v>
      </c>
      <c r="G1019" s="6">
        <v>276.97</v>
      </c>
      <c r="H1019" s="6">
        <v>280.05</v>
      </c>
      <c r="I1019" s="9">
        <v>1.13258799E8</v>
      </c>
      <c r="J1019" s="6">
        <v>3.157482948014E10</v>
      </c>
    </row>
    <row r="1020">
      <c r="A1020" s="4" t="s">
        <v>10</v>
      </c>
      <c r="B1020" s="5">
        <v>43118.0</v>
      </c>
      <c r="C1020" s="6">
        <v>279.14</v>
      </c>
      <c r="D1020" s="11">
        <v>-0.47</v>
      </c>
      <c r="E1020" s="12">
        <v>-0.0017</v>
      </c>
      <c r="F1020" s="6">
        <v>279.48</v>
      </c>
      <c r="G1020" s="6">
        <v>278.58</v>
      </c>
      <c r="H1020" s="6">
        <v>279.96</v>
      </c>
      <c r="I1020" s="9">
        <v>1.00728006E8</v>
      </c>
      <c r="J1020" s="6">
        <v>2.813657000842E10</v>
      </c>
    </row>
    <row r="1021">
      <c r="A1021" s="4" t="s">
        <v>10</v>
      </c>
      <c r="B1021" s="5">
        <v>43119.0</v>
      </c>
      <c r="C1021" s="6">
        <v>280.41</v>
      </c>
      <c r="D1021" s="13">
        <f>+1.27</f>
        <v>1.27</v>
      </c>
      <c r="E1021" s="14">
        <f>+0.45%</f>
        <v>0.0045</v>
      </c>
      <c r="F1021" s="6">
        <v>279.8</v>
      </c>
      <c r="G1021" s="6">
        <v>279.14</v>
      </c>
      <c r="H1021" s="6">
        <v>280.41</v>
      </c>
      <c r="I1021" s="9">
        <v>1.40920098E8</v>
      </c>
      <c r="J1021" s="6">
        <v>3.944285694816E10</v>
      </c>
    </row>
    <row r="1022">
      <c r="A1022" s="4" t="s">
        <v>10</v>
      </c>
      <c r="B1022" s="5">
        <v>43122.0</v>
      </c>
      <c r="C1022" s="6">
        <v>282.69</v>
      </c>
      <c r="D1022" s="13">
        <f>+2.28</f>
        <v>2.28</v>
      </c>
      <c r="E1022" s="14">
        <f>+0.81%</f>
        <v>0.0081</v>
      </c>
      <c r="F1022" s="6">
        <v>280.17</v>
      </c>
      <c r="G1022" s="6">
        <v>280.11</v>
      </c>
      <c r="H1022" s="6">
        <v>282.69</v>
      </c>
      <c r="I1022" s="9">
        <v>9.1322408E7</v>
      </c>
      <c r="J1022" s="6">
        <v>2.574451712661E10</v>
      </c>
    </row>
    <row r="1023">
      <c r="A1023" s="4" t="s">
        <v>10</v>
      </c>
      <c r="B1023" s="5">
        <v>43123.0</v>
      </c>
      <c r="C1023" s="6">
        <v>283.29</v>
      </c>
      <c r="D1023" s="13">
        <f>+0.6</f>
        <v>0.6</v>
      </c>
      <c r="E1023" s="14">
        <f>+0.21%</f>
        <v>0.0021</v>
      </c>
      <c r="F1023" s="6">
        <v>282.74</v>
      </c>
      <c r="G1023" s="6">
        <v>282.37</v>
      </c>
      <c r="H1023" s="6">
        <v>283.62</v>
      </c>
      <c r="I1023" s="9">
        <v>9.70847E7</v>
      </c>
      <c r="J1023" s="6">
        <v>2.748890749979E10</v>
      </c>
    </row>
    <row r="1024">
      <c r="A1024" s="4" t="s">
        <v>10</v>
      </c>
      <c r="B1024" s="5">
        <v>43124.0</v>
      </c>
      <c r="C1024" s="6">
        <v>283.18</v>
      </c>
      <c r="D1024" s="11">
        <v>-0.11</v>
      </c>
      <c r="E1024" s="12">
        <v>-4.0E-4</v>
      </c>
      <c r="F1024" s="6">
        <v>284.02</v>
      </c>
      <c r="G1024" s="6">
        <v>281.84</v>
      </c>
      <c r="H1024" s="6">
        <v>284.7</v>
      </c>
      <c r="I1024" s="9">
        <v>1.34816117E8</v>
      </c>
      <c r="J1024" s="6">
        <v>3.820010244276E10</v>
      </c>
    </row>
    <row r="1025">
      <c r="A1025" s="4" t="s">
        <v>10</v>
      </c>
      <c r="B1025" s="5">
        <v>43125.0</v>
      </c>
      <c r="C1025" s="6">
        <v>283.3</v>
      </c>
      <c r="D1025" s="13">
        <f>+0.12</f>
        <v>0.12</v>
      </c>
      <c r="E1025" s="14">
        <f>+0.04%</f>
        <v>0.0004</v>
      </c>
      <c r="F1025" s="6">
        <v>284.16</v>
      </c>
      <c r="G1025" s="6">
        <v>282.41</v>
      </c>
      <c r="H1025" s="6">
        <v>284.27</v>
      </c>
      <c r="I1025" s="9">
        <v>8.4587313E7</v>
      </c>
      <c r="J1025" s="6">
        <v>2.396784644382E10</v>
      </c>
    </row>
    <row r="1026">
      <c r="A1026" s="4" t="s">
        <v>10</v>
      </c>
      <c r="B1026" s="5">
        <v>43126.0</v>
      </c>
      <c r="C1026" s="6">
        <v>286.58</v>
      </c>
      <c r="D1026" s="13">
        <f>+3.28</f>
        <v>3.28</v>
      </c>
      <c r="E1026" s="14">
        <f>+1.16%</f>
        <v>0.0116</v>
      </c>
      <c r="F1026" s="6">
        <v>284.25</v>
      </c>
      <c r="G1026" s="6">
        <v>283.96</v>
      </c>
      <c r="H1026" s="6">
        <v>286.63</v>
      </c>
      <c r="I1026" s="9">
        <v>1.07743119E8</v>
      </c>
      <c r="J1026" s="6">
        <v>3.075844496278E10</v>
      </c>
    </row>
    <row r="1027">
      <c r="A1027" s="4" t="s">
        <v>10</v>
      </c>
      <c r="B1027" s="5">
        <v>43129.0</v>
      </c>
      <c r="C1027" s="6">
        <v>284.68</v>
      </c>
      <c r="D1027" s="11">
        <v>-1.9</v>
      </c>
      <c r="E1027" s="12">
        <v>-0.0066</v>
      </c>
      <c r="F1027" s="6">
        <v>285.93</v>
      </c>
      <c r="G1027" s="6">
        <v>284.5</v>
      </c>
      <c r="H1027" s="6">
        <v>286.43</v>
      </c>
      <c r="I1027" s="9">
        <v>9.0118337E7</v>
      </c>
      <c r="J1027" s="6">
        <v>2.572364577178E10</v>
      </c>
    </row>
    <row r="1028">
      <c r="A1028" s="4" t="s">
        <v>10</v>
      </c>
      <c r="B1028" s="5">
        <v>43130.0</v>
      </c>
      <c r="C1028" s="6">
        <v>281.76</v>
      </c>
      <c r="D1028" s="11">
        <v>-2.92</v>
      </c>
      <c r="E1028" s="12">
        <v>-0.0103</v>
      </c>
      <c r="F1028" s="6">
        <v>282.6</v>
      </c>
      <c r="G1028" s="6">
        <v>281.22</v>
      </c>
      <c r="H1028" s="6">
        <v>284.74</v>
      </c>
      <c r="I1028" s="9">
        <v>1.31796419E8</v>
      </c>
      <c r="J1028" s="6">
        <v>3.72227963359E10</v>
      </c>
    </row>
    <row r="1029">
      <c r="A1029" s="4" t="s">
        <v>10</v>
      </c>
      <c r="B1029" s="5">
        <v>43131.0</v>
      </c>
      <c r="C1029" s="6">
        <v>281.9</v>
      </c>
      <c r="D1029" s="13">
        <f>+0.14</f>
        <v>0.14</v>
      </c>
      <c r="E1029" s="14">
        <f>+0.05%</f>
        <v>0.0005</v>
      </c>
      <c r="F1029" s="6">
        <v>282.73</v>
      </c>
      <c r="G1029" s="6">
        <v>280.68</v>
      </c>
      <c r="H1029" s="6">
        <v>283.3</v>
      </c>
      <c r="I1029" s="9">
        <v>1.18948131E8</v>
      </c>
      <c r="J1029" s="6">
        <v>3.353948709644E10</v>
      </c>
    </row>
    <row r="1030">
      <c r="A1030" s="4" t="s">
        <v>10</v>
      </c>
      <c r="B1030" s="5">
        <v>43132.0</v>
      </c>
      <c r="C1030" s="6">
        <v>281.58</v>
      </c>
      <c r="D1030" s="11">
        <v>-0.32</v>
      </c>
      <c r="E1030" s="12">
        <v>-0.0011</v>
      </c>
      <c r="F1030" s="6">
        <v>281.07</v>
      </c>
      <c r="G1030" s="6">
        <v>280.68</v>
      </c>
      <c r="H1030" s="6">
        <v>283.06</v>
      </c>
      <c r="I1030" s="9">
        <v>9.010247E7</v>
      </c>
      <c r="J1030" s="6">
        <v>2.53878899092E10</v>
      </c>
    </row>
    <row r="1031">
      <c r="A1031" s="4" t="s">
        <v>10</v>
      </c>
      <c r="B1031" s="5">
        <v>43133.0</v>
      </c>
      <c r="C1031" s="6">
        <v>275.45</v>
      </c>
      <c r="D1031" s="11">
        <v>-6.13</v>
      </c>
      <c r="E1031" s="12">
        <v>-0.0218</v>
      </c>
      <c r="F1031" s="6">
        <v>280.08</v>
      </c>
      <c r="G1031" s="6">
        <v>275.41</v>
      </c>
      <c r="H1031" s="6">
        <v>280.23</v>
      </c>
      <c r="I1031" s="9">
        <v>1.7317479E8</v>
      </c>
      <c r="J1031" s="6">
        <v>4.804490717833E10</v>
      </c>
    </row>
    <row r="1032">
      <c r="A1032" s="4" t="s">
        <v>10</v>
      </c>
      <c r="B1032" s="5">
        <v>43136.0</v>
      </c>
      <c r="C1032" s="6">
        <v>263.93</v>
      </c>
      <c r="D1032" s="11">
        <v>-11.52</v>
      </c>
      <c r="E1032" s="12">
        <v>-0.0418</v>
      </c>
      <c r="F1032" s="6">
        <v>273.45</v>
      </c>
      <c r="G1032" s="6">
        <v>263.31</v>
      </c>
      <c r="H1032" s="6">
        <v>275.85</v>
      </c>
      <c r="I1032" s="9">
        <v>2.94681816E8</v>
      </c>
      <c r="J1032" s="6">
        <v>7.950415406692E10</v>
      </c>
    </row>
    <row r="1033">
      <c r="A1033" s="4" t="s">
        <v>10</v>
      </c>
      <c r="B1033" s="5">
        <v>43137.0</v>
      </c>
      <c r="C1033" s="6">
        <v>269.13</v>
      </c>
      <c r="D1033" s="13">
        <f>+5.2</f>
        <v>5.2</v>
      </c>
      <c r="E1033" s="14">
        <f>+1.97%</f>
        <v>0.0197</v>
      </c>
      <c r="F1033" s="6">
        <v>259.94</v>
      </c>
      <c r="G1033" s="6">
        <v>258.7</v>
      </c>
      <c r="H1033" s="6">
        <v>269.7</v>
      </c>
      <c r="I1033" s="9">
        <v>3.55026782E8</v>
      </c>
      <c r="J1033" s="6">
        <v>9.406711393872E10</v>
      </c>
    </row>
    <row r="1034">
      <c r="A1034" s="4" t="s">
        <v>10</v>
      </c>
      <c r="B1034" s="5">
        <v>43138.0</v>
      </c>
      <c r="C1034" s="6">
        <v>267.67</v>
      </c>
      <c r="D1034" s="11">
        <v>-1.46</v>
      </c>
      <c r="E1034" s="12">
        <v>-0.0054</v>
      </c>
      <c r="F1034" s="6">
        <v>268.5</v>
      </c>
      <c r="G1034" s="6">
        <v>267.58</v>
      </c>
      <c r="H1034" s="6">
        <v>272.36</v>
      </c>
      <c r="I1034" s="9">
        <v>1.673761E8</v>
      </c>
      <c r="J1034" s="6">
        <v>4.512440051516E10</v>
      </c>
    </row>
    <row r="1035">
      <c r="A1035" s="4" t="s">
        <v>10</v>
      </c>
      <c r="B1035" s="5">
        <v>43139.0</v>
      </c>
      <c r="C1035" s="6">
        <v>257.63</v>
      </c>
      <c r="D1035" s="11">
        <v>-10.04</v>
      </c>
      <c r="E1035" s="12">
        <v>-0.0375</v>
      </c>
      <c r="F1035" s="6">
        <v>268.01</v>
      </c>
      <c r="G1035" s="6">
        <v>257.59</v>
      </c>
      <c r="H1035" s="6">
        <v>268.17</v>
      </c>
      <c r="I1035" s="9">
        <v>2.46449505E8</v>
      </c>
      <c r="J1035" s="6">
        <v>6.482201795941E10</v>
      </c>
    </row>
    <row r="1036">
      <c r="A1036" s="4" t="s">
        <v>10</v>
      </c>
      <c r="B1036" s="5">
        <v>43140.0</v>
      </c>
      <c r="C1036" s="6">
        <v>261.5</v>
      </c>
      <c r="D1036" s="13">
        <f>+3.87</f>
        <v>3.87</v>
      </c>
      <c r="E1036" s="14">
        <f>+1.5%</f>
        <v>0.015</v>
      </c>
      <c r="F1036" s="6">
        <v>260.8</v>
      </c>
      <c r="G1036" s="6">
        <v>252.92</v>
      </c>
      <c r="H1036" s="6">
        <v>263.61</v>
      </c>
      <c r="I1036" s="9">
        <v>2.83565315E8</v>
      </c>
      <c r="J1036" s="6">
        <v>7.332828748269E10</v>
      </c>
    </row>
    <row r="1037">
      <c r="A1037" s="4" t="s">
        <v>10</v>
      </c>
      <c r="B1037" s="5">
        <v>43143.0</v>
      </c>
      <c r="C1037" s="6">
        <v>265.34</v>
      </c>
      <c r="D1037" s="13">
        <f>+3.84</f>
        <v>3.84</v>
      </c>
      <c r="E1037" s="14">
        <f>+1.47%</f>
        <v>0.0147</v>
      </c>
      <c r="F1037" s="6">
        <v>263.83</v>
      </c>
      <c r="G1037" s="6">
        <v>261.66</v>
      </c>
      <c r="H1037" s="6">
        <v>267.01</v>
      </c>
      <c r="I1037" s="9">
        <v>1.43735976E8</v>
      </c>
      <c r="J1037" s="6">
        <v>3.802806580498E10</v>
      </c>
    </row>
    <row r="1038">
      <c r="A1038" s="4" t="s">
        <v>10</v>
      </c>
      <c r="B1038" s="5">
        <v>43144.0</v>
      </c>
      <c r="C1038" s="6">
        <v>266.0</v>
      </c>
      <c r="D1038" s="13">
        <f>+0.66</f>
        <v>0.66</v>
      </c>
      <c r="E1038" s="14">
        <f>+0.25%</f>
        <v>0.0025</v>
      </c>
      <c r="F1038" s="6">
        <v>263.97</v>
      </c>
      <c r="G1038" s="6">
        <v>263.31</v>
      </c>
      <c r="H1038" s="6">
        <v>266.62</v>
      </c>
      <c r="I1038" s="9">
        <v>8.122364E7</v>
      </c>
      <c r="J1038" s="6">
        <v>2.15417280128E10</v>
      </c>
    </row>
    <row r="1039">
      <c r="A1039" s="4" t="s">
        <v>10</v>
      </c>
      <c r="B1039" s="5">
        <v>43145.0</v>
      </c>
      <c r="C1039" s="6">
        <v>269.59</v>
      </c>
      <c r="D1039" s="13">
        <f>+3.59</f>
        <v>3.59</v>
      </c>
      <c r="E1039" s="14">
        <f>+1.35%</f>
        <v>0.0135</v>
      </c>
      <c r="F1039" s="6">
        <v>264.31</v>
      </c>
      <c r="G1039" s="6">
        <v>264.3</v>
      </c>
      <c r="H1039" s="6">
        <v>270.0</v>
      </c>
      <c r="I1039" s="9">
        <v>1.20735685E8</v>
      </c>
      <c r="J1039" s="6">
        <v>3.230634072749E10</v>
      </c>
    </row>
    <row r="1040">
      <c r="A1040" s="4" t="s">
        <v>10</v>
      </c>
      <c r="B1040" s="5">
        <v>43146.0</v>
      </c>
      <c r="C1040" s="6">
        <v>273.03</v>
      </c>
      <c r="D1040" s="13">
        <f>+3.44</f>
        <v>3.44</v>
      </c>
      <c r="E1040" s="14">
        <f>+1.28%</f>
        <v>0.0128</v>
      </c>
      <c r="F1040" s="6">
        <v>271.57</v>
      </c>
      <c r="G1040" s="6">
        <v>268.77</v>
      </c>
      <c r="H1040" s="6">
        <v>273.04</v>
      </c>
      <c r="I1040" s="9">
        <v>1.11200286E8</v>
      </c>
      <c r="J1040" s="6">
        <v>3.018226727006E10</v>
      </c>
    </row>
    <row r="1041">
      <c r="A1041" s="4" t="s">
        <v>10</v>
      </c>
      <c r="B1041" s="5">
        <v>43147.0</v>
      </c>
      <c r="C1041" s="6">
        <v>273.11</v>
      </c>
      <c r="D1041" s="13">
        <f>+0.08</f>
        <v>0.08</v>
      </c>
      <c r="E1041" s="14">
        <f>+0.03%</f>
        <v>0.0003</v>
      </c>
      <c r="F1041" s="6">
        <v>272.32</v>
      </c>
      <c r="G1041" s="6">
        <v>272.27</v>
      </c>
      <c r="H1041" s="6">
        <v>275.32</v>
      </c>
      <c r="I1041" s="9">
        <v>1.60420135E8</v>
      </c>
      <c r="J1041" s="6">
        <v>4.385328264936E10</v>
      </c>
    </row>
    <row r="1042">
      <c r="A1042" s="4" t="s">
        <v>10</v>
      </c>
      <c r="B1042" s="5">
        <v>43151.0</v>
      </c>
      <c r="C1042" s="6">
        <v>271.4</v>
      </c>
      <c r="D1042" s="11">
        <v>-1.71</v>
      </c>
      <c r="E1042" s="12">
        <v>-0.0063</v>
      </c>
      <c r="F1042" s="6">
        <v>272.03</v>
      </c>
      <c r="G1042" s="6">
        <v>270.5</v>
      </c>
      <c r="H1042" s="6">
        <v>273.67</v>
      </c>
      <c r="I1042" s="9">
        <v>8.6369662E7</v>
      </c>
      <c r="J1042" s="6">
        <v>2.350234088004E10</v>
      </c>
    </row>
    <row r="1043">
      <c r="A1043" s="4" t="s">
        <v>10</v>
      </c>
      <c r="B1043" s="5">
        <v>43152.0</v>
      </c>
      <c r="C1043" s="6">
        <v>270.05</v>
      </c>
      <c r="D1043" s="11">
        <v>-1.35</v>
      </c>
      <c r="E1043" s="12">
        <v>-0.005</v>
      </c>
      <c r="F1043" s="6">
        <v>271.9</v>
      </c>
      <c r="G1043" s="6">
        <v>269.94</v>
      </c>
      <c r="H1043" s="6">
        <v>274.72</v>
      </c>
      <c r="I1043" s="9">
        <v>9.888374E7</v>
      </c>
      <c r="J1043" s="6">
        <v>2.689531619447E10</v>
      </c>
    </row>
    <row r="1044">
      <c r="A1044" s="4" t="s">
        <v>10</v>
      </c>
      <c r="B1044" s="5">
        <v>43153.0</v>
      </c>
      <c r="C1044" s="6">
        <v>270.4</v>
      </c>
      <c r="D1044" s="13">
        <f>+0.35</f>
        <v>0.35</v>
      </c>
      <c r="E1044" s="14">
        <f>+0.13%</f>
        <v>0.0013</v>
      </c>
      <c r="F1044" s="6">
        <v>271.1</v>
      </c>
      <c r="G1044" s="6">
        <v>269.64</v>
      </c>
      <c r="H1044" s="6">
        <v>273.05</v>
      </c>
      <c r="I1044" s="9">
        <v>1.1051129E8</v>
      </c>
      <c r="J1044" s="6">
        <v>2.993966618451E10</v>
      </c>
    </row>
    <row r="1045">
      <c r="A1045" s="4" t="s">
        <v>10</v>
      </c>
      <c r="B1045" s="5">
        <v>43154.0</v>
      </c>
      <c r="C1045" s="6">
        <v>274.71</v>
      </c>
      <c r="D1045" s="13">
        <f>+4.31</f>
        <v>4.31</v>
      </c>
      <c r="E1045" s="14">
        <f>+1.59%</f>
        <v>0.0159</v>
      </c>
      <c r="F1045" s="6">
        <v>271.79</v>
      </c>
      <c r="G1045" s="6">
        <v>271.25</v>
      </c>
      <c r="H1045" s="6">
        <v>274.71</v>
      </c>
      <c r="I1045" s="9">
        <v>9.2766428E7</v>
      </c>
      <c r="J1045" s="6">
        <v>2.53446765782E10</v>
      </c>
    </row>
    <row r="1046">
      <c r="A1046" s="4" t="s">
        <v>10</v>
      </c>
      <c r="B1046" s="5">
        <v>43157.0</v>
      </c>
      <c r="C1046" s="6">
        <v>277.9</v>
      </c>
      <c r="D1046" s="13">
        <f>+3.19</f>
        <v>3.19</v>
      </c>
      <c r="E1046" s="14">
        <f>+1.16%</f>
        <v>0.0116</v>
      </c>
      <c r="F1046" s="6">
        <v>275.93</v>
      </c>
      <c r="G1046" s="6">
        <v>275.26</v>
      </c>
      <c r="H1046" s="6">
        <v>278.01</v>
      </c>
      <c r="I1046" s="9">
        <v>8.6491406E7</v>
      </c>
      <c r="J1046" s="6">
        <v>2.393738046363E10</v>
      </c>
    </row>
    <row r="1047">
      <c r="A1047" s="4" t="s">
        <v>10</v>
      </c>
      <c r="B1047" s="5">
        <v>43158.0</v>
      </c>
      <c r="C1047" s="6">
        <v>274.43</v>
      </c>
      <c r="D1047" s="11">
        <v>-3.47</v>
      </c>
      <c r="E1047" s="12">
        <v>-0.0125</v>
      </c>
      <c r="F1047" s="6">
        <v>278.11</v>
      </c>
      <c r="G1047" s="6">
        <v>274.36</v>
      </c>
      <c r="H1047" s="6">
        <v>278.92</v>
      </c>
      <c r="I1047" s="9">
        <v>9.9099165E7</v>
      </c>
      <c r="J1047" s="6">
        <v>2.738994250728E10</v>
      </c>
    </row>
    <row r="1048">
      <c r="A1048" s="4" t="s">
        <v>10</v>
      </c>
      <c r="B1048" s="5">
        <v>43159.0</v>
      </c>
      <c r="C1048" s="6">
        <v>271.65</v>
      </c>
      <c r="D1048" s="11">
        <v>-2.78</v>
      </c>
      <c r="E1048" s="12">
        <v>-0.0101</v>
      </c>
      <c r="F1048" s="6">
        <v>275.68</v>
      </c>
      <c r="G1048" s="6">
        <v>271.29</v>
      </c>
      <c r="H1048" s="6">
        <v>276.19</v>
      </c>
      <c r="I1048" s="9">
        <v>1.21907767E8</v>
      </c>
      <c r="J1048" s="6">
        <v>3.334388219968E10</v>
      </c>
    </row>
    <row r="1049">
      <c r="A1049" s="4" t="s">
        <v>10</v>
      </c>
      <c r="B1049" s="5">
        <v>43160.0</v>
      </c>
      <c r="C1049" s="6">
        <v>267.7</v>
      </c>
      <c r="D1049" s="11">
        <v>-3.95</v>
      </c>
      <c r="E1049" s="12">
        <v>-0.0145</v>
      </c>
      <c r="F1049" s="6">
        <v>271.41</v>
      </c>
      <c r="G1049" s="6">
        <v>266.0</v>
      </c>
      <c r="H1049" s="6">
        <v>273.17</v>
      </c>
      <c r="I1049" s="9">
        <v>1.76855077E8</v>
      </c>
      <c r="J1049" s="6">
        <v>4.762339196671E10</v>
      </c>
    </row>
    <row r="1050">
      <c r="A1050" s="4" t="s">
        <v>10</v>
      </c>
      <c r="B1050" s="5">
        <v>43161.0</v>
      </c>
      <c r="C1050" s="6">
        <v>269.08</v>
      </c>
      <c r="D1050" s="13">
        <f>+1.38</f>
        <v>1.38</v>
      </c>
      <c r="E1050" s="14">
        <f>+0.52%</f>
        <v>0.0052</v>
      </c>
      <c r="F1050" s="6">
        <v>265.8</v>
      </c>
      <c r="G1050" s="6">
        <v>264.82</v>
      </c>
      <c r="H1050" s="6">
        <v>269.72</v>
      </c>
      <c r="I1050" s="9">
        <v>1.39083217E8</v>
      </c>
      <c r="J1050" s="6">
        <v>3.720997281449E10</v>
      </c>
    </row>
    <row r="1051">
      <c r="A1051" s="4" t="s">
        <v>10</v>
      </c>
      <c r="B1051" s="5">
        <v>43164.0</v>
      </c>
      <c r="C1051" s="6">
        <v>272.19</v>
      </c>
      <c r="D1051" s="13">
        <f>+3.11</f>
        <v>3.11</v>
      </c>
      <c r="E1051" s="14">
        <f>+1.16%</f>
        <v>0.0116</v>
      </c>
      <c r="F1051" s="6">
        <v>267.73</v>
      </c>
      <c r="G1051" s="6">
        <v>267.61</v>
      </c>
      <c r="H1051" s="6">
        <v>272.89</v>
      </c>
      <c r="I1051" s="9">
        <v>9.7307387E7</v>
      </c>
      <c r="J1051" s="6">
        <v>2.635282962192E10</v>
      </c>
    </row>
    <row r="1052">
      <c r="A1052" s="4" t="s">
        <v>10</v>
      </c>
      <c r="B1052" s="5">
        <v>43165.0</v>
      </c>
      <c r="C1052" s="6">
        <v>272.88</v>
      </c>
      <c r="D1052" s="13">
        <f>+0.69</f>
        <v>0.69</v>
      </c>
      <c r="E1052" s="14">
        <f>+0.25%</f>
        <v>0.0025</v>
      </c>
      <c r="F1052" s="6">
        <v>273.3</v>
      </c>
      <c r="G1052" s="6">
        <v>271.18</v>
      </c>
      <c r="H1052" s="6">
        <v>273.39</v>
      </c>
      <c r="I1052" s="9">
        <v>7.9213163E7</v>
      </c>
      <c r="J1052" s="6">
        <v>2.156869261525E10</v>
      </c>
    </row>
    <row r="1053">
      <c r="A1053" s="4" t="s">
        <v>10</v>
      </c>
      <c r="B1053" s="5">
        <v>43166.0</v>
      </c>
      <c r="C1053" s="6">
        <v>272.78</v>
      </c>
      <c r="D1053" s="11">
        <v>-0.1</v>
      </c>
      <c r="E1053" s="12">
        <v>-4.0E-4</v>
      </c>
      <c r="F1053" s="6">
        <v>270.42</v>
      </c>
      <c r="G1053" s="6">
        <v>270.2</v>
      </c>
      <c r="H1053" s="6">
        <v>273.18</v>
      </c>
      <c r="I1053" s="9">
        <v>8.7063502E7</v>
      </c>
      <c r="J1053" s="6">
        <v>2.36696102316E10</v>
      </c>
    </row>
    <row r="1054">
      <c r="A1054" s="4" t="s">
        <v>10</v>
      </c>
      <c r="B1054" s="5">
        <v>43167.0</v>
      </c>
      <c r="C1054" s="6">
        <v>274.1</v>
      </c>
      <c r="D1054" s="13">
        <f>+1.32</f>
        <v>1.32</v>
      </c>
      <c r="E1054" s="14">
        <f>+0.48%</f>
        <v>0.0048</v>
      </c>
      <c r="F1054" s="6">
        <v>273.55</v>
      </c>
      <c r="G1054" s="6">
        <v>272.42</v>
      </c>
      <c r="H1054" s="6">
        <v>274.24</v>
      </c>
      <c r="I1054" s="9">
        <v>6.690115E7</v>
      </c>
      <c r="J1054" s="6">
        <v>1.829558084329E10</v>
      </c>
    </row>
    <row r="1055">
      <c r="A1055" s="4" t="s">
        <v>10</v>
      </c>
      <c r="B1055" s="5">
        <v>43168.0</v>
      </c>
      <c r="C1055" s="6">
        <v>278.87</v>
      </c>
      <c r="D1055" s="13">
        <f>+4.77</f>
        <v>4.77</v>
      </c>
      <c r="E1055" s="14">
        <f>+1.74%</f>
        <v>0.0174</v>
      </c>
      <c r="F1055" s="6">
        <v>275.7</v>
      </c>
      <c r="G1055" s="6">
        <v>275.34</v>
      </c>
      <c r="H1055" s="6">
        <v>278.87</v>
      </c>
      <c r="I1055" s="9">
        <v>1.13625335E8</v>
      </c>
      <c r="J1055" s="6">
        <v>3.147643605181E10</v>
      </c>
    </row>
    <row r="1056">
      <c r="A1056" s="4" t="s">
        <v>10</v>
      </c>
      <c r="B1056" s="5">
        <v>43171.0</v>
      </c>
      <c r="C1056" s="6">
        <v>278.52</v>
      </c>
      <c r="D1056" s="11">
        <v>-0.35</v>
      </c>
      <c r="E1056" s="12">
        <v>-0.0013</v>
      </c>
      <c r="F1056" s="6">
        <v>279.2</v>
      </c>
      <c r="G1056" s="6">
        <v>278.08</v>
      </c>
      <c r="H1056" s="6">
        <v>279.91</v>
      </c>
      <c r="I1056" s="9">
        <v>7.1924793E7</v>
      </c>
      <c r="J1056" s="6">
        <v>2.005663013964E10</v>
      </c>
    </row>
    <row r="1057">
      <c r="A1057" s="4" t="s">
        <v>10</v>
      </c>
      <c r="B1057" s="5">
        <v>43172.0</v>
      </c>
      <c r="C1057" s="6">
        <v>276.72</v>
      </c>
      <c r="D1057" s="11">
        <v>-1.8</v>
      </c>
      <c r="E1057" s="12">
        <v>-0.0065</v>
      </c>
      <c r="F1057" s="6">
        <v>279.84</v>
      </c>
      <c r="G1057" s="6">
        <v>276.03</v>
      </c>
      <c r="H1057" s="6">
        <v>280.41</v>
      </c>
      <c r="I1057" s="9">
        <v>9.1968937E7</v>
      </c>
      <c r="J1057" s="6">
        <v>2.556477424195E10</v>
      </c>
    </row>
    <row r="1058">
      <c r="A1058" s="4" t="s">
        <v>10</v>
      </c>
      <c r="B1058" s="5">
        <v>43173.0</v>
      </c>
      <c r="C1058" s="6">
        <v>275.3</v>
      </c>
      <c r="D1058" s="11">
        <v>-1.42</v>
      </c>
      <c r="E1058" s="12">
        <v>-0.0051</v>
      </c>
      <c r="F1058" s="6">
        <v>277.81</v>
      </c>
      <c r="G1058" s="6">
        <v>274.67</v>
      </c>
      <c r="H1058" s="6">
        <v>278.02</v>
      </c>
      <c r="I1058" s="9">
        <v>1.05895079E8</v>
      </c>
      <c r="J1058" s="6">
        <v>2.921156486412E10</v>
      </c>
    </row>
    <row r="1059">
      <c r="A1059" s="4" t="s">
        <v>10</v>
      </c>
      <c r="B1059" s="5">
        <v>43174.0</v>
      </c>
      <c r="C1059" s="6">
        <v>275.0</v>
      </c>
      <c r="D1059" s="11">
        <v>-0.3</v>
      </c>
      <c r="E1059" s="12">
        <v>-0.0011</v>
      </c>
      <c r="F1059" s="6">
        <v>275.88</v>
      </c>
      <c r="G1059" s="6">
        <v>274.43</v>
      </c>
      <c r="H1059" s="6">
        <v>276.61</v>
      </c>
      <c r="I1059" s="9">
        <v>8.3433038E7</v>
      </c>
      <c r="J1059" s="6">
        <v>2.296954656599E10</v>
      </c>
    </row>
    <row r="1060">
      <c r="A1060" s="4" t="s">
        <v>10</v>
      </c>
      <c r="B1060" s="5">
        <v>43175.0</v>
      </c>
      <c r="C1060" s="6">
        <v>274.2</v>
      </c>
      <c r="D1060" s="11">
        <v>-0.8</v>
      </c>
      <c r="E1060" s="12">
        <v>-0.0029</v>
      </c>
      <c r="F1060" s="6">
        <v>274.5</v>
      </c>
      <c r="G1060" s="6">
        <v>274.14</v>
      </c>
      <c r="H1060" s="6">
        <v>275.39</v>
      </c>
      <c r="I1060" s="9">
        <v>1.00343673E8</v>
      </c>
      <c r="J1060" s="6">
        <v>2.755259948958E10</v>
      </c>
    </row>
    <row r="1061">
      <c r="A1061" s="4" t="s">
        <v>10</v>
      </c>
      <c r="B1061" s="5">
        <v>43178.0</v>
      </c>
      <c r="C1061" s="6">
        <v>270.49</v>
      </c>
      <c r="D1061" s="11">
        <v>-3.71</v>
      </c>
      <c r="E1061" s="12">
        <v>-0.0135</v>
      </c>
      <c r="F1061" s="6">
        <v>273.35</v>
      </c>
      <c r="G1061" s="6">
        <v>268.62</v>
      </c>
      <c r="H1061" s="6">
        <v>274.4</v>
      </c>
      <c r="I1061" s="9">
        <v>1.09208442E8</v>
      </c>
      <c r="J1061" s="6">
        <v>2.956838173996E10</v>
      </c>
    </row>
    <row r="1062">
      <c r="A1062" s="4" t="s">
        <v>10</v>
      </c>
      <c r="B1062" s="5">
        <v>43179.0</v>
      </c>
      <c r="C1062" s="6">
        <v>270.95</v>
      </c>
      <c r="D1062" s="13">
        <f>+0.46</f>
        <v>0.46</v>
      </c>
      <c r="E1062" s="14">
        <f>+0.17%</f>
        <v>0.0017</v>
      </c>
      <c r="F1062" s="6">
        <v>270.94</v>
      </c>
      <c r="G1062" s="6">
        <v>270.18</v>
      </c>
      <c r="H1062" s="6">
        <v>271.67</v>
      </c>
      <c r="I1062" s="9">
        <v>5.9757271E7</v>
      </c>
      <c r="J1062" s="6">
        <v>1.618878573337E10</v>
      </c>
    </row>
    <row r="1063">
      <c r="A1063" s="4" t="s">
        <v>10</v>
      </c>
      <c r="B1063" s="5">
        <v>43180.0</v>
      </c>
      <c r="C1063" s="6">
        <v>270.43</v>
      </c>
      <c r="D1063" s="11">
        <v>-0.52</v>
      </c>
      <c r="E1063" s="12">
        <v>-0.0019</v>
      </c>
      <c r="F1063" s="6">
        <v>270.9</v>
      </c>
      <c r="G1063" s="6">
        <v>270.19</v>
      </c>
      <c r="H1063" s="6">
        <v>273.27</v>
      </c>
      <c r="I1063" s="9">
        <v>7.8709578E7</v>
      </c>
      <c r="J1063" s="6">
        <v>2.136215771218E10</v>
      </c>
    </row>
    <row r="1064">
      <c r="A1064" s="4" t="s">
        <v>10</v>
      </c>
      <c r="B1064" s="5">
        <v>43181.0</v>
      </c>
      <c r="C1064" s="6">
        <v>263.67</v>
      </c>
      <c r="D1064" s="11">
        <v>-6.76</v>
      </c>
      <c r="E1064" s="12">
        <v>-0.025</v>
      </c>
      <c r="F1064" s="6">
        <v>267.91</v>
      </c>
      <c r="G1064" s="6">
        <v>263.36</v>
      </c>
      <c r="H1064" s="6">
        <v>268.87</v>
      </c>
      <c r="I1064" s="9">
        <v>1.48785916E8</v>
      </c>
      <c r="J1064" s="6">
        <v>3.959593945412E10</v>
      </c>
    </row>
    <row r="1065">
      <c r="A1065" s="4" t="s">
        <v>10</v>
      </c>
      <c r="B1065" s="5">
        <v>43182.0</v>
      </c>
      <c r="C1065" s="6">
        <v>258.05</v>
      </c>
      <c r="D1065" s="11">
        <v>-5.62</v>
      </c>
      <c r="E1065" s="12">
        <v>-0.0213</v>
      </c>
      <c r="F1065" s="6">
        <v>264.17</v>
      </c>
      <c r="G1065" s="6">
        <v>257.83</v>
      </c>
      <c r="H1065" s="6">
        <v>265.02</v>
      </c>
      <c r="I1065" s="9">
        <v>1.83534751E8</v>
      </c>
      <c r="J1065" s="6">
        <v>4.795395836079E10</v>
      </c>
    </row>
    <row r="1066">
      <c r="A1066" s="4" t="s">
        <v>10</v>
      </c>
      <c r="B1066" s="5">
        <v>43185.0</v>
      </c>
      <c r="C1066" s="6">
        <v>265.11</v>
      </c>
      <c r="D1066" s="13">
        <f>+7.06</f>
        <v>7.06</v>
      </c>
      <c r="E1066" s="14">
        <f>+2.74%</f>
        <v>0.0274</v>
      </c>
      <c r="F1066" s="6">
        <v>262.13</v>
      </c>
      <c r="G1066" s="6">
        <v>259.41</v>
      </c>
      <c r="H1066" s="6">
        <v>265.43</v>
      </c>
      <c r="I1066" s="9">
        <v>1.41956102E8</v>
      </c>
      <c r="J1066" s="6">
        <v>3.723937517643E10</v>
      </c>
    </row>
    <row r="1067">
      <c r="A1067" s="4" t="s">
        <v>10</v>
      </c>
      <c r="B1067" s="5">
        <v>43186.0</v>
      </c>
      <c r="C1067" s="6">
        <v>260.6</v>
      </c>
      <c r="D1067" s="11">
        <v>-4.51</v>
      </c>
      <c r="E1067" s="12">
        <v>-0.017</v>
      </c>
      <c r="F1067" s="6">
        <v>266.17</v>
      </c>
      <c r="G1067" s="6">
        <v>258.84</v>
      </c>
      <c r="H1067" s="6">
        <v>266.77</v>
      </c>
      <c r="I1067" s="9">
        <v>1.29941445E8</v>
      </c>
      <c r="J1067" s="6">
        <v>3.419253599259E10</v>
      </c>
    </row>
    <row r="1068">
      <c r="A1068" s="4" t="s">
        <v>10</v>
      </c>
      <c r="B1068" s="5">
        <v>43187.0</v>
      </c>
      <c r="C1068" s="6">
        <v>259.83</v>
      </c>
      <c r="D1068" s="11">
        <v>-0.77</v>
      </c>
      <c r="E1068" s="12">
        <v>-0.003</v>
      </c>
      <c r="F1068" s="6">
        <v>260.75</v>
      </c>
      <c r="G1068" s="6">
        <v>258.58</v>
      </c>
      <c r="H1068" s="6">
        <v>262.64</v>
      </c>
      <c r="I1068" s="9">
        <v>1.46452306E8</v>
      </c>
      <c r="J1068" s="6">
        <v>3.813547804205E10</v>
      </c>
    </row>
    <row r="1069">
      <c r="A1069" s="4" t="s">
        <v>10</v>
      </c>
      <c r="B1069" s="5">
        <v>43188.0</v>
      </c>
      <c r="C1069" s="6">
        <v>263.15</v>
      </c>
      <c r="D1069" s="13">
        <f>+3.32</f>
        <v>3.32</v>
      </c>
      <c r="E1069" s="14">
        <f>+1.28%</f>
        <v>0.0128</v>
      </c>
      <c r="F1069" s="6">
        <v>261.12</v>
      </c>
      <c r="G1069" s="6">
        <v>259.84</v>
      </c>
      <c r="H1069" s="6">
        <v>265.26</v>
      </c>
      <c r="I1069" s="9">
        <v>1.2424479E8</v>
      </c>
      <c r="J1069" s="6">
        <v>3.265563416313E10</v>
      </c>
    </row>
    <row r="1070">
      <c r="A1070" s="4" t="s">
        <v>10</v>
      </c>
      <c r="B1070" s="5">
        <v>43192.0</v>
      </c>
      <c r="C1070" s="6">
        <v>257.47</v>
      </c>
      <c r="D1070" s="11">
        <v>-5.68</v>
      </c>
      <c r="E1070" s="12">
        <v>-0.0216</v>
      </c>
      <c r="F1070" s="6">
        <v>262.55</v>
      </c>
      <c r="G1070" s="6">
        <v>254.67</v>
      </c>
      <c r="H1070" s="6">
        <v>263.13</v>
      </c>
      <c r="I1070" s="9">
        <v>1.86286343E8</v>
      </c>
      <c r="J1070" s="6">
        <v>4.810124249157E10</v>
      </c>
    </row>
    <row r="1071">
      <c r="A1071" s="4" t="s">
        <v>10</v>
      </c>
      <c r="B1071" s="5">
        <v>43193.0</v>
      </c>
      <c r="C1071" s="6">
        <v>260.77</v>
      </c>
      <c r="D1071" s="13">
        <f>+3.3</f>
        <v>3.3</v>
      </c>
      <c r="E1071" s="14">
        <f>+1.28%</f>
        <v>0.0128</v>
      </c>
      <c r="F1071" s="6">
        <v>258.87</v>
      </c>
      <c r="G1071" s="6">
        <v>256.84</v>
      </c>
      <c r="H1071" s="6">
        <v>261.31</v>
      </c>
      <c r="I1071" s="9">
        <v>1.19956861E8</v>
      </c>
      <c r="J1071" s="6">
        <v>3.107000632757E10</v>
      </c>
    </row>
    <row r="1072">
      <c r="A1072" s="4" t="s">
        <v>10</v>
      </c>
      <c r="B1072" s="5">
        <v>43194.0</v>
      </c>
      <c r="C1072" s="6">
        <v>263.56</v>
      </c>
      <c r="D1072" s="13">
        <f>+2.79</f>
        <v>2.79</v>
      </c>
      <c r="E1072" s="14">
        <f>+1.07%</f>
        <v>0.0107</v>
      </c>
      <c r="F1072" s="6">
        <v>256.75</v>
      </c>
      <c r="G1072" s="6">
        <v>256.6</v>
      </c>
      <c r="H1072" s="6">
        <v>264.36</v>
      </c>
      <c r="I1072" s="9">
        <v>1.23715339E8</v>
      </c>
      <c r="J1072" s="6">
        <v>3.228023248266E10</v>
      </c>
    </row>
    <row r="1073">
      <c r="A1073" s="4" t="s">
        <v>10</v>
      </c>
      <c r="B1073" s="5">
        <v>43195.0</v>
      </c>
      <c r="C1073" s="6">
        <v>265.64</v>
      </c>
      <c r="D1073" s="13">
        <f>+2.08</f>
        <v>2.08</v>
      </c>
      <c r="E1073" s="14">
        <f>+0.79%</f>
        <v>0.0079</v>
      </c>
      <c r="F1073" s="6">
        <v>265.55</v>
      </c>
      <c r="G1073" s="6">
        <v>264.32</v>
      </c>
      <c r="H1073" s="6">
        <v>266.64</v>
      </c>
      <c r="I1073" s="9">
        <v>8.2652618E7</v>
      </c>
      <c r="J1073" s="6">
        <v>2.194035897887E10</v>
      </c>
    </row>
    <row r="1074">
      <c r="A1074" s="4" t="s">
        <v>10</v>
      </c>
      <c r="B1074" s="5">
        <v>43196.0</v>
      </c>
      <c r="C1074" s="6">
        <v>259.72</v>
      </c>
      <c r="D1074" s="11">
        <v>-5.92</v>
      </c>
      <c r="E1074" s="12">
        <v>-0.0223</v>
      </c>
      <c r="F1074" s="6">
        <v>263.42</v>
      </c>
      <c r="G1074" s="6">
        <v>258.0</v>
      </c>
      <c r="H1074" s="6">
        <v>265.11</v>
      </c>
      <c r="I1074" s="9">
        <v>1.79521209E8</v>
      </c>
      <c r="J1074" s="6">
        <v>4.691424682738E10</v>
      </c>
    </row>
    <row r="1075">
      <c r="A1075" s="4" t="s">
        <v>10</v>
      </c>
      <c r="B1075" s="5">
        <v>43199.0</v>
      </c>
      <c r="C1075" s="6">
        <v>261.0</v>
      </c>
      <c r="D1075" s="13">
        <f>+1.28</f>
        <v>1.28</v>
      </c>
      <c r="E1075" s="14">
        <f>+0.49%</f>
        <v>0.0049</v>
      </c>
      <c r="F1075" s="6">
        <v>261.37</v>
      </c>
      <c r="G1075" s="6">
        <v>259.94</v>
      </c>
      <c r="H1075" s="6">
        <v>264.84</v>
      </c>
      <c r="I1075" s="9">
        <v>1.05442932E8</v>
      </c>
      <c r="J1075" s="6">
        <v>2.764329682759E10</v>
      </c>
    </row>
    <row r="1076">
      <c r="A1076" s="4" t="s">
        <v>10</v>
      </c>
      <c r="B1076" s="5">
        <v>43200.0</v>
      </c>
      <c r="C1076" s="6">
        <v>265.15</v>
      </c>
      <c r="D1076" s="13">
        <f>+4.15</f>
        <v>4.15</v>
      </c>
      <c r="E1076" s="14">
        <f>+1.59%</f>
        <v>0.0159</v>
      </c>
      <c r="F1076" s="6">
        <v>264.27</v>
      </c>
      <c r="G1076" s="6">
        <v>262.98</v>
      </c>
      <c r="H1076" s="6">
        <v>266.04</v>
      </c>
      <c r="I1076" s="9">
        <v>1.05573736E8</v>
      </c>
      <c r="J1076" s="6">
        <v>2.792673887936E10</v>
      </c>
    </row>
    <row r="1077">
      <c r="A1077" s="4" t="s">
        <v>10</v>
      </c>
      <c r="B1077" s="5">
        <v>43201.0</v>
      </c>
      <c r="C1077" s="6">
        <v>263.76</v>
      </c>
      <c r="D1077" s="11">
        <v>-1.39</v>
      </c>
      <c r="E1077" s="12">
        <v>-0.0052</v>
      </c>
      <c r="F1077" s="6">
        <v>263.47</v>
      </c>
      <c r="G1077" s="6">
        <v>263.39</v>
      </c>
      <c r="H1077" s="6">
        <v>265.64</v>
      </c>
      <c r="I1077" s="9">
        <v>9.1140243E7</v>
      </c>
      <c r="J1077" s="6">
        <v>2.408561293467E10</v>
      </c>
    </row>
    <row r="1078">
      <c r="A1078" s="4" t="s">
        <v>10</v>
      </c>
      <c r="B1078" s="5">
        <v>43202.0</v>
      </c>
      <c r="C1078" s="6">
        <v>265.93</v>
      </c>
      <c r="D1078" s="13">
        <f>+2.17</f>
        <v>2.17</v>
      </c>
      <c r="E1078" s="14">
        <f>+0.82%</f>
        <v>0.0082</v>
      </c>
      <c r="F1078" s="6">
        <v>265.26</v>
      </c>
      <c r="G1078" s="6">
        <v>265.06</v>
      </c>
      <c r="H1078" s="6">
        <v>267.0</v>
      </c>
      <c r="I1078" s="9">
        <v>6.889048E7</v>
      </c>
      <c r="J1078" s="6">
        <v>1.832607521941E10</v>
      </c>
    </row>
    <row r="1079">
      <c r="A1079" s="4" t="s">
        <v>10</v>
      </c>
      <c r="B1079" s="5">
        <v>43203.0</v>
      </c>
      <c r="C1079" s="6">
        <v>265.15</v>
      </c>
      <c r="D1079" s="11">
        <v>-0.78</v>
      </c>
      <c r="E1079" s="12">
        <v>-0.0029</v>
      </c>
      <c r="F1079" s="6">
        <v>267.41</v>
      </c>
      <c r="G1079" s="6">
        <v>264.01</v>
      </c>
      <c r="H1079" s="6">
        <v>267.54</v>
      </c>
      <c r="I1079" s="9">
        <v>8.5079176E7</v>
      </c>
      <c r="J1079" s="6">
        <v>2.259206612452E10</v>
      </c>
    </row>
    <row r="1080">
      <c r="A1080" s="4" t="s">
        <v>10</v>
      </c>
      <c r="B1080" s="5">
        <v>43206.0</v>
      </c>
      <c r="C1080" s="6">
        <v>267.33</v>
      </c>
      <c r="D1080" s="13">
        <f>+2.18</f>
        <v>2.18</v>
      </c>
      <c r="E1080" s="14">
        <f>+0.82%</f>
        <v>0.0082</v>
      </c>
      <c r="F1080" s="6">
        <v>267.0</v>
      </c>
      <c r="G1080" s="6">
        <v>266.07</v>
      </c>
      <c r="H1080" s="6">
        <v>268.2</v>
      </c>
      <c r="I1080" s="9">
        <v>6.3405287E7</v>
      </c>
      <c r="J1080" s="6">
        <v>1.694815521973E10</v>
      </c>
    </row>
    <row r="1081">
      <c r="A1081" s="4" t="s">
        <v>10</v>
      </c>
      <c r="B1081" s="5">
        <v>43207.0</v>
      </c>
      <c r="C1081" s="6">
        <v>270.19</v>
      </c>
      <c r="D1081" s="13">
        <f>+2.86</f>
        <v>2.86</v>
      </c>
      <c r="E1081" s="14">
        <f>+1.07%</f>
        <v>0.0107</v>
      </c>
      <c r="F1081" s="6">
        <v>269.33</v>
      </c>
      <c r="G1081" s="6">
        <v>268.75</v>
      </c>
      <c r="H1081" s="6">
        <v>270.87</v>
      </c>
      <c r="I1081" s="9">
        <v>6.4682036E7</v>
      </c>
      <c r="J1081" s="6">
        <v>1.745087281962E10</v>
      </c>
    </row>
    <row r="1082">
      <c r="A1082" s="4" t="s">
        <v>10</v>
      </c>
      <c r="B1082" s="5">
        <v>43208.0</v>
      </c>
      <c r="C1082" s="6">
        <v>270.39</v>
      </c>
      <c r="D1082" s="13">
        <f>+0.2</f>
        <v>0.2</v>
      </c>
      <c r="E1082" s="14">
        <f>+0.07%</f>
        <v>0.0007</v>
      </c>
      <c r="F1082" s="6">
        <v>270.69</v>
      </c>
      <c r="G1082" s="6">
        <v>269.87</v>
      </c>
      <c r="H1082" s="6">
        <v>271.3</v>
      </c>
      <c r="I1082" s="9">
        <v>5.7303857E7</v>
      </c>
      <c r="J1082" s="6">
        <v>1.55105460965E10</v>
      </c>
    </row>
    <row r="1083">
      <c r="A1083" s="4" t="s">
        <v>10</v>
      </c>
      <c r="B1083" s="5">
        <v>43209.0</v>
      </c>
      <c r="C1083" s="6">
        <v>268.89</v>
      </c>
      <c r="D1083" s="11">
        <v>-1.5</v>
      </c>
      <c r="E1083" s="12">
        <v>-0.0055</v>
      </c>
      <c r="F1083" s="6">
        <v>269.65</v>
      </c>
      <c r="G1083" s="6">
        <v>267.72</v>
      </c>
      <c r="H1083" s="6">
        <v>269.88</v>
      </c>
      <c r="I1083" s="9">
        <v>7.7655909E7</v>
      </c>
      <c r="J1083" s="6">
        <v>2.087294913668E10</v>
      </c>
    </row>
    <row r="1084">
      <c r="A1084" s="4" t="s">
        <v>10</v>
      </c>
      <c r="B1084" s="5">
        <v>43210.0</v>
      </c>
      <c r="C1084" s="6">
        <v>266.61</v>
      </c>
      <c r="D1084" s="11">
        <v>-2.28</v>
      </c>
      <c r="E1084" s="12">
        <v>-0.0085</v>
      </c>
      <c r="F1084" s="6">
        <v>268.81</v>
      </c>
      <c r="G1084" s="6">
        <v>265.61</v>
      </c>
      <c r="H1084" s="6">
        <v>269.06</v>
      </c>
      <c r="I1084" s="9">
        <v>9.9953133E7</v>
      </c>
      <c r="J1084" s="6">
        <v>2.67165518257E10</v>
      </c>
    </row>
    <row r="1085">
      <c r="A1085" s="4" t="s">
        <v>10</v>
      </c>
      <c r="B1085" s="5">
        <v>43213.0</v>
      </c>
      <c r="C1085" s="6">
        <v>266.57</v>
      </c>
      <c r="D1085" s="11">
        <v>-0.04</v>
      </c>
      <c r="E1085" s="12">
        <v>-2.0E-4</v>
      </c>
      <c r="F1085" s="6">
        <v>267.26</v>
      </c>
      <c r="G1085" s="6">
        <v>265.35</v>
      </c>
      <c r="H1085" s="6">
        <v>267.89</v>
      </c>
      <c r="I1085" s="9">
        <v>6.5557954E7</v>
      </c>
      <c r="J1085" s="6">
        <v>1.74819095551E10</v>
      </c>
    </row>
    <row r="1086">
      <c r="A1086" s="4" t="s">
        <v>10</v>
      </c>
      <c r="B1086" s="5">
        <v>43214.0</v>
      </c>
      <c r="C1086" s="6">
        <v>262.98</v>
      </c>
      <c r="D1086" s="11">
        <v>-3.59</v>
      </c>
      <c r="E1086" s="12">
        <v>-0.0135</v>
      </c>
      <c r="F1086" s="6">
        <v>267.73</v>
      </c>
      <c r="G1086" s="6">
        <v>261.28</v>
      </c>
      <c r="H1086" s="6">
        <v>267.98</v>
      </c>
      <c r="I1086" s="9">
        <v>1.12885452E8</v>
      </c>
      <c r="J1086" s="6">
        <v>2.981944222343E10</v>
      </c>
    </row>
    <row r="1087">
      <c r="A1087" s="4" t="s">
        <v>10</v>
      </c>
      <c r="B1087" s="5">
        <v>43215.0</v>
      </c>
      <c r="C1087" s="6">
        <v>263.63</v>
      </c>
      <c r="D1087" s="13">
        <f>+0.65</f>
        <v>0.65</v>
      </c>
      <c r="E1087" s="14">
        <f>+0.25%</f>
        <v>0.0025</v>
      </c>
      <c r="F1087" s="6">
        <v>262.91</v>
      </c>
      <c r="G1087" s="6">
        <v>260.85</v>
      </c>
      <c r="H1087" s="6">
        <v>264.13</v>
      </c>
      <c r="I1087" s="9">
        <v>1.03840948E8</v>
      </c>
      <c r="J1087" s="6">
        <v>2.72906562965E10</v>
      </c>
    </row>
    <row r="1088">
      <c r="A1088" s="4" t="s">
        <v>10</v>
      </c>
      <c r="B1088" s="5">
        <v>43216.0</v>
      </c>
      <c r="C1088" s="6">
        <v>266.31</v>
      </c>
      <c r="D1088" s="13">
        <f>+2.68</f>
        <v>2.68</v>
      </c>
      <c r="E1088" s="14">
        <f>+1.02%</f>
        <v>0.0102</v>
      </c>
      <c r="F1088" s="6">
        <v>264.79</v>
      </c>
      <c r="G1088" s="6">
        <v>264.29</v>
      </c>
      <c r="H1088" s="6">
        <v>267.25</v>
      </c>
      <c r="I1088" s="9">
        <v>6.7731942E7</v>
      </c>
      <c r="J1088" s="6">
        <v>1.800889708135E10</v>
      </c>
    </row>
    <row r="1089">
      <c r="A1089" s="4" t="s">
        <v>10</v>
      </c>
      <c r="B1089" s="5">
        <v>43217.0</v>
      </c>
      <c r="C1089" s="6">
        <v>266.56</v>
      </c>
      <c r="D1089" s="13">
        <f>+0.25</f>
        <v>0.25</v>
      </c>
      <c r="E1089" s="14">
        <f>+0.09%</f>
        <v>0.0009</v>
      </c>
      <c r="F1089" s="6">
        <v>267.0</v>
      </c>
      <c r="G1089" s="6">
        <v>265.5</v>
      </c>
      <c r="H1089" s="6">
        <v>267.34</v>
      </c>
      <c r="I1089" s="9">
        <v>5.7053647E7</v>
      </c>
      <c r="J1089" s="6">
        <v>1.520932063339E10</v>
      </c>
    </row>
    <row r="1090">
      <c r="A1090" s="4" t="s">
        <v>10</v>
      </c>
      <c r="B1090" s="5">
        <v>43220.0</v>
      </c>
      <c r="C1090" s="6">
        <v>264.51</v>
      </c>
      <c r="D1090" s="11">
        <v>-2.05</v>
      </c>
      <c r="E1090" s="12">
        <v>-0.0077</v>
      </c>
      <c r="F1090" s="6">
        <v>267.26</v>
      </c>
      <c r="G1090" s="6">
        <v>264.43</v>
      </c>
      <c r="H1090" s="6">
        <v>267.89</v>
      </c>
      <c r="I1090" s="9">
        <v>8.2182324E7</v>
      </c>
      <c r="J1090" s="6">
        <v>2.182951208733E10</v>
      </c>
    </row>
    <row r="1091">
      <c r="A1091" s="4" t="s">
        <v>10</v>
      </c>
      <c r="B1091" s="5">
        <v>43221.0</v>
      </c>
      <c r="C1091" s="6">
        <v>264.98</v>
      </c>
      <c r="D1091" s="13">
        <f>+0.47</f>
        <v>0.47</v>
      </c>
      <c r="E1091" s="14">
        <f>+0.18%</f>
        <v>0.0018</v>
      </c>
      <c r="F1091" s="6">
        <v>263.87</v>
      </c>
      <c r="G1091" s="6">
        <v>262.11</v>
      </c>
      <c r="H1091" s="6">
        <v>265.1</v>
      </c>
      <c r="I1091" s="9">
        <v>7.4203365E7</v>
      </c>
      <c r="J1091" s="6">
        <v>1.958197000839E10</v>
      </c>
    </row>
    <row r="1092">
      <c r="A1092" s="4" t="s">
        <v>10</v>
      </c>
      <c r="B1092" s="5">
        <v>43222.0</v>
      </c>
      <c r="C1092" s="6">
        <v>263.2</v>
      </c>
      <c r="D1092" s="11">
        <v>-1.78</v>
      </c>
      <c r="E1092" s="12">
        <v>-0.0067</v>
      </c>
      <c r="F1092" s="6">
        <v>264.76</v>
      </c>
      <c r="G1092" s="6">
        <v>262.76</v>
      </c>
      <c r="H1092" s="6">
        <v>265.68</v>
      </c>
      <c r="I1092" s="9">
        <v>8.6368943E7</v>
      </c>
      <c r="J1092" s="6">
        <v>2.281162699677E10</v>
      </c>
    </row>
    <row r="1093">
      <c r="A1093" s="4" t="s">
        <v>10</v>
      </c>
      <c r="B1093" s="5">
        <v>43223.0</v>
      </c>
      <c r="C1093" s="6">
        <v>262.62</v>
      </c>
      <c r="D1093" s="11">
        <v>-0.58</v>
      </c>
      <c r="E1093" s="12">
        <v>-0.0022</v>
      </c>
      <c r="F1093" s="6">
        <v>262.26</v>
      </c>
      <c r="G1093" s="6">
        <v>259.05</v>
      </c>
      <c r="H1093" s="6">
        <v>263.36</v>
      </c>
      <c r="I1093" s="9">
        <v>1.36311479E8</v>
      </c>
      <c r="J1093" s="6">
        <v>3.567042166504E10</v>
      </c>
    </row>
    <row r="1094">
      <c r="A1094" s="4" t="s">
        <v>10</v>
      </c>
      <c r="B1094" s="5">
        <v>43224.0</v>
      </c>
      <c r="C1094" s="6">
        <v>266.02</v>
      </c>
      <c r="D1094" s="13">
        <f>+3.4</f>
        <v>3.4</v>
      </c>
      <c r="E1094" s="14">
        <f>+1.29%</f>
        <v>0.0129</v>
      </c>
      <c r="F1094" s="6">
        <v>261.52</v>
      </c>
      <c r="G1094" s="6">
        <v>261.15</v>
      </c>
      <c r="H1094" s="6">
        <v>266.79</v>
      </c>
      <c r="I1094" s="9">
        <v>9.1222075E7</v>
      </c>
      <c r="J1094" s="6">
        <v>2.416061495237E10</v>
      </c>
    </row>
    <row r="1095">
      <c r="A1095" s="4" t="s">
        <v>10</v>
      </c>
      <c r="B1095" s="5">
        <v>43227.0</v>
      </c>
      <c r="C1095" s="6">
        <v>266.92</v>
      </c>
      <c r="D1095" s="13">
        <f>+0.9</f>
        <v>0.9</v>
      </c>
      <c r="E1095" s="14">
        <f>+0.34%</f>
        <v>0.0034</v>
      </c>
      <c r="F1095" s="6">
        <v>266.89</v>
      </c>
      <c r="G1095" s="6">
        <v>266.11</v>
      </c>
      <c r="H1095" s="6">
        <v>268.02</v>
      </c>
      <c r="I1095" s="9">
        <v>5.5304907E7</v>
      </c>
      <c r="J1095" s="6">
        <v>1.477218648642E10</v>
      </c>
    </row>
    <row r="1096">
      <c r="A1096" s="4" t="s">
        <v>10</v>
      </c>
      <c r="B1096" s="5">
        <v>43228.0</v>
      </c>
      <c r="C1096" s="6">
        <v>266.92</v>
      </c>
      <c r="D1096" s="11">
        <v>0.0</v>
      </c>
      <c r="E1096" s="12">
        <v>0.0</v>
      </c>
      <c r="F1096" s="6">
        <v>266.5</v>
      </c>
      <c r="G1096" s="6">
        <v>265.15</v>
      </c>
      <c r="H1096" s="6">
        <v>267.33</v>
      </c>
      <c r="I1096" s="9">
        <v>6.7499247E7</v>
      </c>
      <c r="J1096" s="6">
        <v>1.798375204335E10</v>
      </c>
    </row>
    <row r="1097">
      <c r="A1097" s="4" t="s">
        <v>10</v>
      </c>
      <c r="B1097" s="5">
        <v>43229.0</v>
      </c>
      <c r="C1097" s="6">
        <v>269.5</v>
      </c>
      <c r="D1097" s="13">
        <f>+2.58</f>
        <v>2.58</v>
      </c>
      <c r="E1097" s="14">
        <f>+0.97%</f>
        <v>0.0097</v>
      </c>
      <c r="F1097" s="6">
        <v>267.68</v>
      </c>
      <c r="G1097" s="6">
        <v>267.09</v>
      </c>
      <c r="H1097" s="6">
        <v>269.87</v>
      </c>
      <c r="I1097" s="9">
        <v>5.9666143E7</v>
      </c>
      <c r="J1097" s="6">
        <v>1.603315209388E10</v>
      </c>
    </row>
    <row r="1098">
      <c r="A1098" s="4" t="s">
        <v>10</v>
      </c>
      <c r="B1098" s="5">
        <v>43230.0</v>
      </c>
      <c r="C1098" s="6">
        <v>272.02</v>
      </c>
      <c r="D1098" s="13">
        <f>+2.52</f>
        <v>2.52</v>
      </c>
      <c r="E1098" s="14">
        <f>+0.94%</f>
        <v>0.0094</v>
      </c>
      <c r="F1098" s="6">
        <v>270.34</v>
      </c>
      <c r="G1098" s="6">
        <v>270.22</v>
      </c>
      <c r="H1098" s="6">
        <v>272.39</v>
      </c>
      <c r="I1098" s="9">
        <v>7.2063931E7</v>
      </c>
      <c r="J1098" s="6">
        <v>1.955955880291E10</v>
      </c>
    </row>
    <row r="1099">
      <c r="A1099" s="4" t="s">
        <v>10</v>
      </c>
      <c r="B1099" s="5">
        <v>43231.0</v>
      </c>
      <c r="C1099" s="6">
        <v>272.85</v>
      </c>
      <c r="D1099" s="13">
        <f>+0.83</f>
        <v>0.83</v>
      </c>
      <c r="E1099" s="14">
        <f>+0.31%</f>
        <v>0.0031</v>
      </c>
      <c r="F1099" s="6">
        <v>272.16</v>
      </c>
      <c r="G1099" s="6">
        <v>271.58</v>
      </c>
      <c r="H1099" s="6">
        <v>273.15</v>
      </c>
      <c r="I1099" s="9">
        <v>5.9871511E7</v>
      </c>
      <c r="J1099" s="6">
        <v>1.631281438035E10</v>
      </c>
    </row>
    <row r="1100">
      <c r="A1100" s="4" t="s">
        <v>10</v>
      </c>
      <c r="B1100" s="5">
        <v>43234.0</v>
      </c>
      <c r="C1100" s="6">
        <v>272.98</v>
      </c>
      <c r="D1100" s="13">
        <f>+0.13</f>
        <v>0.13</v>
      </c>
      <c r="E1100" s="14">
        <f>+0.05%</f>
        <v>0.0005</v>
      </c>
      <c r="F1100" s="6">
        <v>273.34</v>
      </c>
      <c r="G1100" s="6">
        <v>272.36</v>
      </c>
      <c r="H1100" s="6">
        <v>274.08</v>
      </c>
      <c r="I1100" s="9">
        <v>5.4790606E7</v>
      </c>
      <c r="J1100" s="6">
        <v>1.496272958312E10</v>
      </c>
    </row>
    <row r="1101">
      <c r="A1101" s="4" t="s">
        <v>10</v>
      </c>
      <c r="B1101" s="5">
        <v>43235.0</v>
      </c>
      <c r="C1101" s="6">
        <v>271.1</v>
      </c>
      <c r="D1101" s="11">
        <v>-1.88</v>
      </c>
      <c r="E1101" s="12">
        <v>-0.0069</v>
      </c>
      <c r="F1101" s="6">
        <v>271.59</v>
      </c>
      <c r="G1101" s="6">
        <v>270.03</v>
      </c>
      <c r="H1101" s="6">
        <v>271.61</v>
      </c>
      <c r="I1101" s="9">
        <v>8.7036136E7</v>
      </c>
      <c r="J1101" s="6">
        <v>2.358363316411E10</v>
      </c>
    </row>
    <row r="1102">
      <c r="A1102" s="4" t="s">
        <v>10</v>
      </c>
      <c r="B1102" s="5">
        <v>43236.0</v>
      </c>
      <c r="C1102" s="6">
        <v>272.24</v>
      </c>
      <c r="D1102" s="13">
        <f>+1.14</f>
        <v>1.14</v>
      </c>
      <c r="E1102" s="14">
        <f>+0.42%</f>
        <v>0.0042</v>
      </c>
      <c r="F1102" s="6">
        <v>271.14</v>
      </c>
      <c r="G1102" s="6">
        <v>271.11</v>
      </c>
      <c r="H1102" s="6">
        <v>272.76</v>
      </c>
      <c r="I1102" s="9">
        <v>5.3942631E7</v>
      </c>
      <c r="J1102" s="6">
        <v>1.466938274689E10</v>
      </c>
    </row>
    <row r="1103">
      <c r="A1103" s="4" t="s">
        <v>10</v>
      </c>
      <c r="B1103" s="5">
        <v>43237.0</v>
      </c>
      <c r="C1103" s="6">
        <v>272.01</v>
      </c>
      <c r="D1103" s="11">
        <v>-0.23</v>
      </c>
      <c r="E1103" s="12">
        <v>-8.0E-4</v>
      </c>
      <c r="F1103" s="6">
        <v>271.94</v>
      </c>
      <c r="G1103" s="6">
        <v>271.13</v>
      </c>
      <c r="H1103" s="6">
        <v>273.23</v>
      </c>
      <c r="I1103" s="9">
        <v>5.65364E7</v>
      </c>
      <c r="J1103" s="6">
        <v>1.538779508173E10</v>
      </c>
    </row>
    <row r="1104">
      <c r="A1104" s="4" t="s">
        <v>10</v>
      </c>
      <c r="B1104" s="5">
        <v>43238.0</v>
      </c>
      <c r="C1104" s="6">
        <v>271.33</v>
      </c>
      <c r="D1104" s="11">
        <v>-0.68</v>
      </c>
      <c r="E1104" s="12">
        <v>-0.0025</v>
      </c>
      <c r="F1104" s="6">
        <v>271.62</v>
      </c>
      <c r="G1104" s="6">
        <v>270.93</v>
      </c>
      <c r="H1104" s="6">
        <v>272.03</v>
      </c>
      <c r="I1104" s="9">
        <v>6.4367959E7</v>
      </c>
      <c r="J1104" s="6">
        <v>1.748256493857E10</v>
      </c>
    </row>
    <row r="1105">
      <c r="A1105" s="4" t="s">
        <v>10</v>
      </c>
      <c r="B1105" s="5">
        <v>43241.0</v>
      </c>
      <c r="C1105" s="6">
        <v>273.37</v>
      </c>
      <c r="D1105" s="13">
        <f>+2.04</f>
        <v>2.04</v>
      </c>
      <c r="E1105" s="14">
        <f>+0.75%</f>
        <v>0.0075</v>
      </c>
      <c r="F1105" s="6">
        <v>273.01</v>
      </c>
      <c r="G1105" s="6">
        <v>271.35</v>
      </c>
      <c r="H1105" s="6">
        <v>273.98</v>
      </c>
      <c r="I1105" s="9">
        <v>5.8025875E7</v>
      </c>
      <c r="J1105" s="6">
        <v>1.58466050397E10</v>
      </c>
    </row>
    <row r="1106">
      <c r="A1106" s="4" t="s">
        <v>10</v>
      </c>
      <c r="B1106" s="5">
        <v>43242.0</v>
      </c>
      <c r="C1106" s="6">
        <v>272.61</v>
      </c>
      <c r="D1106" s="11">
        <v>-0.76</v>
      </c>
      <c r="E1106" s="12">
        <v>-0.0028</v>
      </c>
      <c r="F1106" s="6">
        <v>273.96</v>
      </c>
      <c r="G1106" s="6">
        <v>272.24</v>
      </c>
      <c r="H1106" s="6">
        <v>274.25</v>
      </c>
      <c r="I1106" s="9">
        <v>5.2966358E7</v>
      </c>
      <c r="J1106" s="6">
        <v>1.447207073346E10</v>
      </c>
    </row>
    <row r="1107">
      <c r="A1107" s="4" t="s">
        <v>10</v>
      </c>
      <c r="B1107" s="5">
        <v>43243.0</v>
      </c>
      <c r="C1107" s="6">
        <v>273.36</v>
      </c>
      <c r="D1107" s="13">
        <f>+0.75</f>
        <v>0.75</v>
      </c>
      <c r="E1107" s="14">
        <f>+0.28%</f>
        <v>0.0028</v>
      </c>
      <c r="F1107" s="6">
        <v>271.17</v>
      </c>
      <c r="G1107" s="6">
        <v>270.99</v>
      </c>
      <c r="H1107" s="6">
        <v>273.39</v>
      </c>
      <c r="I1107" s="9">
        <v>6.4694184E7</v>
      </c>
      <c r="J1107" s="6">
        <v>1.76103201808E10</v>
      </c>
    </row>
    <row r="1108">
      <c r="A1108" s="4" t="s">
        <v>10</v>
      </c>
      <c r="B1108" s="5">
        <v>43244.0</v>
      </c>
      <c r="C1108" s="6">
        <v>272.8</v>
      </c>
      <c r="D1108" s="11">
        <v>-0.56</v>
      </c>
      <c r="E1108" s="12">
        <v>-0.002</v>
      </c>
      <c r="F1108" s="6">
        <v>272.91</v>
      </c>
      <c r="G1108" s="6">
        <v>270.78</v>
      </c>
      <c r="H1108" s="6">
        <v>273.22</v>
      </c>
      <c r="I1108" s="9">
        <v>7.6043827E7</v>
      </c>
      <c r="J1108" s="6">
        <v>2.072410820656E10</v>
      </c>
    </row>
    <row r="1109">
      <c r="A1109" s="4" t="s">
        <v>10</v>
      </c>
      <c r="B1109" s="5">
        <v>43245.0</v>
      </c>
      <c r="C1109" s="6">
        <v>272.15</v>
      </c>
      <c r="D1109" s="11">
        <v>-0.65</v>
      </c>
      <c r="E1109" s="12">
        <v>-0.0024</v>
      </c>
      <c r="F1109" s="6">
        <v>272.15</v>
      </c>
      <c r="G1109" s="6">
        <v>271.58</v>
      </c>
      <c r="H1109" s="6">
        <v>272.86</v>
      </c>
      <c r="I1109" s="9">
        <v>5.6374755E7</v>
      </c>
      <c r="J1109" s="6">
        <v>1.534874950103E10</v>
      </c>
    </row>
    <row r="1110">
      <c r="A1110" s="4" t="s">
        <v>10</v>
      </c>
      <c r="B1110" s="5">
        <v>43249.0</v>
      </c>
      <c r="C1110" s="6">
        <v>269.02</v>
      </c>
      <c r="D1110" s="11">
        <v>-3.13</v>
      </c>
      <c r="E1110" s="12">
        <v>-0.0115</v>
      </c>
      <c r="F1110" s="6">
        <v>270.31</v>
      </c>
      <c r="G1110" s="6">
        <v>267.76</v>
      </c>
      <c r="H1110" s="6">
        <v>271.17</v>
      </c>
      <c r="I1110" s="9">
        <v>1.15908607E8</v>
      </c>
      <c r="J1110" s="6">
        <v>3.122820634251E10</v>
      </c>
    </row>
    <row r="1111">
      <c r="A1111" s="4" t="s">
        <v>10</v>
      </c>
      <c r="B1111" s="5">
        <v>43250.0</v>
      </c>
      <c r="C1111" s="6">
        <v>272.61</v>
      </c>
      <c r="D1111" s="13">
        <f>+3.59</f>
        <v>3.59</v>
      </c>
      <c r="E1111" s="14">
        <f>+1.33%</f>
        <v>0.0133</v>
      </c>
      <c r="F1111" s="6">
        <v>270.5</v>
      </c>
      <c r="G1111" s="6">
        <v>270.42</v>
      </c>
      <c r="H1111" s="6">
        <v>273.11</v>
      </c>
      <c r="I1111" s="9">
        <v>6.9678449E7</v>
      </c>
      <c r="J1111" s="6">
        <v>1.894726552544E10</v>
      </c>
    </row>
    <row r="1112">
      <c r="A1112" s="4" t="s">
        <v>10</v>
      </c>
      <c r="B1112" s="5">
        <v>43251.0</v>
      </c>
      <c r="C1112" s="6">
        <v>270.94</v>
      </c>
      <c r="D1112" s="11">
        <v>-1.67</v>
      </c>
      <c r="E1112" s="12">
        <v>-0.0061</v>
      </c>
      <c r="F1112" s="6">
        <v>272.15</v>
      </c>
      <c r="G1112" s="6">
        <v>270.26</v>
      </c>
      <c r="H1112" s="6">
        <v>272.49</v>
      </c>
      <c r="I1112" s="9">
        <v>9.3519941E7</v>
      </c>
      <c r="J1112" s="6">
        <v>2.537261594771E10</v>
      </c>
    </row>
    <row r="1113">
      <c r="A1113" s="4" t="s">
        <v>10</v>
      </c>
      <c r="B1113" s="5">
        <v>43252.0</v>
      </c>
      <c r="C1113" s="6">
        <v>273.6</v>
      </c>
      <c r="D1113" s="13">
        <f>+2.66</f>
        <v>2.66</v>
      </c>
      <c r="E1113" s="14">
        <f>+0.98%</f>
        <v>0.0098</v>
      </c>
      <c r="F1113" s="6">
        <v>272.41</v>
      </c>
      <c r="G1113" s="6">
        <v>272.33</v>
      </c>
      <c r="H1113" s="6">
        <v>273.94</v>
      </c>
      <c r="I1113" s="9">
        <v>7.1258411E7</v>
      </c>
      <c r="J1113" s="6">
        <v>1.945646213356E10</v>
      </c>
    </row>
    <row r="1114">
      <c r="A1114" s="4" t="s">
        <v>10</v>
      </c>
      <c r="B1114" s="5">
        <v>43255.0</v>
      </c>
      <c r="C1114" s="6">
        <v>274.9</v>
      </c>
      <c r="D1114" s="13">
        <f>+1.3</f>
        <v>1.3</v>
      </c>
      <c r="E1114" s="14">
        <f>+0.48%</f>
        <v>0.0048</v>
      </c>
      <c r="F1114" s="6">
        <v>274.53</v>
      </c>
      <c r="G1114" s="6">
        <v>274.26</v>
      </c>
      <c r="H1114" s="6">
        <v>275.19</v>
      </c>
      <c r="I1114" s="9">
        <v>4.5385166E7</v>
      </c>
      <c r="J1114" s="6">
        <v>1.247072849012E10</v>
      </c>
    </row>
    <row r="1115">
      <c r="A1115" s="4" t="s">
        <v>10</v>
      </c>
      <c r="B1115" s="5">
        <v>43256.0</v>
      </c>
      <c r="C1115" s="6">
        <v>275.1</v>
      </c>
      <c r="D1115" s="13">
        <f>+0.2</f>
        <v>0.2</v>
      </c>
      <c r="E1115" s="14">
        <f>+0.07%</f>
        <v>0.0007</v>
      </c>
      <c r="F1115" s="6">
        <v>275.05</v>
      </c>
      <c r="G1115" s="6">
        <v>274.18</v>
      </c>
      <c r="H1115" s="6">
        <v>275.53</v>
      </c>
      <c r="I1115" s="9">
        <v>5.1135038E7</v>
      </c>
      <c r="J1115" s="6">
        <v>1.406333816602E10</v>
      </c>
    </row>
    <row r="1116">
      <c r="A1116" s="4" t="s">
        <v>10</v>
      </c>
      <c r="B1116" s="5">
        <v>43257.0</v>
      </c>
      <c r="C1116" s="6">
        <v>277.4</v>
      </c>
      <c r="D1116" s="13">
        <f>+2.3</f>
        <v>2.3</v>
      </c>
      <c r="E1116" s="14">
        <f>+0.84%</f>
        <v>0.0084</v>
      </c>
      <c r="F1116" s="6">
        <v>275.79</v>
      </c>
      <c r="G1116" s="6">
        <v>275.09</v>
      </c>
      <c r="H1116" s="6">
        <v>277.52</v>
      </c>
      <c r="I1116" s="9">
        <v>6.2732215E7</v>
      </c>
      <c r="J1116" s="6">
        <v>1.734453646785E10</v>
      </c>
    </row>
    <row r="1117">
      <c r="A1117" s="4" t="s">
        <v>10</v>
      </c>
      <c r="B1117" s="5">
        <v>43258.0</v>
      </c>
      <c r="C1117" s="6">
        <v>277.37</v>
      </c>
      <c r="D1117" s="11">
        <v>-0.03</v>
      </c>
      <c r="E1117" s="12">
        <v>-1.0E-4</v>
      </c>
      <c r="F1117" s="6">
        <v>277.95</v>
      </c>
      <c r="G1117" s="6">
        <v>276.34</v>
      </c>
      <c r="H1117" s="6">
        <v>278.28</v>
      </c>
      <c r="I1117" s="9">
        <v>7.2969402E7</v>
      </c>
      <c r="J1117" s="6">
        <v>2.023485593228E10</v>
      </c>
    </row>
    <row r="1118">
      <c r="A1118" s="4" t="s">
        <v>10</v>
      </c>
      <c r="B1118" s="5">
        <v>43259.0</v>
      </c>
      <c r="C1118" s="6">
        <v>278.19</v>
      </c>
      <c r="D1118" s="13">
        <f>+0.82</f>
        <v>0.82</v>
      </c>
      <c r="E1118" s="14">
        <f>+0.3%</f>
        <v>0.003</v>
      </c>
      <c r="F1118" s="6">
        <v>276.85</v>
      </c>
      <c r="G1118" s="6">
        <v>276.66</v>
      </c>
      <c r="H1118" s="6">
        <v>278.25</v>
      </c>
      <c r="I1118" s="9">
        <v>7.2139719E7</v>
      </c>
      <c r="J1118" s="6">
        <v>2.003401489884E10</v>
      </c>
    </row>
    <row r="1119">
      <c r="A1119" s="4" t="s">
        <v>10</v>
      </c>
      <c r="B1119" s="5">
        <v>43262.0</v>
      </c>
      <c r="C1119" s="6">
        <v>278.56</v>
      </c>
      <c r="D1119" s="13">
        <f>+0.37</f>
        <v>0.37</v>
      </c>
      <c r="E1119" s="14">
        <f t="shared" ref="E1119:E1120" si="1">+0.13%</f>
        <v>0.0013</v>
      </c>
      <c r="F1119" s="6">
        <v>278.44</v>
      </c>
      <c r="G1119" s="6">
        <v>278.31</v>
      </c>
      <c r="H1119" s="6">
        <v>279.37</v>
      </c>
      <c r="I1119" s="9">
        <v>5.8892515E7</v>
      </c>
      <c r="J1119" s="6">
        <v>1.641617915206E10</v>
      </c>
    </row>
    <row r="1120">
      <c r="A1120" s="4" t="s">
        <v>10</v>
      </c>
      <c r="B1120" s="5">
        <v>43263.0</v>
      </c>
      <c r="C1120" s="6">
        <v>278.92</v>
      </c>
      <c r="D1120" s="13">
        <f>+0.36</f>
        <v>0.36</v>
      </c>
      <c r="E1120" s="14">
        <f t="shared" si="1"/>
        <v>0.0013</v>
      </c>
      <c r="F1120" s="6">
        <v>279.03</v>
      </c>
      <c r="G1120" s="6">
        <v>278.19</v>
      </c>
      <c r="H1120" s="6">
        <v>279.33</v>
      </c>
      <c r="I1120" s="9">
        <v>7.2329028E7</v>
      </c>
      <c r="J1120" s="6">
        <v>2.016728127362E10</v>
      </c>
    </row>
    <row r="1121">
      <c r="A1121" s="4" t="s">
        <v>10</v>
      </c>
      <c r="B1121" s="5">
        <v>43264.0</v>
      </c>
      <c r="C1121" s="6">
        <v>278.03</v>
      </c>
      <c r="D1121" s="11">
        <v>-0.89</v>
      </c>
      <c r="E1121" s="12">
        <v>-0.0032</v>
      </c>
      <c r="F1121" s="6">
        <v>279.19</v>
      </c>
      <c r="G1121" s="6">
        <v>277.8</v>
      </c>
      <c r="H1121" s="6">
        <v>279.48</v>
      </c>
      <c r="I1121" s="9">
        <v>7.907061E7</v>
      </c>
      <c r="J1121" s="6">
        <v>2.203599457373E10</v>
      </c>
    </row>
    <row r="1122">
      <c r="A1122" s="4" t="s">
        <v>10</v>
      </c>
      <c r="B1122" s="5">
        <v>43265.0</v>
      </c>
      <c r="C1122" s="6">
        <v>278.73</v>
      </c>
      <c r="D1122" s="13">
        <f>+0.7</f>
        <v>0.7</v>
      </c>
      <c r="E1122" s="14">
        <f>+0.25%</f>
        <v>0.0025</v>
      </c>
      <c r="F1122" s="6">
        <v>279.01</v>
      </c>
      <c r="G1122" s="6">
        <v>278.06</v>
      </c>
      <c r="H1122" s="6">
        <v>279.33</v>
      </c>
      <c r="I1122" s="9">
        <v>7.709762E7</v>
      </c>
      <c r="J1122" s="6">
        <v>2.148456798349E10</v>
      </c>
    </row>
    <row r="1123">
      <c r="A1123" s="4" t="s">
        <v>10</v>
      </c>
      <c r="B1123" s="5">
        <v>43266.0</v>
      </c>
      <c r="C1123" s="6">
        <v>277.13</v>
      </c>
      <c r="D1123" s="11">
        <v>-1.6</v>
      </c>
      <c r="E1123" s="12">
        <v>-0.0057</v>
      </c>
      <c r="F1123" s="6">
        <v>276.6</v>
      </c>
      <c r="G1123" s="6">
        <v>275.35</v>
      </c>
      <c r="H1123" s="6">
        <v>277.51</v>
      </c>
      <c r="I1123" s="9">
        <v>1.20041562E8</v>
      </c>
      <c r="J1123" s="6">
        <v>3.322227226666E10</v>
      </c>
    </row>
    <row r="1124">
      <c r="A1124" s="4" t="s">
        <v>10</v>
      </c>
      <c r="B1124" s="5">
        <v>43269.0</v>
      </c>
      <c r="C1124" s="6">
        <v>276.56</v>
      </c>
      <c r="D1124" s="11">
        <v>-0.57</v>
      </c>
      <c r="E1124" s="12">
        <v>-0.0021</v>
      </c>
      <c r="F1124" s="6">
        <v>275.49</v>
      </c>
      <c r="G1124" s="6">
        <v>274.95</v>
      </c>
      <c r="H1124" s="6">
        <v>276.7</v>
      </c>
      <c r="I1124" s="9">
        <v>5.2917581E7</v>
      </c>
      <c r="J1124" s="6">
        <v>1.461330721328E10</v>
      </c>
    </row>
    <row r="1125">
      <c r="A1125" s="4" t="s">
        <v>10</v>
      </c>
      <c r="B1125" s="5">
        <v>43270.0</v>
      </c>
      <c r="C1125" s="6">
        <v>275.5</v>
      </c>
      <c r="D1125" s="11">
        <v>-1.06</v>
      </c>
      <c r="E1125" s="12">
        <v>-0.0038</v>
      </c>
      <c r="F1125" s="6">
        <v>274.0</v>
      </c>
      <c r="G1125" s="6">
        <v>273.53</v>
      </c>
      <c r="H1125" s="6">
        <v>275.75</v>
      </c>
      <c r="I1125" s="9">
        <v>9.753151E7</v>
      </c>
      <c r="J1125" s="6">
        <v>2.681450935128E10</v>
      </c>
    </row>
    <row r="1126">
      <c r="A1126" s="4" t="s">
        <v>10</v>
      </c>
      <c r="B1126" s="5">
        <v>43271.0</v>
      </c>
      <c r="C1126" s="6">
        <v>275.97</v>
      </c>
      <c r="D1126" s="13">
        <f>+0.47</f>
        <v>0.47</v>
      </c>
      <c r="E1126" s="14">
        <f>+0.17%</f>
        <v>0.0017</v>
      </c>
      <c r="F1126" s="6">
        <v>276.27</v>
      </c>
      <c r="G1126" s="6">
        <v>275.59</v>
      </c>
      <c r="H1126" s="6">
        <v>276.72</v>
      </c>
      <c r="I1126" s="9">
        <v>5.3785486E7</v>
      </c>
      <c r="J1126" s="6">
        <v>1.484827147654E10</v>
      </c>
    </row>
    <row r="1127">
      <c r="A1127" s="4" t="s">
        <v>10</v>
      </c>
      <c r="B1127" s="5">
        <v>43272.0</v>
      </c>
      <c r="C1127" s="6">
        <v>274.24</v>
      </c>
      <c r="D1127" s="11">
        <v>-1.73</v>
      </c>
      <c r="E1127" s="12">
        <v>-0.0063</v>
      </c>
      <c r="F1127" s="6">
        <v>275.96</v>
      </c>
      <c r="G1127" s="6">
        <v>273.68</v>
      </c>
      <c r="H1127" s="6">
        <v>275.98</v>
      </c>
      <c r="I1127" s="9">
        <v>7.1061404E7</v>
      </c>
      <c r="J1127" s="6">
        <v>1.951665480078E10</v>
      </c>
    </row>
    <row r="1128">
      <c r="A1128" s="4" t="s">
        <v>10</v>
      </c>
      <c r="B1128" s="5">
        <v>43273.0</v>
      </c>
      <c r="C1128" s="6">
        <v>274.74</v>
      </c>
      <c r="D1128" s="13">
        <f>+0.5</f>
        <v>0.5</v>
      </c>
      <c r="E1128" s="14">
        <f>+0.18%</f>
        <v>0.0018</v>
      </c>
      <c r="F1128" s="6">
        <v>275.66</v>
      </c>
      <c r="G1128" s="6">
        <v>274.49</v>
      </c>
      <c r="H1128" s="6">
        <v>275.79</v>
      </c>
      <c r="I1128" s="9">
        <v>5.6612003E7</v>
      </c>
      <c r="J1128" s="6">
        <v>1.557466505927E10</v>
      </c>
    </row>
    <row r="1129">
      <c r="A1129" s="4" t="s">
        <v>10</v>
      </c>
      <c r="B1129" s="5">
        <v>43276.0</v>
      </c>
      <c r="C1129" s="6">
        <v>271.0</v>
      </c>
      <c r="D1129" s="11">
        <v>-3.74</v>
      </c>
      <c r="E1129" s="12">
        <v>-0.0136</v>
      </c>
      <c r="F1129" s="6">
        <v>273.44</v>
      </c>
      <c r="G1129" s="6">
        <v>269.1</v>
      </c>
      <c r="H1129" s="6">
        <v>273.62</v>
      </c>
      <c r="I1129" s="9">
        <v>1.37854162E8</v>
      </c>
      <c r="J1129" s="6">
        <v>3.738545629216E10</v>
      </c>
    </row>
    <row r="1130">
      <c r="A1130" s="4" t="s">
        <v>10</v>
      </c>
      <c r="B1130" s="5">
        <v>43277.0</v>
      </c>
      <c r="C1130" s="6">
        <v>271.6</v>
      </c>
      <c r="D1130" s="13">
        <f>+0.6</f>
        <v>0.6</v>
      </c>
      <c r="E1130" s="14">
        <f>+0.22%</f>
        <v>0.0022</v>
      </c>
      <c r="F1130" s="6">
        <v>271.64</v>
      </c>
      <c r="G1130" s="6">
        <v>270.79</v>
      </c>
      <c r="H1130" s="6">
        <v>272.56</v>
      </c>
      <c r="I1130" s="9">
        <v>6.8683211E7</v>
      </c>
      <c r="J1130" s="6">
        <v>1.866348423278E10</v>
      </c>
    </row>
    <row r="1131">
      <c r="A1131" s="4" t="s">
        <v>10</v>
      </c>
      <c r="B1131" s="5">
        <v>43278.0</v>
      </c>
      <c r="C1131" s="6">
        <v>269.35</v>
      </c>
      <c r="D1131" s="11">
        <v>-2.25</v>
      </c>
      <c r="E1131" s="12">
        <v>-0.0083</v>
      </c>
      <c r="F1131" s="6">
        <v>272.26</v>
      </c>
      <c r="G1131" s="6">
        <v>269.18</v>
      </c>
      <c r="H1131" s="6">
        <v>273.87</v>
      </c>
      <c r="I1131" s="9">
        <v>1.05110674E8</v>
      </c>
      <c r="J1131" s="6">
        <v>2.84965434068E10</v>
      </c>
    </row>
    <row r="1132">
      <c r="A1132" s="4" t="s">
        <v>10</v>
      </c>
      <c r="B1132" s="5">
        <v>43279.0</v>
      </c>
      <c r="C1132" s="6">
        <v>270.89</v>
      </c>
      <c r="D1132" s="13">
        <f>+1.54</f>
        <v>1.54</v>
      </c>
      <c r="E1132" s="14">
        <f>+0.57%</f>
        <v>0.0057</v>
      </c>
      <c r="F1132" s="6">
        <v>269.29</v>
      </c>
      <c r="G1132" s="6">
        <v>268.49</v>
      </c>
      <c r="H1132" s="6">
        <v>271.75</v>
      </c>
      <c r="I1132" s="9">
        <v>7.6650517E7</v>
      </c>
      <c r="J1132" s="6">
        <v>2.06983188053E10</v>
      </c>
    </row>
    <row r="1133">
      <c r="A1133" s="4" t="s">
        <v>10</v>
      </c>
      <c r="B1133" s="5">
        <v>43280.0</v>
      </c>
      <c r="C1133" s="6">
        <v>271.28</v>
      </c>
      <c r="D1133" s="13">
        <f>+0.39</f>
        <v>0.39</v>
      </c>
      <c r="E1133" s="14">
        <f>+0.14%</f>
        <v>0.0014</v>
      </c>
      <c r="F1133" s="6">
        <v>272.12</v>
      </c>
      <c r="G1133" s="6">
        <v>271.15</v>
      </c>
      <c r="H1133" s="6">
        <v>273.66</v>
      </c>
      <c r="I1133" s="9">
        <v>9.7592499E7</v>
      </c>
      <c r="J1133" s="6">
        <v>2.655262935337E10</v>
      </c>
    </row>
    <row r="1134">
      <c r="A1134" s="4" t="s">
        <v>10</v>
      </c>
      <c r="B1134" s="5">
        <v>43283.0</v>
      </c>
      <c r="C1134" s="6">
        <v>271.86</v>
      </c>
      <c r="D1134" s="13">
        <f>+0.58</f>
        <v>0.58</v>
      </c>
      <c r="E1134" s="14">
        <f>+0.21%</f>
        <v>0.0021</v>
      </c>
      <c r="F1134" s="6">
        <v>269.51</v>
      </c>
      <c r="G1134" s="6">
        <v>269.24</v>
      </c>
      <c r="H1134" s="6">
        <v>272.04</v>
      </c>
      <c r="I1134" s="9">
        <v>6.3554774E7</v>
      </c>
      <c r="J1134" s="6">
        <v>1.720365137277E10</v>
      </c>
    </row>
    <row r="1135">
      <c r="A1135" s="4" t="s">
        <v>10</v>
      </c>
      <c r="B1135" s="5">
        <v>43284.0</v>
      </c>
      <c r="C1135" s="6">
        <v>270.9</v>
      </c>
      <c r="D1135" s="11">
        <v>-0.96</v>
      </c>
      <c r="E1135" s="12">
        <v>-0.0035</v>
      </c>
      <c r="F1135" s="6">
        <v>272.87</v>
      </c>
      <c r="G1135" s="6">
        <v>270.42</v>
      </c>
      <c r="H1135" s="6">
        <v>272.98</v>
      </c>
      <c r="I1135" s="9">
        <v>4.2187071E7</v>
      </c>
      <c r="J1135" s="6">
        <v>1.146289269449E10</v>
      </c>
    </row>
    <row r="1136">
      <c r="A1136" s="4" t="s">
        <v>10</v>
      </c>
      <c r="B1136" s="5">
        <v>43285.0</v>
      </c>
      <c r="C1136" s="10"/>
      <c r="D1136" s="7"/>
      <c r="E1136" s="8"/>
      <c r="F1136" s="10"/>
      <c r="G1136" s="10"/>
      <c r="H1136" s="10"/>
      <c r="I1136" s="15"/>
      <c r="J1136" s="10"/>
    </row>
    <row r="1137">
      <c r="A1137" s="4" t="s">
        <v>10</v>
      </c>
      <c r="B1137" s="5">
        <v>43286.0</v>
      </c>
      <c r="C1137" s="6">
        <v>273.11</v>
      </c>
      <c r="D1137" s="13">
        <f>+2.21</f>
        <v>2.21</v>
      </c>
      <c r="E1137" s="14">
        <f>+0.82%</f>
        <v>0.0082</v>
      </c>
      <c r="F1137" s="6">
        <v>272.17</v>
      </c>
      <c r="G1137" s="6">
        <v>270.96</v>
      </c>
      <c r="H1137" s="6">
        <v>273.18</v>
      </c>
      <c r="I1137" s="9">
        <v>5.6925919E7</v>
      </c>
      <c r="J1137" s="6">
        <v>1.549805213381E10</v>
      </c>
    </row>
    <row r="1138">
      <c r="A1138" s="4" t="s">
        <v>10</v>
      </c>
      <c r="B1138" s="5">
        <v>43287.0</v>
      </c>
      <c r="C1138" s="6">
        <v>275.42</v>
      </c>
      <c r="D1138" s="13">
        <f>+2.31</f>
        <v>2.31</v>
      </c>
      <c r="E1138" s="14">
        <f>+0.85%</f>
        <v>0.0085</v>
      </c>
      <c r="F1138" s="6">
        <v>273.14</v>
      </c>
      <c r="G1138" s="6">
        <v>272.72</v>
      </c>
      <c r="H1138" s="6">
        <v>275.84</v>
      </c>
      <c r="I1138" s="9">
        <v>6.6493696E7</v>
      </c>
      <c r="J1138" s="6">
        <v>1.828101317244E10</v>
      </c>
    </row>
    <row r="1139">
      <c r="A1139" s="4" t="s">
        <v>10</v>
      </c>
      <c r="B1139" s="5">
        <v>43290.0</v>
      </c>
      <c r="C1139" s="6">
        <v>277.9</v>
      </c>
      <c r="D1139" s="13">
        <f>+2.48</f>
        <v>2.48</v>
      </c>
      <c r="E1139" s="14">
        <f>+0.9%</f>
        <v>0.009</v>
      </c>
      <c r="F1139" s="6">
        <v>276.55</v>
      </c>
      <c r="G1139" s="6">
        <v>276.5</v>
      </c>
      <c r="H1139" s="6">
        <v>277.96</v>
      </c>
      <c r="I1139" s="9">
        <v>5.0550399E7</v>
      </c>
      <c r="J1139" s="6">
        <v>1.401391751154E10</v>
      </c>
    </row>
    <row r="1140">
      <c r="A1140" s="4" t="s">
        <v>10</v>
      </c>
      <c r="B1140" s="5">
        <v>43291.0</v>
      </c>
      <c r="C1140" s="6">
        <v>278.9</v>
      </c>
      <c r="D1140" s="13">
        <f>+1</f>
        <v>1</v>
      </c>
      <c r="E1140" s="14">
        <f>+0.36%</f>
        <v>0.0036</v>
      </c>
      <c r="F1140" s="6">
        <v>278.41</v>
      </c>
      <c r="G1140" s="6">
        <v>278.08</v>
      </c>
      <c r="H1140" s="6">
        <v>279.01</v>
      </c>
      <c r="I1140" s="9">
        <v>5.1966829E7</v>
      </c>
      <c r="J1140" s="6">
        <v>1.447690787614E10</v>
      </c>
    </row>
    <row r="1141">
      <c r="A1141" s="4" t="s">
        <v>10</v>
      </c>
      <c r="B1141" s="5">
        <v>43292.0</v>
      </c>
      <c r="C1141" s="6">
        <v>276.86</v>
      </c>
      <c r="D1141" s="11">
        <v>-2.04</v>
      </c>
      <c r="E1141" s="12">
        <v>-0.0073</v>
      </c>
      <c r="F1141" s="6">
        <v>277.15</v>
      </c>
      <c r="G1141" s="6">
        <v>276.52</v>
      </c>
      <c r="H1141" s="6">
        <v>278.04</v>
      </c>
      <c r="I1141" s="9">
        <v>7.7054739E7</v>
      </c>
      <c r="J1141" s="6">
        <v>2.136393350513E10</v>
      </c>
    </row>
    <row r="1142">
      <c r="A1142" s="4" t="s">
        <v>10</v>
      </c>
      <c r="B1142" s="5">
        <v>43293.0</v>
      </c>
      <c r="C1142" s="6">
        <v>279.37</v>
      </c>
      <c r="D1142" s="13">
        <f>+2.51</f>
        <v>2.51</v>
      </c>
      <c r="E1142" s="14">
        <f>+0.91%</f>
        <v>0.0091</v>
      </c>
      <c r="F1142" s="6">
        <v>278.28</v>
      </c>
      <c r="G1142" s="6">
        <v>277.6</v>
      </c>
      <c r="H1142" s="6">
        <v>279.43</v>
      </c>
      <c r="I1142" s="9">
        <v>6.0124687E7</v>
      </c>
      <c r="J1142" s="6">
        <v>1.675824987055E10</v>
      </c>
    </row>
    <row r="1143">
      <c r="A1143" s="4" t="s">
        <v>10</v>
      </c>
      <c r="B1143" s="5">
        <v>43294.0</v>
      </c>
      <c r="C1143" s="6">
        <v>279.59</v>
      </c>
      <c r="D1143" s="13">
        <f>+0.22</f>
        <v>0.22</v>
      </c>
      <c r="E1143" s="14">
        <f>+0.08%</f>
        <v>0.0008</v>
      </c>
      <c r="F1143" s="6">
        <v>279.17</v>
      </c>
      <c r="G1143" s="6">
        <v>278.66</v>
      </c>
      <c r="H1143" s="6">
        <v>279.93</v>
      </c>
      <c r="I1143" s="9">
        <v>4.8234964E7</v>
      </c>
      <c r="J1143" s="6">
        <v>1.348301112236E10</v>
      </c>
    </row>
    <row r="1144">
      <c r="A1144" s="4" t="s">
        <v>10</v>
      </c>
      <c r="B1144" s="5">
        <v>43297.0</v>
      </c>
      <c r="C1144" s="6">
        <v>279.34</v>
      </c>
      <c r="D1144" s="11">
        <v>-0.25</v>
      </c>
      <c r="E1144" s="12">
        <v>-9.0E-4</v>
      </c>
      <c r="F1144" s="6">
        <v>279.64</v>
      </c>
      <c r="G1144" s="6">
        <v>278.84</v>
      </c>
      <c r="H1144" s="6">
        <v>279.8</v>
      </c>
      <c r="I1144" s="9">
        <v>4.8201038E7</v>
      </c>
      <c r="J1144" s="6">
        <v>1.346306372677E10</v>
      </c>
    </row>
    <row r="1145">
      <c r="A1145" s="4" t="s">
        <v>10</v>
      </c>
      <c r="B1145" s="5">
        <v>43298.0</v>
      </c>
      <c r="C1145" s="6">
        <v>280.47</v>
      </c>
      <c r="D1145" s="13">
        <f>+1.13</f>
        <v>1.13</v>
      </c>
      <c r="E1145" s="14">
        <f>+0.4%</f>
        <v>0.004</v>
      </c>
      <c r="F1145" s="6">
        <v>278.47</v>
      </c>
      <c r="G1145" s="6">
        <v>278.41</v>
      </c>
      <c r="H1145" s="6">
        <v>280.91</v>
      </c>
      <c r="I1145" s="9">
        <v>5.23155E7</v>
      </c>
      <c r="J1145" s="6">
        <v>1.464951467579E10</v>
      </c>
    </row>
    <row r="1146">
      <c r="A1146" s="4" t="s">
        <v>10</v>
      </c>
      <c r="B1146" s="5">
        <v>43299.0</v>
      </c>
      <c r="C1146" s="6">
        <v>281.06</v>
      </c>
      <c r="D1146" s="13">
        <f>+0.59</f>
        <v>0.59</v>
      </c>
      <c r="E1146" s="14">
        <f>+0.21%</f>
        <v>0.0021</v>
      </c>
      <c r="F1146" s="6">
        <v>280.56</v>
      </c>
      <c r="G1146" s="6">
        <v>280.06</v>
      </c>
      <c r="H1146" s="6">
        <v>281.18</v>
      </c>
      <c r="I1146" s="9">
        <v>4.4593465E7</v>
      </c>
      <c r="J1146" s="6">
        <v>1.252199130774E10</v>
      </c>
    </row>
    <row r="1147">
      <c r="A1147" s="4" t="s">
        <v>10</v>
      </c>
      <c r="B1147" s="5">
        <v>43300.0</v>
      </c>
      <c r="C1147" s="6">
        <v>280.0</v>
      </c>
      <c r="D1147" s="11">
        <v>-1.06</v>
      </c>
      <c r="E1147" s="12">
        <v>-0.0038</v>
      </c>
      <c r="F1147" s="6">
        <v>280.31</v>
      </c>
      <c r="G1147" s="6">
        <v>279.46</v>
      </c>
      <c r="H1147" s="6">
        <v>280.74</v>
      </c>
      <c r="I1147" s="9">
        <v>6.1412117E7</v>
      </c>
      <c r="J1147" s="6">
        <v>1.720439203799E10</v>
      </c>
    </row>
    <row r="1148">
      <c r="A1148" s="4" t="s">
        <v>10</v>
      </c>
      <c r="B1148" s="5">
        <v>43301.0</v>
      </c>
      <c r="C1148" s="6">
        <v>279.68</v>
      </c>
      <c r="D1148" s="11">
        <v>-0.32</v>
      </c>
      <c r="E1148" s="12">
        <v>-0.0011</v>
      </c>
      <c r="F1148" s="6">
        <v>279.77</v>
      </c>
      <c r="G1148" s="6">
        <v>279.5</v>
      </c>
      <c r="H1148" s="6">
        <v>280.48</v>
      </c>
      <c r="I1148" s="9">
        <v>8.2372729E7</v>
      </c>
      <c r="J1148" s="6">
        <v>2.30533557873E10</v>
      </c>
    </row>
    <row r="1149">
      <c r="A1149" s="4" t="s">
        <v>10</v>
      </c>
      <c r="B1149" s="5">
        <v>43304.0</v>
      </c>
      <c r="C1149" s="6">
        <v>280.2</v>
      </c>
      <c r="D1149" s="13">
        <f>+0.52</f>
        <v>0.52</v>
      </c>
      <c r="E1149" s="14">
        <f>+0.19%</f>
        <v>0.0019</v>
      </c>
      <c r="F1149" s="6">
        <v>279.45</v>
      </c>
      <c r="G1149" s="6">
        <v>279.06</v>
      </c>
      <c r="H1149" s="6">
        <v>280.43</v>
      </c>
      <c r="I1149" s="9">
        <v>4.7047565E7</v>
      </c>
      <c r="J1149" s="6">
        <v>1.316918664501E10</v>
      </c>
    </row>
    <row r="1150">
      <c r="A1150" s="4" t="s">
        <v>10</v>
      </c>
      <c r="B1150" s="5">
        <v>43305.0</v>
      </c>
      <c r="C1150" s="6">
        <v>281.61</v>
      </c>
      <c r="D1150" s="13">
        <f>+1.41</f>
        <v>1.41</v>
      </c>
      <c r="E1150" s="14">
        <f>+0.5%</f>
        <v>0.005</v>
      </c>
      <c r="F1150" s="6">
        <v>281.79</v>
      </c>
      <c r="G1150" s="6">
        <v>280.63</v>
      </c>
      <c r="H1150" s="6">
        <v>282.56</v>
      </c>
      <c r="I1150" s="9">
        <v>6.8026935E7</v>
      </c>
      <c r="J1150" s="6">
        <v>1.915743851842E10</v>
      </c>
    </row>
    <row r="1151">
      <c r="A1151" s="4" t="s">
        <v>10</v>
      </c>
      <c r="B1151" s="5">
        <v>43306.0</v>
      </c>
      <c r="C1151" s="6">
        <v>284.01</v>
      </c>
      <c r="D1151" s="13">
        <f>+2.4</f>
        <v>2.4</v>
      </c>
      <c r="E1151" s="14">
        <f>+0.85%</f>
        <v>0.0085</v>
      </c>
      <c r="F1151" s="6">
        <v>281.33</v>
      </c>
      <c r="G1151" s="6">
        <v>281.28</v>
      </c>
      <c r="H1151" s="6">
        <v>284.37</v>
      </c>
      <c r="I1151" s="9">
        <v>7.8882927E7</v>
      </c>
      <c r="J1151" s="6">
        <v>2.231101016623E10</v>
      </c>
    </row>
    <row r="1152">
      <c r="A1152" s="4" t="s">
        <v>10</v>
      </c>
      <c r="B1152" s="5">
        <v>43307.0</v>
      </c>
      <c r="C1152" s="6">
        <v>283.34</v>
      </c>
      <c r="D1152" s="11">
        <v>-0.67</v>
      </c>
      <c r="E1152" s="12">
        <v>-0.0024</v>
      </c>
      <c r="F1152" s="6">
        <v>283.2</v>
      </c>
      <c r="G1152" s="6">
        <v>283.09</v>
      </c>
      <c r="H1152" s="6">
        <v>284.11</v>
      </c>
      <c r="I1152" s="9">
        <v>5.7919495E7</v>
      </c>
      <c r="J1152" s="6">
        <v>1.641919247375E10</v>
      </c>
    </row>
    <row r="1153">
      <c r="A1153" s="4" t="s">
        <v>10</v>
      </c>
      <c r="B1153" s="5">
        <v>43308.0</v>
      </c>
      <c r="C1153" s="6">
        <v>281.42</v>
      </c>
      <c r="D1153" s="11">
        <v>-1.92</v>
      </c>
      <c r="E1153" s="12">
        <v>-0.0068</v>
      </c>
      <c r="F1153" s="6">
        <v>283.71</v>
      </c>
      <c r="G1153" s="6">
        <v>280.38</v>
      </c>
      <c r="H1153" s="6">
        <v>283.82</v>
      </c>
      <c r="I1153" s="9">
        <v>7.6783177E7</v>
      </c>
      <c r="J1153" s="6">
        <v>2.163708934465E10</v>
      </c>
    </row>
    <row r="1154">
      <c r="A1154" s="4" t="s">
        <v>10</v>
      </c>
      <c r="B1154" s="5">
        <v>43311.0</v>
      </c>
      <c r="C1154" s="6">
        <v>279.95</v>
      </c>
      <c r="D1154" s="11">
        <v>-1.47</v>
      </c>
      <c r="E1154" s="12">
        <v>-0.0052</v>
      </c>
      <c r="F1154" s="6">
        <v>281.51</v>
      </c>
      <c r="G1154" s="6">
        <v>279.36</v>
      </c>
      <c r="H1154" s="6">
        <v>281.69</v>
      </c>
      <c r="I1154" s="9">
        <v>6.3742508E7</v>
      </c>
      <c r="J1154" s="6">
        <v>1.786585410591E10</v>
      </c>
    </row>
    <row r="1155">
      <c r="A1155" s="4" t="s">
        <v>10</v>
      </c>
      <c r="B1155" s="5">
        <v>43312.0</v>
      </c>
      <c r="C1155" s="6">
        <v>281.33</v>
      </c>
      <c r="D1155" s="13">
        <f>+1.38</f>
        <v>1.38</v>
      </c>
      <c r="E1155" s="14">
        <f>+0.49%</f>
        <v>0.0049</v>
      </c>
      <c r="F1155" s="6">
        <v>280.81</v>
      </c>
      <c r="G1155" s="6">
        <v>280.38</v>
      </c>
      <c r="H1155" s="6">
        <v>282.02</v>
      </c>
      <c r="I1155" s="9">
        <v>6.8570493E7</v>
      </c>
      <c r="J1155" s="6">
        <v>1.928325716513E10</v>
      </c>
    </row>
    <row r="1156">
      <c r="A1156" s="4" t="s">
        <v>10</v>
      </c>
      <c r="B1156" s="5">
        <v>43313.0</v>
      </c>
      <c r="C1156" s="6">
        <v>280.86</v>
      </c>
      <c r="D1156" s="11">
        <v>-0.47</v>
      </c>
      <c r="E1156" s="12">
        <v>-0.0017</v>
      </c>
      <c r="F1156" s="6">
        <v>281.56</v>
      </c>
      <c r="G1156" s="6">
        <v>280.13</v>
      </c>
      <c r="H1156" s="6">
        <v>282.13</v>
      </c>
      <c r="I1156" s="9">
        <v>5.3853326E7</v>
      </c>
      <c r="J1156" s="6">
        <v>1.51371514476E10</v>
      </c>
    </row>
    <row r="1157">
      <c r="A1157" s="4" t="s">
        <v>10</v>
      </c>
      <c r="B1157" s="5">
        <v>43314.0</v>
      </c>
      <c r="C1157" s="6">
        <v>282.39</v>
      </c>
      <c r="D1157" s="13">
        <f>+1.53</f>
        <v>1.53</v>
      </c>
      <c r="E1157" s="14">
        <f>+0.54%</f>
        <v>0.0054</v>
      </c>
      <c r="F1157" s="6">
        <v>279.39</v>
      </c>
      <c r="G1157" s="6">
        <v>279.16</v>
      </c>
      <c r="H1157" s="6">
        <v>282.58</v>
      </c>
      <c r="I1157" s="9">
        <v>6.3426363E7</v>
      </c>
      <c r="J1157" s="6">
        <v>1.785410304707E10</v>
      </c>
    </row>
    <row r="1158">
      <c r="A1158" s="4" t="s">
        <v>10</v>
      </c>
      <c r="B1158" s="5">
        <v>43315.0</v>
      </c>
      <c r="C1158" s="6">
        <v>283.6</v>
      </c>
      <c r="D1158" s="13">
        <f>+1.21</f>
        <v>1.21</v>
      </c>
      <c r="E1158" s="14">
        <f>+0.43%</f>
        <v>0.0043</v>
      </c>
      <c r="F1158" s="6">
        <v>282.53</v>
      </c>
      <c r="G1158" s="6">
        <v>282.33</v>
      </c>
      <c r="H1158" s="6">
        <v>283.66</v>
      </c>
      <c r="I1158" s="9">
        <v>5.3935386E7</v>
      </c>
      <c r="J1158" s="6">
        <v>1.527455573058E10</v>
      </c>
    </row>
    <row r="1159">
      <c r="A1159" s="4" t="s">
        <v>10</v>
      </c>
      <c r="B1159" s="5">
        <v>43318.0</v>
      </c>
      <c r="C1159" s="6">
        <v>284.64</v>
      </c>
      <c r="D1159" s="13">
        <f>+1.04</f>
        <v>1.04</v>
      </c>
      <c r="E1159" s="14">
        <f>+0.37%</f>
        <v>0.0037</v>
      </c>
      <c r="F1159" s="6">
        <v>283.64</v>
      </c>
      <c r="G1159" s="6">
        <v>283.2</v>
      </c>
      <c r="H1159" s="6">
        <v>284.99</v>
      </c>
      <c r="I1159" s="9">
        <v>3.9400887E7</v>
      </c>
      <c r="J1159" s="6">
        <v>1.120428524457E10</v>
      </c>
    </row>
    <row r="1160">
      <c r="A1160" s="4" t="s">
        <v>10</v>
      </c>
      <c r="B1160" s="5">
        <v>43319.0</v>
      </c>
      <c r="C1160" s="6">
        <v>285.58</v>
      </c>
      <c r="D1160" s="13">
        <f>+0.94</f>
        <v>0.94</v>
      </c>
      <c r="E1160" s="14">
        <f>+0.33%</f>
        <v>0.0033</v>
      </c>
      <c r="F1160" s="6">
        <v>285.39</v>
      </c>
      <c r="G1160" s="6">
        <v>285.24</v>
      </c>
      <c r="H1160" s="6">
        <v>286.01</v>
      </c>
      <c r="I1160" s="9">
        <v>4.3196646E7</v>
      </c>
      <c r="J1160" s="6">
        <v>1.233847894932E10</v>
      </c>
    </row>
    <row r="1161">
      <c r="A1161" s="4" t="s">
        <v>10</v>
      </c>
      <c r="B1161" s="5">
        <v>43320.0</v>
      </c>
      <c r="C1161" s="6">
        <v>285.46</v>
      </c>
      <c r="D1161" s="11">
        <v>-0.12</v>
      </c>
      <c r="E1161" s="12">
        <v>-4.0E-4</v>
      </c>
      <c r="F1161" s="6">
        <v>285.39</v>
      </c>
      <c r="G1161" s="6">
        <v>284.94</v>
      </c>
      <c r="H1161" s="6">
        <v>285.91</v>
      </c>
      <c r="I1161" s="9">
        <v>4.2114551E7</v>
      </c>
      <c r="J1161" s="6">
        <v>1.202286509475E10</v>
      </c>
    </row>
    <row r="1162">
      <c r="A1162" s="4" t="s">
        <v>10</v>
      </c>
      <c r="B1162" s="5">
        <v>43321.0</v>
      </c>
      <c r="C1162" s="6">
        <v>285.07</v>
      </c>
      <c r="D1162" s="11">
        <v>-0.39</v>
      </c>
      <c r="E1162" s="12">
        <v>-0.0014</v>
      </c>
      <c r="F1162" s="6">
        <v>285.53</v>
      </c>
      <c r="G1162" s="6">
        <v>284.92</v>
      </c>
      <c r="H1162" s="6">
        <v>285.97</v>
      </c>
      <c r="I1162" s="9">
        <v>3.5716976E7</v>
      </c>
      <c r="J1162" s="6">
        <v>1.019608015673E10</v>
      </c>
    </row>
    <row r="1163">
      <c r="A1163" s="4" t="s">
        <v>10</v>
      </c>
      <c r="B1163" s="5">
        <v>43322.0</v>
      </c>
      <c r="C1163" s="6">
        <v>283.16</v>
      </c>
      <c r="D1163" s="11">
        <v>-1.91</v>
      </c>
      <c r="E1163" s="12">
        <v>-0.0067</v>
      </c>
      <c r="F1163" s="6">
        <v>283.45</v>
      </c>
      <c r="G1163" s="6">
        <v>282.36</v>
      </c>
      <c r="H1163" s="6">
        <v>284.06</v>
      </c>
      <c r="I1163" s="9">
        <v>7.7076044E7</v>
      </c>
      <c r="J1163" s="6">
        <v>2.18397180795E10</v>
      </c>
    </row>
    <row r="1164">
      <c r="A1164" s="4" t="s">
        <v>10</v>
      </c>
      <c r="B1164" s="5">
        <v>43325.0</v>
      </c>
      <c r="C1164" s="6">
        <v>282.1</v>
      </c>
      <c r="D1164" s="11">
        <v>-1.06</v>
      </c>
      <c r="E1164" s="12">
        <v>-0.0037</v>
      </c>
      <c r="F1164" s="6">
        <v>283.47</v>
      </c>
      <c r="G1164" s="6">
        <v>281.77</v>
      </c>
      <c r="H1164" s="6">
        <v>284.16</v>
      </c>
      <c r="I1164" s="9">
        <v>6.5732909E7</v>
      </c>
      <c r="J1164" s="6">
        <v>1.858211996252E10</v>
      </c>
    </row>
    <row r="1165">
      <c r="A1165" s="4" t="s">
        <v>10</v>
      </c>
      <c r="B1165" s="5">
        <v>43326.0</v>
      </c>
      <c r="C1165" s="6">
        <v>283.9</v>
      </c>
      <c r="D1165" s="13">
        <f>+1.8</f>
        <v>1.8</v>
      </c>
      <c r="E1165" s="14">
        <f>+0.64%</f>
        <v>0.0064</v>
      </c>
      <c r="F1165" s="6">
        <v>282.92</v>
      </c>
      <c r="G1165" s="6">
        <v>282.48</v>
      </c>
      <c r="H1165" s="6">
        <v>284.17</v>
      </c>
      <c r="I1165" s="9">
        <v>4.3842031E7</v>
      </c>
      <c r="J1165" s="6">
        <v>1.243386492134E10</v>
      </c>
    </row>
    <row r="1166">
      <c r="A1166" s="4" t="s">
        <v>10</v>
      </c>
      <c r="B1166" s="5">
        <v>43327.0</v>
      </c>
      <c r="C1166" s="6">
        <v>281.78</v>
      </c>
      <c r="D1166" s="11">
        <v>-2.12</v>
      </c>
      <c r="E1166" s="12">
        <v>-0.0075</v>
      </c>
      <c r="F1166" s="6">
        <v>282.38</v>
      </c>
      <c r="G1166" s="6">
        <v>280.16</v>
      </c>
      <c r="H1166" s="6">
        <v>282.54</v>
      </c>
      <c r="I1166" s="9">
        <v>1.02925355E8</v>
      </c>
      <c r="J1166" s="6">
        <v>2.895853230557E10</v>
      </c>
    </row>
    <row r="1167">
      <c r="A1167" s="4" t="s">
        <v>10</v>
      </c>
      <c r="B1167" s="5">
        <v>43328.0</v>
      </c>
      <c r="C1167" s="6">
        <v>284.06</v>
      </c>
      <c r="D1167" s="13">
        <f>+2.28</f>
        <v>2.28</v>
      </c>
      <c r="E1167" s="14">
        <f>+0.81%</f>
        <v>0.0081</v>
      </c>
      <c r="F1167" s="6">
        <v>283.4</v>
      </c>
      <c r="G1167" s="6">
        <v>283.36</v>
      </c>
      <c r="H1167" s="6">
        <v>285.04</v>
      </c>
      <c r="I1167" s="9">
        <v>6.9967919E7</v>
      </c>
      <c r="J1167" s="6">
        <v>1.987210004735E10</v>
      </c>
    </row>
    <row r="1168">
      <c r="A1168" s="4" t="s">
        <v>10</v>
      </c>
      <c r="B1168" s="5">
        <v>43329.0</v>
      </c>
      <c r="C1168" s="6">
        <v>285.06</v>
      </c>
      <c r="D1168" s="13">
        <f>+1</f>
        <v>1</v>
      </c>
      <c r="E1168" s="14">
        <f>+0.35%</f>
        <v>0.0035</v>
      </c>
      <c r="F1168" s="6">
        <v>283.83</v>
      </c>
      <c r="G1168" s="6">
        <v>283.37</v>
      </c>
      <c r="H1168" s="6">
        <v>285.56</v>
      </c>
      <c r="I1168" s="9">
        <v>6.5618481E7</v>
      </c>
      <c r="J1168" s="6">
        <v>1.867522401287E10</v>
      </c>
    </row>
    <row r="1169">
      <c r="A1169" s="4" t="s">
        <v>10</v>
      </c>
      <c r="B1169" s="5">
        <v>43332.0</v>
      </c>
      <c r="C1169" s="6">
        <v>285.67</v>
      </c>
      <c r="D1169" s="13">
        <f>+0.61</f>
        <v>0.61</v>
      </c>
      <c r="E1169" s="14">
        <f>+0.21%</f>
        <v>0.0021</v>
      </c>
      <c r="F1169" s="6">
        <v>285.57</v>
      </c>
      <c r="G1169" s="6">
        <v>285.06</v>
      </c>
      <c r="H1169" s="6">
        <v>285.97</v>
      </c>
      <c r="I1169" s="9">
        <v>3.980749E7</v>
      </c>
      <c r="J1169" s="6">
        <v>1.136775044069E10</v>
      </c>
    </row>
    <row r="1170">
      <c r="A1170" s="4" t="s">
        <v>10</v>
      </c>
      <c r="B1170" s="5">
        <v>43333.0</v>
      </c>
      <c r="C1170" s="6">
        <v>286.34</v>
      </c>
      <c r="D1170" s="13">
        <f>+0.67</f>
        <v>0.67</v>
      </c>
      <c r="E1170" s="14">
        <f>+0.23%</f>
        <v>0.0023</v>
      </c>
      <c r="F1170" s="6">
        <v>286.25</v>
      </c>
      <c r="G1170" s="6">
        <v>285.71</v>
      </c>
      <c r="H1170" s="6">
        <v>287.31</v>
      </c>
      <c r="I1170" s="9">
        <v>6.7271983E7</v>
      </c>
      <c r="J1170" s="6">
        <v>1.927907359965E10</v>
      </c>
    </row>
    <row r="1171">
      <c r="A1171" s="4" t="s">
        <v>10</v>
      </c>
      <c r="B1171" s="5">
        <v>43334.0</v>
      </c>
      <c r="C1171" s="6">
        <v>286.17</v>
      </c>
      <c r="D1171" s="11">
        <v>-0.17</v>
      </c>
      <c r="E1171" s="12">
        <v>-6.0E-4</v>
      </c>
      <c r="F1171" s="6">
        <v>285.88</v>
      </c>
      <c r="G1171" s="6">
        <v>285.58</v>
      </c>
      <c r="H1171" s="6">
        <v>286.76</v>
      </c>
      <c r="I1171" s="9">
        <v>4.4993333E7</v>
      </c>
      <c r="J1171" s="6">
        <v>1.287845981676E10</v>
      </c>
    </row>
    <row r="1172">
      <c r="A1172" s="4" t="s">
        <v>10</v>
      </c>
      <c r="B1172" s="5">
        <v>43335.0</v>
      </c>
      <c r="C1172" s="6">
        <v>285.79</v>
      </c>
      <c r="D1172" s="11">
        <v>-0.38</v>
      </c>
      <c r="E1172" s="12">
        <v>-0.0013</v>
      </c>
      <c r="F1172" s="6">
        <v>285.97</v>
      </c>
      <c r="G1172" s="6">
        <v>285.43</v>
      </c>
      <c r="H1172" s="6">
        <v>286.94</v>
      </c>
      <c r="I1172" s="9">
        <v>4.9204851E7</v>
      </c>
      <c r="J1172" s="6">
        <v>1.407235624021E10</v>
      </c>
    </row>
    <row r="1173">
      <c r="A1173" s="4" t="s">
        <v>10</v>
      </c>
      <c r="B1173" s="5">
        <v>43336.0</v>
      </c>
      <c r="C1173" s="6">
        <v>287.51</v>
      </c>
      <c r="D1173" s="13">
        <f>+1.72</f>
        <v>1.72</v>
      </c>
      <c r="E1173" s="14">
        <f>+0.6%</f>
        <v>0.006</v>
      </c>
      <c r="F1173" s="6">
        <v>286.44</v>
      </c>
      <c r="G1173" s="6">
        <v>286.38</v>
      </c>
      <c r="H1173" s="6">
        <v>287.67</v>
      </c>
      <c r="I1173" s="9">
        <v>5.7487399E7</v>
      </c>
      <c r="J1173" s="6">
        <v>1.65120259385E10</v>
      </c>
    </row>
    <row r="1174">
      <c r="A1174" s="4" t="s">
        <v>10</v>
      </c>
      <c r="B1174" s="5">
        <v>43339.0</v>
      </c>
      <c r="C1174" s="6">
        <v>289.78</v>
      </c>
      <c r="D1174" s="13">
        <f>+2.27</f>
        <v>2.27</v>
      </c>
      <c r="E1174" s="14">
        <f>+0.79%</f>
        <v>0.0079</v>
      </c>
      <c r="F1174" s="6">
        <v>288.86</v>
      </c>
      <c r="G1174" s="6">
        <v>288.68</v>
      </c>
      <c r="H1174" s="6">
        <v>289.9</v>
      </c>
      <c r="I1174" s="9">
        <v>5.7072377E7</v>
      </c>
      <c r="J1174" s="6">
        <v>1.651037206841E10</v>
      </c>
    </row>
    <row r="1175">
      <c r="A1175" s="4" t="s">
        <v>10</v>
      </c>
      <c r="B1175" s="5">
        <v>43340.0</v>
      </c>
      <c r="C1175" s="6">
        <v>289.92</v>
      </c>
      <c r="D1175" s="13">
        <f>+0.14</f>
        <v>0.14</v>
      </c>
      <c r="E1175" s="14">
        <f>+0.05%</f>
        <v>0.0005</v>
      </c>
      <c r="F1175" s="6">
        <v>290.3</v>
      </c>
      <c r="G1175" s="6">
        <v>289.4</v>
      </c>
      <c r="H1175" s="6">
        <v>290.42</v>
      </c>
      <c r="I1175" s="9">
        <v>4.6943472E7</v>
      </c>
      <c r="J1175" s="6">
        <v>1.360765060618E10</v>
      </c>
    </row>
    <row r="1176">
      <c r="A1176" s="4" t="s">
        <v>10</v>
      </c>
      <c r="B1176" s="5">
        <v>43341.0</v>
      </c>
      <c r="C1176" s="6">
        <v>291.48</v>
      </c>
      <c r="D1176" s="13">
        <f>+1.56</f>
        <v>1.56</v>
      </c>
      <c r="E1176" s="14">
        <f>+0.54%</f>
        <v>0.0054</v>
      </c>
      <c r="F1176" s="6">
        <v>290.16</v>
      </c>
      <c r="G1176" s="6">
        <v>289.89</v>
      </c>
      <c r="H1176" s="6">
        <v>291.74</v>
      </c>
      <c r="I1176" s="9">
        <v>6.1485514E7</v>
      </c>
      <c r="J1176" s="6">
        <v>1.789525389475E10</v>
      </c>
    </row>
    <row r="1177">
      <c r="A1177" s="4" t="s">
        <v>10</v>
      </c>
      <c r="B1177" s="5">
        <v>43342.0</v>
      </c>
      <c r="C1177" s="6">
        <v>290.3</v>
      </c>
      <c r="D1177" s="11">
        <v>-1.18</v>
      </c>
      <c r="E1177" s="12">
        <v>-0.004</v>
      </c>
      <c r="F1177" s="6">
        <v>290.94</v>
      </c>
      <c r="G1177" s="6">
        <v>289.63</v>
      </c>
      <c r="H1177" s="6">
        <v>291.36</v>
      </c>
      <c r="I1177" s="9">
        <v>6.1229501E7</v>
      </c>
      <c r="J1177" s="6">
        <v>1.779583693452E10</v>
      </c>
    </row>
    <row r="1178">
      <c r="A1178" s="4" t="s">
        <v>10</v>
      </c>
      <c r="B1178" s="5">
        <v>43343.0</v>
      </c>
      <c r="C1178" s="6">
        <v>290.31</v>
      </c>
      <c r="D1178" s="13">
        <f>+0.01</f>
        <v>0.01</v>
      </c>
      <c r="E1178" s="14">
        <f>+0%</f>
        <v>0</v>
      </c>
      <c r="F1178" s="6">
        <v>289.84</v>
      </c>
      <c r="G1178" s="6">
        <v>289.29</v>
      </c>
      <c r="H1178" s="6">
        <v>290.81</v>
      </c>
      <c r="I1178" s="9">
        <v>6.6140838E7</v>
      </c>
      <c r="J1178" s="6">
        <v>1.918670359917E10</v>
      </c>
    </row>
    <row r="1179">
      <c r="A1179" s="4" t="s">
        <v>10</v>
      </c>
      <c r="B1179" s="5">
        <v>43346.0</v>
      </c>
      <c r="C1179" s="10"/>
      <c r="D1179" s="7"/>
      <c r="E1179" s="8"/>
      <c r="F1179" s="10"/>
      <c r="G1179" s="10"/>
      <c r="H1179" s="10"/>
      <c r="I1179" s="15"/>
      <c r="J1179" s="10"/>
    </row>
    <row r="1180">
      <c r="A1180" s="4" t="s">
        <v>10</v>
      </c>
      <c r="B1180" s="5">
        <v>43347.0</v>
      </c>
      <c r="C1180" s="6">
        <v>289.81</v>
      </c>
      <c r="D1180" s="11">
        <v>-0.5</v>
      </c>
      <c r="E1180" s="12">
        <v>-0.0017</v>
      </c>
      <c r="F1180" s="6">
        <v>289.84</v>
      </c>
      <c r="G1180" s="6">
        <v>288.68</v>
      </c>
      <c r="H1180" s="6">
        <v>290.21</v>
      </c>
      <c r="I1180" s="9">
        <v>5.7594367E7</v>
      </c>
      <c r="J1180" s="6">
        <v>1.667672764902E10</v>
      </c>
    </row>
    <row r="1181">
      <c r="A1181" s="4" t="s">
        <v>10</v>
      </c>
      <c r="B1181" s="5">
        <v>43348.0</v>
      </c>
      <c r="C1181" s="6">
        <v>289.03</v>
      </c>
      <c r="D1181" s="11">
        <v>-0.78</v>
      </c>
      <c r="E1181" s="12">
        <v>-0.0027</v>
      </c>
      <c r="F1181" s="6">
        <v>289.41</v>
      </c>
      <c r="G1181" s="6">
        <v>287.89</v>
      </c>
      <c r="H1181" s="6">
        <v>289.64</v>
      </c>
      <c r="I1181" s="9">
        <v>7.2452437E7</v>
      </c>
      <c r="J1181" s="6">
        <v>2.09338923153E10</v>
      </c>
    </row>
    <row r="1182">
      <c r="A1182" s="4" t="s">
        <v>10</v>
      </c>
      <c r="B1182" s="5">
        <v>43349.0</v>
      </c>
      <c r="C1182" s="6">
        <v>288.16</v>
      </c>
      <c r="D1182" s="11">
        <v>-0.87</v>
      </c>
      <c r="E1182" s="12">
        <v>-0.003</v>
      </c>
      <c r="F1182" s="6">
        <v>289.15</v>
      </c>
      <c r="G1182" s="6">
        <v>287.0</v>
      </c>
      <c r="H1182" s="6">
        <v>289.49</v>
      </c>
      <c r="I1182" s="9">
        <v>6.5909863E7</v>
      </c>
      <c r="J1182" s="6">
        <v>1.8989621577E10</v>
      </c>
    </row>
    <row r="1183">
      <c r="A1183" s="4" t="s">
        <v>10</v>
      </c>
      <c r="B1183" s="5">
        <v>43350.0</v>
      </c>
      <c r="C1183" s="6">
        <v>287.6</v>
      </c>
      <c r="D1183" s="11">
        <v>-0.56</v>
      </c>
      <c r="E1183" s="12">
        <v>-0.0019</v>
      </c>
      <c r="F1183" s="6">
        <v>286.98</v>
      </c>
      <c r="G1183" s="6">
        <v>286.71</v>
      </c>
      <c r="H1183" s="6">
        <v>288.7</v>
      </c>
      <c r="I1183" s="9">
        <v>7.3524824E7</v>
      </c>
      <c r="J1183" s="6">
        <v>2.114604045246E10</v>
      </c>
    </row>
    <row r="1184">
      <c r="A1184" s="4" t="s">
        <v>10</v>
      </c>
      <c r="B1184" s="5">
        <v>43353.0</v>
      </c>
      <c r="C1184" s="6">
        <v>288.1</v>
      </c>
      <c r="D1184" s="13">
        <f>+0.5</f>
        <v>0.5</v>
      </c>
      <c r="E1184" s="14">
        <f>+0.17%</f>
        <v>0.0017</v>
      </c>
      <c r="F1184" s="6">
        <v>288.74</v>
      </c>
      <c r="G1184" s="6">
        <v>287.88</v>
      </c>
      <c r="H1184" s="6">
        <v>289.04</v>
      </c>
      <c r="I1184" s="9">
        <v>5.0210903E7</v>
      </c>
      <c r="J1184" s="6">
        <v>1.446958541417E10</v>
      </c>
    </row>
    <row r="1185">
      <c r="A1185" s="4" t="s">
        <v>10</v>
      </c>
      <c r="B1185" s="5">
        <v>43354.0</v>
      </c>
      <c r="C1185" s="6">
        <v>289.05</v>
      </c>
      <c r="D1185" s="13">
        <f>+0.95</f>
        <v>0.95</v>
      </c>
      <c r="E1185" s="14">
        <f>+0.33%</f>
        <v>0.0033</v>
      </c>
      <c r="F1185" s="6">
        <v>287.37</v>
      </c>
      <c r="G1185" s="6">
        <v>286.98</v>
      </c>
      <c r="H1185" s="6">
        <v>289.55</v>
      </c>
      <c r="I1185" s="9">
        <v>5.0530492E7</v>
      </c>
      <c r="J1185" s="6">
        <v>1.458828022554E10</v>
      </c>
    </row>
    <row r="1186">
      <c r="A1186" s="4" t="s">
        <v>10</v>
      </c>
      <c r="B1186" s="5">
        <v>43355.0</v>
      </c>
      <c r="C1186" s="6">
        <v>289.12</v>
      </c>
      <c r="D1186" s="13">
        <f>+0.07</f>
        <v>0.07</v>
      </c>
      <c r="E1186" s="14">
        <f>+0.02%</f>
        <v>0.0002</v>
      </c>
      <c r="F1186" s="6">
        <v>289.06</v>
      </c>
      <c r="G1186" s="6">
        <v>288.23</v>
      </c>
      <c r="H1186" s="6">
        <v>289.8</v>
      </c>
      <c r="I1186" s="9">
        <v>5.9810758E7</v>
      </c>
      <c r="J1186" s="6">
        <v>1.728766565332E10</v>
      </c>
    </row>
    <row r="1187">
      <c r="A1187" s="4" t="s">
        <v>10</v>
      </c>
      <c r="B1187" s="5">
        <v>43356.0</v>
      </c>
      <c r="C1187" s="6">
        <v>290.83</v>
      </c>
      <c r="D1187" s="13">
        <f>+1.71</f>
        <v>1.71</v>
      </c>
      <c r="E1187" s="14">
        <f>+0.59%</f>
        <v>0.0059</v>
      </c>
      <c r="F1187" s="6">
        <v>290.32</v>
      </c>
      <c r="G1187" s="6">
        <v>290.0</v>
      </c>
      <c r="H1187" s="6">
        <v>291.04</v>
      </c>
      <c r="I1187" s="9">
        <v>5.1034222E7</v>
      </c>
      <c r="J1187" s="6">
        <v>1.482751403356E10</v>
      </c>
    </row>
    <row r="1188">
      <c r="A1188" s="4" t="s">
        <v>10</v>
      </c>
      <c r="B1188" s="5">
        <v>43357.0</v>
      </c>
      <c r="C1188" s="6">
        <v>290.88</v>
      </c>
      <c r="D1188" s="13">
        <f>+0.05</f>
        <v>0.05</v>
      </c>
      <c r="E1188" s="14">
        <f>+0.02%</f>
        <v>0.0002</v>
      </c>
      <c r="F1188" s="6">
        <v>291.06</v>
      </c>
      <c r="G1188" s="6">
        <v>290.0</v>
      </c>
      <c r="H1188" s="6">
        <v>291.27</v>
      </c>
      <c r="I1188" s="9">
        <v>5.5079875E7</v>
      </c>
      <c r="J1188" s="6">
        <v>1.601654911457E10</v>
      </c>
    </row>
    <row r="1189">
      <c r="A1189" s="4" t="s">
        <v>10</v>
      </c>
      <c r="B1189" s="5">
        <v>43360.0</v>
      </c>
      <c r="C1189" s="6">
        <v>289.34</v>
      </c>
      <c r="D1189" s="11">
        <v>-1.54</v>
      </c>
      <c r="E1189" s="12">
        <v>-0.0053</v>
      </c>
      <c r="F1189" s="6">
        <v>290.82</v>
      </c>
      <c r="G1189" s="6">
        <v>289.03</v>
      </c>
      <c r="H1189" s="6">
        <v>290.86</v>
      </c>
      <c r="I1189" s="9">
        <v>6.8244043E7</v>
      </c>
      <c r="J1189" s="6">
        <v>1.978803049087E10</v>
      </c>
    </row>
    <row r="1190">
      <c r="A1190" s="4" t="s">
        <v>10</v>
      </c>
      <c r="B1190" s="5">
        <v>43361.0</v>
      </c>
      <c r="C1190" s="6">
        <v>290.91</v>
      </c>
      <c r="D1190" s="13">
        <f>+1.57</f>
        <v>1.57</v>
      </c>
      <c r="E1190" s="14">
        <f>+0.54%</f>
        <v>0.0054</v>
      </c>
      <c r="F1190" s="6">
        <v>289.58</v>
      </c>
      <c r="G1190" s="6">
        <v>289.55</v>
      </c>
      <c r="H1190" s="6">
        <v>291.58</v>
      </c>
      <c r="I1190" s="9">
        <v>6.1930407E7</v>
      </c>
      <c r="J1190" s="6">
        <v>1.80041512552E10</v>
      </c>
    </row>
    <row r="1191">
      <c r="A1191" s="4" t="s">
        <v>10</v>
      </c>
      <c r="B1191" s="5">
        <v>43362.0</v>
      </c>
      <c r="C1191" s="6">
        <v>291.22</v>
      </c>
      <c r="D1191" s="13">
        <f>+0.31</f>
        <v>0.31</v>
      </c>
      <c r="E1191" s="14">
        <f>+0.11%</f>
        <v>0.0011</v>
      </c>
      <c r="F1191" s="6">
        <v>290.97</v>
      </c>
      <c r="G1191" s="6">
        <v>290.83</v>
      </c>
      <c r="H1191" s="6">
        <v>291.69</v>
      </c>
      <c r="I1191" s="9">
        <v>4.9080562E7</v>
      </c>
      <c r="J1191" s="6">
        <v>1.429347374624E10</v>
      </c>
    </row>
    <row r="1192">
      <c r="A1192" s="4" t="s">
        <v>10</v>
      </c>
      <c r="B1192" s="5">
        <v>43363.0</v>
      </c>
      <c r="C1192" s="6">
        <v>293.58</v>
      </c>
      <c r="D1192" s="13">
        <f>+2.36</f>
        <v>2.36</v>
      </c>
      <c r="E1192" s="14">
        <f>+0.81%</f>
        <v>0.0081</v>
      </c>
      <c r="F1192" s="6">
        <v>292.64</v>
      </c>
      <c r="G1192" s="6">
        <v>291.24</v>
      </c>
      <c r="H1192" s="6">
        <v>293.94</v>
      </c>
      <c r="I1192" s="9">
        <v>1.00360646E8</v>
      </c>
      <c r="J1192" s="6">
        <v>2.941290770998E10</v>
      </c>
    </row>
    <row r="1193">
      <c r="A1193" s="4" t="s">
        <v>10</v>
      </c>
      <c r="B1193" s="5">
        <v>43364.0</v>
      </c>
      <c r="C1193" s="6">
        <v>291.99</v>
      </c>
      <c r="D1193" s="11">
        <v>-1.59</v>
      </c>
      <c r="E1193" s="12">
        <v>-0.0054</v>
      </c>
      <c r="F1193" s="6">
        <v>293.09</v>
      </c>
      <c r="G1193" s="6">
        <v>291.81</v>
      </c>
      <c r="H1193" s="6">
        <v>293.22</v>
      </c>
      <c r="I1193" s="9">
        <v>1.05479656E8</v>
      </c>
      <c r="J1193" s="6">
        <v>3.085865821672E10</v>
      </c>
    </row>
    <row r="1194">
      <c r="A1194" s="4" t="s">
        <v>10</v>
      </c>
      <c r="B1194" s="5">
        <v>43367.0</v>
      </c>
      <c r="C1194" s="6">
        <v>291.02</v>
      </c>
      <c r="D1194" s="11">
        <v>-0.97</v>
      </c>
      <c r="E1194" s="12">
        <v>-0.0033</v>
      </c>
      <c r="F1194" s="6">
        <v>291.34</v>
      </c>
      <c r="G1194" s="6">
        <v>290.37</v>
      </c>
      <c r="H1194" s="6">
        <v>291.5</v>
      </c>
      <c r="I1194" s="9">
        <v>5.3409645E7</v>
      </c>
      <c r="J1194" s="6">
        <v>1.554262258429E10</v>
      </c>
    </row>
    <row r="1195">
      <c r="A1195" s="4" t="s">
        <v>10</v>
      </c>
      <c r="B1195" s="5">
        <v>43368.0</v>
      </c>
      <c r="C1195" s="6">
        <v>290.75</v>
      </c>
      <c r="D1195" s="11">
        <v>-0.27</v>
      </c>
      <c r="E1195" s="12">
        <v>-9.0E-4</v>
      </c>
      <c r="F1195" s="6">
        <v>291.53</v>
      </c>
      <c r="G1195" s="6">
        <v>290.48</v>
      </c>
      <c r="H1195" s="6">
        <v>291.65</v>
      </c>
      <c r="I1195" s="9">
        <v>4.4370037E7</v>
      </c>
      <c r="J1195" s="6">
        <v>1.291029355172E10</v>
      </c>
    </row>
    <row r="1196">
      <c r="A1196" s="4" t="s">
        <v>10</v>
      </c>
      <c r="B1196" s="5">
        <v>43369.0</v>
      </c>
      <c r="C1196" s="6">
        <v>289.88</v>
      </c>
      <c r="D1196" s="11">
        <v>-0.87</v>
      </c>
      <c r="E1196" s="12">
        <v>-0.003</v>
      </c>
      <c r="F1196" s="6">
        <v>290.91</v>
      </c>
      <c r="G1196" s="6">
        <v>289.41</v>
      </c>
      <c r="H1196" s="6">
        <v>292.24</v>
      </c>
      <c r="I1196" s="9">
        <v>7.9739674E7</v>
      </c>
      <c r="J1196" s="6">
        <v>2.317898100119E10</v>
      </c>
    </row>
    <row r="1197">
      <c r="A1197" s="4" t="s">
        <v>10</v>
      </c>
      <c r="B1197" s="5">
        <v>43370.0</v>
      </c>
      <c r="C1197" s="6">
        <v>290.69</v>
      </c>
      <c r="D1197" s="13">
        <f>+0.81</f>
        <v>0.81</v>
      </c>
      <c r="E1197" s="14">
        <f>+0.28%</f>
        <v>0.0028</v>
      </c>
      <c r="F1197" s="6">
        <v>290.41</v>
      </c>
      <c r="G1197" s="6">
        <v>290.1</v>
      </c>
      <c r="H1197" s="6">
        <v>291.91</v>
      </c>
      <c r="I1197" s="9">
        <v>5.9249455E7</v>
      </c>
      <c r="J1197" s="6">
        <v>1.723584288559E10</v>
      </c>
    </row>
    <row r="1198">
      <c r="A1198" s="4" t="s">
        <v>10</v>
      </c>
      <c r="B1198" s="5">
        <v>43371.0</v>
      </c>
      <c r="C1198" s="6">
        <v>290.72</v>
      </c>
      <c r="D1198" s="13">
        <f>+0.03</f>
        <v>0.03</v>
      </c>
      <c r="E1198" s="14">
        <f>+0.01%</f>
        <v>0.0001</v>
      </c>
      <c r="F1198" s="6">
        <v>289.99</v>
      </c>
      <c r="G1198" s="6">
        <v>289.95</v>
      </c>
      <c r="H1198" s="6">
        <v>291.28</v>
      </c>
      <c r="I1198" s="9">
        <v>7.0091385E7</v>
      </c>
      <c r="J1198" s="6">
        <v>2.03685467342E10</v>
      </c>
    </row>
    <row r="1199">
      <c r="A1199" s="4" t="s">
        <v>10</v>
      </c>
      <c r="B1199" s="5">
        <v>43374.0</v>
      </c>
      <c r="C1199" s="6">
        <v>291.73</v>
      </c>
      <c r="D1199" s="13">
        <f>+1.01</f>
        <v>1.01</v>
      </c>
      <c r="E1199" s="14">
        <f>+0.35%</f>
        <v>0.0035</v>
      </c>
      <c r="F1199" s="6">
        <v>292.11</v>
      </c>
      <c r="G1199" s="6">
        <v>290.98</v>
      </c>
      <c r="H1199" s="6">
        <v>292.93</v>
      </c>
      <c r="I1199" s="9">
        <v>6.2078937E7</v>
      </c>
      <c r="J1199" s="6">
        <v>1.81244980073E10</v>
      </c>
    </row>
    <row r="1200">
      <c r="A1200" s="4" t="s">
        <v>10</v>
      </c>
      <c r="B1200" s="5">
        <v>43375.0</v>
      </c>
      <c r="C1200" s="6">
        <v>291.56</v>
      </c>
      <c r="D1200" s="11">
        <v>-0.17</v>
      </c>
      <c r="E1200" s="12">
        <v>-6.0E-4</v>
      </c>
      <c r="F1200" s="6">
        <v>291.56</v>
      </c>
      <c r="G1200" s="6">
        <v>291.14</v>
      </c>
      <c r="H1200" s="6">
        <v>292.36</v>
      </c>
      <c r="I1200" s="9">
        <v>4.7258227E7</v>
      </c>
      <c r="J1200" s="6">
        <v>1.378569237448E10</v>
      </c>
    </row>
    <row r="1201">
      <c r="A1201" s="4" t="s">
        <v>10</v>
      </c>
      <c r="B1201" s="5">
        <v>43376.0</v>
      </c>
      <c r="C1201" s="6">
        <v>291.72</v>
      </c>
      <c r="D1201" s="13">
        <f>+0.16</f>
        <v>0.16</v>
      </c>
      <c r="E1201" s="14">
        <f>+0.05%</f>
        <v>0.0005</v>
      </c>
      <c r="F1201" s="6">
        <v>292.74</v>
      </c>
      <c r="G1201" s="6">
        <v>291.32</v>
      </c>
      <c r="H1201" s="6">
        <v>293.21</v>
      </c>
      <c r="I1201" s="9">
        <v>6.4694594E7</v>
      </c>
      <c r="J1201" s="6">
        <v>1.89072488565E10</v>
      </c>
    </row>
    <row r="1202">
      <c r="A1202" s="4" t="s">
        <v>10</v>
      </c>
      <c r="B1202" s="5">
        <v>43377.0</v>
      </c>
      <c r="C1202" s="6">
        <v>289.44</v>
      </c>
      <c r="D1202" s="11">
        <v>-2.28</v>
      </c>
      <c r="E1202" s="12">
        <v>-0.0078</v>
      </c>
      <c r="F1202" s="6">
        <v>291.18</v>
      </c>
      <c r="G1202" s="6">
        <v>287.66</v>
      </c>
      <c r="H1202" s="6">
        <v>291.24</v>
      </c>
      <c r="I1202" s="9">
        <v>1.1154591E8</v>
      </c>
      <c r="J1202" s="6">
        <v>3.228732561452E10</v>
      </c>
    </row>
    <row r="1203">
      <c r="A1203" s="4" t="s">
        <v>10</v>
      </c>
      <c r="B1203" s="5">
        <v>43378.0</v>
      </c>
      <c r="C1203" s="6">
        <v>287.82</v>
      </c>
      <c r="D1203" s="11">
        <v>-1.62</v>
      </c>
      <c r="E1203" s="12">
        <v>-0.0056</v>
      </c>
      <c r="F1203" s="6">
        <v>289.69</v>
      </c>
      <c r="G1203" s="6">
        <v>286.22</v>
      </c>
      <c r="H1203" s="6">
        <v>290.27</v>
      </c>
      <c r="I1203" s="9">
        <v>1.05951698E8</v>
      </c>
      <c r="J1203" s="6">
        <v>3.052641637842E10</v>
      </c>
    </row>
    <row r="1204">
      <c r="A1204" s="4" t="s">
        <v>10</v>
      </c>
      <c r="B1204" s="5">
        <v>43381.0</v>
      </c>
      <c r="C1204" s="6">
        <v>287.82</v>
      </c>
      <c r="D1204" s="11">
        <v>0.0</v>
      </c>
      <c r="E1204" s="12">
        <v>0.0</v>
      </c>
      <c r="F1204" s="6">
        <v>287.05</v>
      </c>
      <c r="G1204" s="6">
        <v>285.5</v>
      </c>
      <c r="H1204" s="6">
        <v>288.22</v>
      </c>
      <c r="I1204" s="9">
        <v>8.7742172E7</v>
      </c>
      <c r="J1204" s="6">
        <v>2.519836284142E10</v>
      </c>
    </row>
    <row r="1205">
      <c r="A1205" s="4" t="s">
        <v>10</v>
      </c>
      <c r="B1205" s="5">
        <v>43382.0</v>
      </c>
      <c r="C1205" s="6">
        <v>287.4</v>
      </c>
      <c r="D1205" s="11">
        <v>-0.42</v>
      </c>
      <c r="E1205" s="12">
        <v>-0.0015</v>
      </c>
      <c r="F1205" s="6">
        <v>287.39</v>
      </c>
      <c r="G1205" s="6">
        <v>286.77</v>
      </c>
      <c r="H1205" s="6">
        <v>288.86</v>
      </c>
      <c r="I1205" s="9">
        <v>7.4338982E7</v>
      </c>
      <c r="J1205" s="6">
        <v>2.1389210386E10</v>
      </c>
    </row>
    <row r="1206">
      <c r="A1206" s="4" t="s">
        <v>10</v>
      </c>
      <c r="B1206" s="5">
        <v>43383.0</v>
      </c>
      <c r="C1206" s="6">
        <v>278.3</v>
      </c>
      <c r="D1206" s="11">
        <v>-9.1</v>
      </c>
      <c r="E1206" s="12">
        <v>-0.0317</v>
      </c>
      <c r="F1206" s="6">
        <v>286.83</v>
      </c>
      <c r="G1206" s="6">
        <v>277.88</v>
      </c>
      <c r="H1206" s="6">
        <v>286.91</v>
      </c>
      <c r="I1206" s="9">
        <v>2.14731042E8</v>
      </c>
      <c r="J1206" s="6">
        <v>6.056000540056E10</v>
      </c>
    </row>
    <row r="1207">
      <c r="A1207" s="4" t="s">
        <v>10</v>
      </c>
      <c r="B1207" s="5">
        <v>43384.0</v>
      </c>
      <c r="C1207" s="6">
        <v>272.17</v>
      </c>
      <c r="D1207" s="11">
        <v>-6.13</v>
      </c>
      <c r="E1207" s="12">
        <v>-0.022</v>
      </c>
      <c r="F1207" s="6">
        <v>277.08</v>
      </c>
      <c r="G1207" s="6">
        <v>270.36</v>
      </c>
      <c r="H1207" s="6">
        <v>278.9</v>
      </c>
      <c r="I1207" s="9">
        <v>2.74840491E8</v>
      </c>
      <c r="J1207" s="6">
        <v>7.55964057865E10</v>
      </c>
    </row>
    <row r="1208">
      <c r="A1208" s="4" t="s">
        <v>10</v>
      </c>
      <c r="B1208" s="5">
        <v>43385.0</v>
      </c>
      <c r="C1208" s="6">
        <v>275.95</v>
      </c>
      <c r="D1208" s="13">
        <f>+3.78</f>
        <v>3.78</v>
      </c>
      <c r="E1208" s="14">
        <f>+1.39%</f>
        <v>0.0139</v>
      </c>
      <c r="F1208" s="6">
        <v>276.77</v>
      </c>
      <c r="G1208" s="6">
        <v>272.37</v>
      </c>
      <c r="H1208" s="6">
        <v>277.09</v>
      </c>
      <c r="I1208" s="9">
        <v>1.83186492E8</v>
      </c>
      <c r="J1208" s="6">
        <v>5.035888394431E10</v>
      </c>
    </row>
    <row r="1209">
      <c r="A1209" s="4" t="s">
        <v>10</v>
      </c>
      <c r="B1209" s="5">
        <v>43388.0</v>
      </c>
      <c r="C1209" s="6">
        <v>274.4</v>
      </c>
      <c r="D1209" s="11">
        <v>-1.55</v>
      </c>
      <c r="E1209" s="12">
        <v>-0.0056</v>
      </c>
      <c r="F1209" s="6">
        <v>275.55</v>
      </c>
      <c r="G1209" s="6">
        <v>274.3</v>
      </c>
      <c r="H1209" s="6">
        <v>277.04</v>
      </c>
      <c r="I1209" s="9">
        <v>1.02263717E8</v>
      </c>
      <c r="J1209" s="6">
        <v>2.817636344249E10</v>
      </c>
    </row>
    <row r="1210">
      <c r="A1210" s="4" t="s">
        <v>10</v>
      </c>
      <c r="B1210" s="5">
        <v>43389.0</v>
      </c>
      <c r="C1210" s="6">
        <v>280.4</v>
      </c>
      <c r="D1210" s="13">
        <f>+6</f>
        <v>6</v>
      </c>
      <c r="E1210" s="14">
        <f>+2.19%</f>
        <v>0.0219</v>
      </c>
      <c r="F1210" s="6">
        <v>276.6</v>
      </c>
      <c r="G1210" s="6">
        <v>276.07</v>
      </c>
      <c r="H1210" s="6">
        <v>280.82</v>
      </c>
      <c r="I1210" s="9">
        <v>1.18255834E8</v>
      </c>
      <c r="J1210" s="6">
        <v>3.293691879117E10</v>
      </c>
    </row>
    <row r="1211">
      <c r="A1211" s="4" t="s">
        <v>10</v>
      </c>
      <c r="B1211" s="5">
        <v>43390.0</v>
      </c>
      <c r="C1211" s="6">
        <v>280.45</v>
      </c>
      <c r="D1211" s="13">
        <f>+0.05</f>
        <v>0.05</v>
      </c>
      <c r="E1211" s="14">
        <f>+0.02%</f>
        <v>0.0002</v>
      </c>
      <c r="F1211" s="6">
        <v>280.44</v>
      </c>
      <c r="G1211" s="6">
        <v>277.56</v>
      </c>
      <c r="H1211" s="6">
        <v>281.15</v>
      </c>
      <c r="I1211" s="9">
        <v>1.10625987E8</v>
      </c>
      <c r="J1211" s="6">
        <v>3.096325558286E10</v>
      </c>
    </row>
    <row r="1212">
      <c r="A1212" s="4" t="s">
        <v>10</v>
      </c>
      <c r="B1212" s="5">
        <v>43391.0</v>
      </c>
      <c r="C1212" s="6">
        <v>276.4</v>
      </c>
      <c r="D1212" s="11">
        <v>-4.05</v>
      </c>
      <c r="E1212" s="12">
        <v>-0.0144</v>
      </c>
      <c r="F1212" s="6">
        <v>279.4</v>
      </c>
      <c r="G1212" s="6">
        <v>274.97</v>
      </c>
      <c r="H1212" s="6">
        <v>280.07</v>
      </c>
      <c r="I1212" s="9">
        <v>1.34557525E8</v>
      </c>
      <c r="J1212" s="6">
        <v>3.728783869254E10</v>
      </c>
    </row>
    <row r="1213">
      <c r="A1213" s="4" t="s">
        <v>10</v>
      </c>
      <c r="B1213" s="5">
        <v>43392.0</v>
      </c>
      <c r="C1213" s="6">
        <v>276.25</v>
      </c>
      <c r="D1213" s="11">
        <v>-0.15</v>
      </c>
      <c r="E1213" s="12">
        <v>-5.0E-4</v>
      </c>
      <c r="F1213" s="6">
        <v>277.13</v>
      </c>
      <c r="G1213" s="6">
        <v>275.47</v>
      </c>
      <c r="H1213" s="6">
        <v>279.3</v>
      </c>
      <c r="I1213" s="9">
        <v>1.39901634E8</v>
      </c>
      <c r="J1213" s="6">
        <v>3.876226619879E10</v>
      </c>
    </row>
    <row r="1214">
      <c r="A1214" s="4" t="s">
        <v>10</v>
      </c>
      <c r="B1214" s="5">
        <v>43395.0</v>
      </c>
      <c r="C1214" s="6">
        <v>275.01</v>
      </c>
      <c r="D1214" s="11">
        <v>-1.24</v>
      </c>
      <c r="E1214" s="12">
        <v>-0.0045</v>
      </c>
      <c r="F1214" s="6">
        <v>277.0</v>
      </c>
      <c r="G1214" s="6">
        <v>274.41</v>
      </c>
      <c r="H1214" s="6">
        <v>277.36</v>
      </c>
      <c r="I1214" s="9">
        <v>8.2415812E7</v>
      </c>
      <c r="J1214" s="6">
        <v>2.271148943208E10</v>
      </c>
    </row>
    <row r="1215">
      <c r="A1215" s="4" t="s">
        <v>10</v>
      </c>
      <c r="B1215" s="5">
        <v>43396.0</v>
      </c>
      <c r="C1215" s="6">
        <v>273.61</v>
      </c>
      <c r="D1215" s="11">
        <v>-1.4</v>
      </c>
      <c r="E1215" s="12">
        <v>-0.0051</v>
      </c>
      <c r="F1215" s="6">
        <v>270.95</v>
      </c>
      <c r="G1215" s="6">
        <v>268.61</v>
      </c>
      <c r="H1215" s="6">
        <v>274.87</v>
      </c>
      <c r="I1215" s="9">
        <v>1.46352719E8</v>
      </c>
      <c r="J1215" s="6">
        <v>3.979927352803E10</v>
      </c>
    </row>
    <row r="1216">
      <c r="A1216" s="4" t="s">
        <v>10</v>
      </c>
      <c r="B1216" s="5">
        <v>43397.0</v>
      </c>
      <c r="C1216" s="6">
        <v>265.32</v>
      </c>
      <c r="D1216" s="11">
        <v>-8.29</v>
      </c>
      <c r="E1216" s="12">
        <v>-0.0303</v>
      </c>
      <c r="F1216" s="6">
        <v>273.33</v>
      </c>
      <c r="G1216" s="6">
        <v>264.7</v>
      </c>
      <c r="H1216" s="6">
        <v>273.76</v>
      </c>
      <c r="I1216" s="9">
        <v>1.77806697E8</v>
      </c>
      <c r="J1216" s="6">
        <v>4.785105487468E10</v>
      </c>
    </row>
    <row r="1217">
      <c r="A1217" s="4" t="s">
        <v>10</v>
      </c>
      <c r="B1217" s="5">
        <v>43398.0</v>
      </c>
      <c r="C1217" s="6">
        <v>270.08</v>
      </c>
      <c r="D1217" s="13">
        <f>+4.76</f>
        <v>4.76</v>
      </c>
      <c r="E1217" s="14">
        <f>+1.79%</f>
        <v>0.0179</v>
      </c>
      <c r="F1217" s="6">
        <v>267.38</v>
      </c>
      <c r="G1217" s="6">
        <v>266.23</v>
      </c>
      <c r="H1217" s="6">
        <v>271.81</v>
      </c>
      <c r="I1217" s="9">
        <v>1.38061545E8</v>
      </c>
      <c r="J1217" s="6">
        <v>3.715731370535E10</v>
      </c>
    </row>
    <row r="1218">
      <c r="A1218" s="4" t="s">
        <v>10</v>
      </c>
      <c r="B1218" s="5">
        <v>43399.0</v>
      </c>
      <c r="C1218" s="6">
        <v>265.33</v>
      </c>
      <c r="D1218" s="11">
        <v>-4.75</v>
      </c>
      <c r="E1218" s="12">
        <v>-0.0176</v>
      </c>
      <c r="F1218" s="6">
        <v>265.92</v>
      </c>
      <c r="G1218" s="6">
        <v>262.29</v>
      </c>
      <c r="H1218" s="6">
        <v>271.0</v>
      </c>
      <c r="I1218" s="9">
        <v>2.01574596E8</v>
      </c>
      <c r="J1218" s="6">
        <v>5.352527140402E10</v>
      </c>
    </row>
    <row r="1219">
      <c r="A1219" s="4" t="s">
        <v>10</v>
      </c>
      <c r="B1219" s="5">
        <v>43402.0</v>
      </c>
      <c r="C1219" s="6">
        <v>263.86</v>
      </c>
      <c r="D1219" s="11">
        <v>-1.47</v>
      </c>
      <c r="E1219" s="12">
        <v>-0.0055</v>
      </c>
      <c r="F1219" s="6">
        <v>268.8</v>
      </c>
      <c r="G1219" s="6">
        <v>259.85</v>
      </c>
      <c r="H1219" s="6">
        <v>270.25</v>
      </c>
      <c r="I1219" s="9">
        <v>1.60749101E8</v>
      </c>
      <c r="J1219" s="6">
        <v>4.267783288237E10</v>
      </c>
    </row>
    <row r="1220">
      <c r="A1220" s="4" t="s">
        <v>10</v>
      </c>
      <c r="B1220" s="5">
        <v>43403.0</v>
      </c>
      <c r="C1220" s="6">
        <v>267.77</v>
      </c>
      <c r="D1220" s="13">
        <f>+3.91</f>
        <v>3.91</v>
      </c>
      <c r="E1220" s="14">
        <f>+1.48%</f>
        <v>0.0148</v>
      </c>
      <c r="F1220" s="6">
        <v>263.67</v>
      </c>
      <c r="G1220" s="6">
        <v>263.12</v>
      </c>
      <c r="H1220" s="6">
        <v>268.12</v>
      </c>
      <c r="I1220" s="9">
        <v>1.57115995E8</v>
      </c>
      <c r="J1220" s="6">
        <v>4.176159096311E10</v>
      </c>
    </row>
    <row r="1221">
      <c r="A1221" s="4" t="s">
        <v>10</v>
      </c>
      <c r="B1221" s="5">
        <v>43404.0</v>
      </c>
      <c r="C1221" s="6">
        <v>270.63</v>
      </c>
      <c r="D1221" s="13">
        <f>+2.86</f>
        <v>2.86</v>
      </c>
      <c r="E1221" s="14">
        <f>+1.07%</f>
        <v>0.0107</v>
      </c>
      <c r="F1221" s="6">
        <v>270.65</v>
      </c>
      <c r="G1221" s="6">
        <v>270.12</v>
      </c>
      <c r="H1221" s="6">
        <v>273.23</v>
      </c>
      <c r="I1221" s="9">
        <v>1.28296325E8</v>
      </c>
      <c r="J1221" s="6">
        <v>3.482591183833E10</v>
      </c>
    </row>
    <row r="1222">
      <c r="A1222" s="4" t="s">
        <v>10</v>
      </c>
      <c r="B1222" s="5">
        <v>43405.0</v>
      </c>
      <c r="C1222" s="6">
        <v>273.51</v>
      </c>
      <c r="D1222" s="13">
        <f>+2.88</f>
        <v>2.88</v>
      </c>
      <c r="E1222" s="14">
        <f>+1.06%</f>
        <v>0.0106</v>
      </c>
      <c r="F1222" s="6">
        <v>271.6</v>
      </c>
      <c r="G1222" s="6">
        <v>270.38</v>
      </c>
      <c r="H1222" s="6">
        <v>273.73</v>
      </c>
      <c r="I1222" s="9">
        <v>9.9495037E7</v>
      </c>
      <c r="J1222" s="6">
        <v>2.709760113248E10</v>
      </c>
    </row>
    <row r="1223">
      <c r="A1223" s="4" t="s">
        <v>10</v>
      </c>
      <c r="B1223" s="5">
        <v>43406.0</v>
      </c>
      <c r="C1223" s="6">
        <v>271.89</v>
      </c>
      <c r="D1223" s="11">
        <v>-1.62</v>
      </c>
      <c r="E1223" s="12">
        <v>-0.0059</v>
      </c>
      <c r="F1223" s="6">
        <v>274.75</v>
      </c>
      <c r="G1223" s="6">
        <v>269.59</v>
      </c>
      <c r="H1223" s="6">
        <v>275.23</v>
      </c>
      <c r="I1223" s="9">
        <v>1.22634107E8</v>
      </c>
      <c r="J1223" s="6">
        <v>3.337624696224E10</v>
      </c>
    </row>
    <row r="1224">
      <c r="A1224" s="4" t="s">
        <v>10</v>
      </c>
      <c r="B1224" s="5">
        <v>43409.0</v>
      </c>
      <c r="C1224" s="6">
        <v>273.39</v>
      </c>
      <c r="D1224" s="13">
        <f>+1.5</f>
        <v>1.5</v>
      </c>
      <c r="E1224" s="14">
        <f>+0.55%</f>
        <v>0.0055</v>
      </c>
      <c r="F1224" s="6">
        <v>272.44</v>
      </c>
      <c r="G1224" s="6">
        <v>271.35</v>
      </c>
      <c r="H1224" s="6">
        <v>274.01</v>
      </c>
      <c r="I1224" s="9">
        <v>6.5622482E7</v>
      </c>
      <c r="J1224" s="6">
        <v>1.790449232441E10</v>
      </c>
    </row>
    <row r="1225">
      <c r="A1225" s="4" t="s">
        <v>10</v>
      </c>
      <c r="B1225" s="5">
        <v>43410.0</v>
      </c>
      <c r="C1225" s="6">
        <v>275.12</v>
      </c>
      <c r="D1225" s="13">
        <f>+1.73</f>
        <v>1.73</v>
      </c>
      <c r="E1225" s="14">
        <f>+0.63%</f>
        <v>0.0063</v>
      </c>
      <c r="F1225" s="6">
        <v>273.32</v>
      </c>
      <c r="G1225" s="6">
        <v>273.25</v>
      </c>
      <c r="H1225" s="6">
        <v>275.3</v>
      </c>
      <c r="I1225" s="9">
        <v>6.0085894E7</v>
      </c>
      <c r="J1225" s="6">
        <v>1.649293455127E10</v>
      </c>
    </row>
    <row r="1226">
      <c r="A1226" s="4" t="s">
        <v>10</v>
      </c>
      <c r="B1226" s="5">
        <v>43411.0</v>
      </c>
      <c r="C1226" s="6">
        <v>281.01</v>
      </c>
      <c r="D1226" s="13">
        <f>+5.89</f>
        <v>5.89</v>
      </c>
      <c r="E1226" s="14">
        <f>+2.14%</f>
        <v>0.0214</v>
      </c>
      <c r="F1226" s="6">
        <v>277.56</v>
      </c>
      <c r="G1226" s="6">
        <v>277.08</v>
      </c>
      <c r="H1226" s="6">
        <v>281.1</v>
      </c>
      <c r="I1226" s="9">
        <v>1.02752099E8</v>
      </c>
      <c r="J1226" s="6">
        <v>2.87058773148E10</v>
      </c>
    </row>
    <row r="1227">
      <c r="A1227" s="4" t="s">
        <v>10</v>
      </c>
      <c r="B1227" s="5">
        <v>43412.0</v>
      </c>
      <c r="C1227" s="6">
        <v>280.5</v>
      </c>
      <c r="D1227" s="11">
        <v>-0.51</v>
      </c>
      <c r="E1227" s="12">
        <v>-0.0018</v>
      </c>
      <c r="F1227" s="6">
        <v>280.11</v>
      </c>
      <c r="G1227" s="6">
        <v>279.22</v>
      </c>
      <c r="H1227" s="6">
        <v>281.22</v>
      </c>
      <c r="I1227" s="9">
        <v>6.5584886E7</v>
      </c>
      <c r="J1227" s="6">
        <v>1.838640370383E10</v>
      </c>
    </row>
    <row r="1228">
      <c r="A1228" s="4" t="s">
        <v>10</v>
      </c>
      <c r="B1228" s="5">
        <v>43413.0</v>
      </c>
      <c r="C1228" s="6">
        <v>277.76</v>
      </c>
      <c r="D1228" s="11">
        <v>-2.74</v>
      </c>
      <c r="E1228" s="12">
        <v>-0.0098</v>
      </c>
      <c r="F1228" s="6">
        <v>279.03</v>
      </c>
      <c r="G1228" s="6">
        <v>276.18</v>
      </c>
      <c r="H1228" s="6">
        <v>279.24</v>
      </c>
      <c r="I1228" s="9">
        <v>9.8812561E7</v>
      </c>
      <c r="J1228" s="6">
        <v>2.746024152166E10</v>
      </c>
    </row>
    <row r="1229">
      <c r="A1229" s="4" t="s">
        <v>10</v>
      </c>
      <c r="B1229" s="5">
        <v>43416.0</v>
      </c>
      <c r="C1229" s="6">
        <v>272.57</v>
      </c>
      <c r="D1229" s="11">
        <v>-5.19</v>
      </c>
      <c r="E1229" s="12">
        <v>-0.0187</v>
      </c>
      <c r="F1229" s="6">
        <v>277.19</v>
      </c>
      <c r="G1229" s="6">
        <v>271.99</v>
      </c>
      <c r="H1229" s="6">
        <v>277.46</v>
      </c>
      <c r="I1229" s="9">
        <v>9.9673574E7</v>
      </c>
      <c r="J1229" s="6">
        <v>2.730616941757E10</v>
      </c>
    </row>
    <row r="1230">
      <c r="A1230" s="4" t="s">
        <v>10</v>
      </c>
      <c r="B1230" s="5">
        <v>43417.0</v>
      </c>
      <c r="C1230" s="6">
        <v>272.06</v>
      </c>
      <c r="D1230" s="11">
        <v>-0.51</v>
      </c>
      <c r="E1230" s="12">
        <v>-0.0019</v>
      </c>
      <c r="F1230" s="6">
        <v>273.09</v>
      </c>
      <c r="G1230" s="6">
        <v>271.25</v>
      </c>
      <c r="H1230" s="6">
        <v>275.33</v>
      </c>
      <c r="I1230" s="9">
        <v>9.817661E7</v>
      </c>
      <c r="J1230" s="6">
        <v>2.679147453821E10</v>
      </c>
    </row>
    <row r="1231">
      <c r="A1231" s="4" t="s">
        <v>10</v>
      </c>
      <c r="B1231" s="5">
        <v>43418.0</v>
      </c>
      <c r="C1231" s="6">
        <v>270.2</v>
      </c>
      <c r="D1231" s="11">
        <v>-1.86</v>
      </c>
      <c r="E1231" s="12">
        <v>-0.0068</v>
      </c>
      <c r="F1231" s="6">
        <v>274.16</v>
      </c>
      <c r="G1231" s="6">
        <v>268.45</v>
      </c>
      <c r="H1231" s="6">
        <v>274.61</v>
      </c>
      <c r="I1231" s="9">
        <v>1.25335931E8</v>
      </c>
      <c r="J1231" s="6">
        <v>3.396862321768E10</v>
      </c>
    </row>
    <row r="1232">
      <c r="A1232" s="4" t="s">
        <v>10</v>
      </c>
      <c r="B1232" s="5">
        <v>43419.0</v>
      </c>
      <c r="C1232" s="6">
        <v>273.02</v>
      </c>
      <c r="D1232" s="13">
        <f>+2.82</f>
        <v>2.82</v>
      </c>
      <c r="E1232" s="14">
        <f>+1.04%</f>
        <v>0.0104</v>
      </c>
      <c r="F1232" s="6">
        <v>268.78</v>
      </c>
      <c r="G1232" s="6">
        <v>267.01</v>
      </c>
      <c r="H1232" s="6">
        <v>273.54</v>
      </c>
      <c r="I1232" s="9">
        <v>1.35101437E8</v>
      </c>
      <c r="J1232" s="6">
        <v>3.659470095468E10</v>
      </c>
    </row>
    <row r="1233">
      <c r="A1233" s="4" t="s">
        <v>10</v>
      </c>
      <c r="B1233" s="5">
        <v>43420.0</v>
      </c>
      <c r="C1233" s="6">
        <v>273.73</v>
      </c>
      <c r="D1233" s="13">
        <f>+0.71</f>
        <v>0.71</v>
      </c>
      <c r="E1233" s="14">
        <f>+0.26%</f>
        <v>0.0026</v>
      </c>
      <c r="F1233" s="6">
        <v>271.79</v>
      </c>
      <c r="G1233" s="6">
        <v>271.21</v>
      </c>
      <c r="H1233" s="6">
        <v>274.75</v>
      </c>
      <c r="I1233" s="9">
        <v>1.2666804E8</v>
      </c>
      <c r="J1233" s="6">
        <v>3.460076031237E10</v>
      </c>
    </row>
    <row r="1234">
      <c r="A1234" s="4" t="s">
        <v>10</v>
      </c>
      <c r="B1234" s="5">
        <v>43423.0</v>
      </c>
      <c r="C1234" s="6">
        <v>269.1</v>
      </c>
      <c r="D1234" s="11">
        <v>-4.63</v>
      </c>
      <c r="E1234" s="12">
        <v>-0.0169</v>
      </c>
      <c r="F1234" s="6">
        <v>273.05</v>
      </c>
      <c r="G1234" s="6">
        <v>268.07</v>
      </c>
      <c r="H1234" s="6">
        <v>273.38</v>
      </c>
      <c r="I1234" s="9">
        <v>1.03061706E8</v>
      </c>
      <c r="J1234" s="6">
        <v>2.782009187808E10</v>
      </c>
    </row>
    <row r="1235">
      <c r="A1235" s="4" t="s">
        <v>10</v>
      </c>
      <c r="B1235" s="5">
        <v>43424.0</v>
      </c>
      <c r="C1235" s="6">
        <v>264.12</v>
      </c>
      <c r="D1235" s="11">
        <v>-4.98</v>
      </c>
      <c r="E1235" s="12">
        <v>-0.0185</v>
      </c>
      <c r="F1235" s="6">
        <v>265.36</v>
      </c>
      <c r="G1235" s="6">
        <v>263.15</v>
      </c>
      <c r="H1235" s="6">
        <v>267.0</v>
      </c>
      <c r="I1235" s="9">
        <v>1.36021311E8</v>
      </c>
      <c r="J1235" s="6">
        <v>3.607426099387E10</v>
      </c>
    </row>
    <row r="1236">
      <c r="A1236" s="4" t="s">
        <v>10</v>
      </c>
      <c r="B1236" s="5">
        <v>43425.0</v>
      </c>
      <c r="C1236" s="6">
        <v>265.02</v>
      </c>
      <c r="D1236" s="13">
        <f>+0.9</f>
        <v>0.9</v>
      </c>
      <c r="E1236" s="14">
        <f>+0.34%</f>
        <v>0.0034</v>
      </c>
      <c r="F1236" s="6">
        <v>265.86</v>
      </c>
      <c r="G1236" s="6">
        <v>265.01</v>
      </c>
      <c r="H1236" s="6">
        <v>267.15</v>
      </c>
      <c r="I1236" s="9">
        <v>7.5563743E7</v>
      </c>
      <c r="J1236" s="6">
        <v>2.008848106544E10</v>
      </c>
    </row>
    <row r="1237">
      <c r="A1237" s="4" t="s">
        <v>10</v>
      </c>
      <c r="B1237" s="5">
        <v>43426.0</v>
      </c>
      <c r="C1237" s="10"/>
      <c r="D1237" s="7"/>
      <c r="E1237" s="8"/>
      <c r="F1237" s="10"/>
      <c r="G1237" s="10"/>
      <c r="H1237" s="10"/>
      <c r="I1237" s="15"/>
      <c r="J1237" s="10"/>
    </row>
    <row r="1238">
      <c r="A1238" s="4" t="s">
        <v>10</v>
      </c>
      <c r="B1238" s="5">
        <v>43427.0</v>
      </c>
      <c r="C1238" s="6">
        <v>263.25</v>
      </c>
      <c r="D1238" s="11">
        <v>-1.77</v>
      </c>
      <c r="E1238" s="12">
        <v>-0.0067</v>
      </c>
      <c r="F1238" s="6">
        <v>263.18</v>
      </c>
      <c r="G1238" s="6">
        <v>263.07</v>
      </c>
      <c r="H1238" s="6">
        <v>264.82</v>
      </c>
      <c r="I1238" s="9">
        <v>4.2807878E7</v>
      </c>
      <c r="J1238" s="6">
        <v>1.129872467816E10</v>
      </c>
    </row>
    <row r="1239">
      <c r="A1239" s="4" t="s">
        <v>10</v>
      </c>
      <c r="B1239" s="5">
        <v>43430.0</v>
      </c>
      <c r="C1239" s="6">
        <v>267.5</v>
      </c>
      <c r="D1239" s="13">
        <f>+4.25</f>
        <v>4.25</v>
      </c>
      <c r="E1239" s="14">
        <f>+1.61%</f>
        <v>0.0161</v>
      </c>
      <c r="F1239" s="6">
        <v>265.78</v>
      </c>
      <c r="G1239" s="6">
        <v>265.34</v>
      </c>
      <c r="H1239" s="6">
        <v>267.75</v>
      </c>
      <c r="I1239" s="9">
        <v>7.9981362E7</v>
      </c>
      <c r="J1239" s="6">
        <v>2.131900469505E10</v>
      </c>
    </row>
    <row r="1240">
      <c r="A1240" s="4" t="s">
        <v>10</v>
      </c>
      <c r="B1240" s="5">
        <v>43431.0</v>
      </c>
      <c r="C1240" s="6">
        <v>268.4</v>
      </c>
      <c r="D1240" s="13">
        <f>+0.9</f>
        <v>0.9</v>
      </c>
      <c r="E1240" s="14">
        <f>+0.34%</f>
        <v>0.0034</v>
      </c>
      <c r="F1240" s="6">
        <v>266.34</v>
      </c>
      <c r="G1240" s="6">
        <v>265.66</v>
      </c>
      <c r="H1240" s="6">
        <v>268.4</v>
      </c>
      <c r="I1240" s="9">
        <v>7.5502441E7</v>
      </c>
      <c r="J1240" s="6">
        <v>2.019405175188E10</v>
      </c>
    </row>
    <row r="1241">
      <c r="A1241" s="4" t="s">
        <v>10</v>
      </c>
      <c r="B1241" s="5">
        <v>43432.0</v>
      </c>
      <c r="C1241" s="6">
        <v>274.58</v>
      </c>
      <c r="D1241" s="13">
        <f>+6.18</f>
        <v>6.18</v>
      </c>
      <c r="E1241" s="14">
        <f>+2.3%</f>
        <v>0.023</v>
      </c>
      <c r="F1241" s="6">
        <v>269.6</v>
      </c>
      <c r="G1241" s="6">
        <v>268.33</v>
      </c>
      <c r="H1241" s="6">
        <v>274.58</v>
      </c>
      <c r="I1241" s="9">
        <v>1.27629633E8</v>
      </c>
      <c r="J1241" s="6">
        <v>3.472140579129E10</v>
      </c>
    </row>
    <row r="1242">
      <c r="A1242" s="4" t="s">
        <v>10</v>
      </c>
      <c r="B1242" s="5">
        <v>43433.0</v>
      </c>
      <c r="C1242" s="6">
        <v>273.98</v>
      </c>
      <c r="D1242" s="11">
        <v>-0.6</v>
      </c>
      <c r="E1242" s="12">
        <v>-0.0022</v>
      </c>
      <c r="F1242" s="6">
        <v>273.71</v>
      </c>
      <c r="G1242" s="6">
        <v>272.43</v>
      </c>
      <c r="H1242" s="6">
        <v>275.55</v>
      </c>
      <c r="I1242" s="9">
        <v>8.234642E7</v>
      </c>
      <c r="J1242" s="6">
        <v>2.255874824218E10</v>
      </c>
    </row>
    <row r="1243">
      <c r="A1243" s="4" t="s">
        <v>10</v>
      </c>
      <c r="B1243" s="5">
        <v>43434.0</v>
      </c>
      <c r="C1243" s="6">
        <v>275.65</v>
      </c>
      <c r="D1243" s="13">
        <f>+1.67</f>
        <v>1.67</v>
      </c>
      <c r="E1243" s="14">
        <f>+0.61%</f>
        <v>0.0061</v>
      </c>
      <c r="F1243" s="6">
        <v>273.81</v>
      </c>
      <c r="G1243" s="6">
        <v>273.45</v>
      </c>
      <c r="H1243" s="6">
        <v>276.28</v>
      </c>
      <c r="I1243" s="9">
        <v>9.820419E7</v>
      </c>
      <c r="J1243" s="6">
        <v>2.70139659022E10</v>
      </c>
    </row>
    <row r="1244">
      <c r="A1244" s="4" t="s">
        <v>10</v>
      </c>
      <c r="B1244" s="5">
        <v>43437.0</v>
      </c>
      <c r="C1244" s="6">
        <v>279.3</v>
      </c>
      <c r="D1244" s="13">
        <f>+3.65</f>
        <v>3.65</v>
      </c>
      <c r="E1244" s="14">
        <f>+1.32%</f>
        <v>0.0132</v>
      </c>
      <c r="F1244" s="6">
        <v>280.28</v>
      </c>
      <c r="G1244" s="6">
        <v>277.51</v>
      </c>
      <c r="H1244" s="6">
        <v>280.4</v>
      </c>
      <c r="I1244" s="9">
        <v>1.03017719E8</v>
      </c>
      <c r="J1244" s="6">
        <v>2.878064444843E10</v>
      </c>
    </row>
    <row r="1245">
      <c r="A1245" s="4" t="s">
        <v>10</v>
      </c>
      <c r="B1245" s="5">
        <v>43438.0</v>
      </c>
      <c r="C1245" s="6">
        <v>270.25</v>
      </c>
      <c r="D1245" s="11">
        <v>-9.05</v>
      </c>
      <c r="E1245" s="12">
        <v>-0.0324</v>
      </c>
      <c r="F1245" s="6">
        <v>278.37</v>
      </c>
      <c r="G1245" s="6">
        <v>269.9</v>
      </c>
      <c r="H1245" s="6">
        <v>278.85</v>
      </c>
      <c r="I1245" s="9">
        <v>1.77986013E8</v>
      </c>
      <c r="J1245" s="6">
        <v>4.858691727192E10</v>
      </c>
    </row>
    <row r="1246">
      <c r="A1246" s="4" t="s">
        <v>10</v>
      </c>
      <c r="B1246" s="5">
        <v>43439.0</v>
      </c>
      <c r="C1246" s="10"/>
      <c r="D1246" s="7"/>
      <c r="E1246" s="8"/>
      <c r="F1246" s="10"/>
      <c r="G1246" s="10"/>
      <c r="H1246" s="10"/>
      <c r="I1246" s="15"/>
      <c r="J1246" s="10"/>
    </row>
    <row r="1247">
      <c r="A1247" s="4" t="s">
        <v>10</v>
      </c>
      <c r="B1247" s="5">
        <v>43440.0</v>
      </c>
      <c r="C1247" s="6">
        <v>269.84</v>
      </c>
      <c r="D1247" s="11">
        <v>-0.41</v>
      </c>
      <c r="E1247" s="12">
        <v>-0.0015</v>
      </c>
      <c r="F1247" s="6">
        <v>265.92</v>
      </c>
      <c r="G1247" s="6">
        <v>262.44</v>
      </c>
      <c r="H1247" s="6">
        <v>269.97</v>
      </c>
      <c r="I1247" s="9">
        <v>2.04185411E8</v>
      </c>
      <c r="J1247" s="6">
        <v>5.443134935229E10</v>
      </c>
    </row>
    <row r="1248">
      <c r="A1248" s="4" t="s">
        <v>10</v>
      </c>
      <c r="B1248" s="5">
        <v>43441.0</v>
      </c>
      <c r="C1248" s="6">
        <v>263.57</v>
      </c>
      <c r="D1248" s="11">
        <v>-6.27</v>
      </c>
      <c r="E1248" s="12">
        <v>-0.0232</v>
      </c>
      <c r="F1248" s="6">
        <v>269.46</v>
      </c>
      <c r="G1248" s="6">
        <v>262.63</v>
      </c>
      <c r="H1248" s="6">
        <v>271.22</v>
      </c>
      <c r="I1248" s="9">
        <v>1.61018923E8</v>
      </c>
      <c r="J1248" s="6">
        <v>4.277537729658E10</v>
      </c>
    </row>
    <row r="1249">
      <c r="A1249" s="4" t="s">
        <v>10</v>
      </c>
      <c r="B1249" s="5">
        <v>43444.0</v>
      </c>
      <c r="C1249" s="6">
        <v>264.07</v>
      </c>
      <c r="D1249" s="13">
        <f>+0.5</f>
        <v>0.5</v>
      </c>
      <c r="E1249" s="14">
        <f>+0.19%</f>
        <v>0.0019</v>
      </c>
      <c r="F1249" s="6">
        <v>263.37</v>
      </c>
      <c r="G1249" s="6">
        <v>258.62</v>
      </c>
      <c r="H1249" s="6">
        <v>265.16</v>
      </c>
      <c r="I1249" s="9">
        <v>1.51445885E8</v>
      </c>
      <c r="J1249" s="6">
        <v>3.970867695046E10</v>
      </c>
    </row>
    <row r="1250">
      <c r="A1250" s="4" t="s">
        <v>10</v>
      </c>
      <c r="B1250" s="5">
        <v>43445.0</v>
      </c>
      <c r="C1250" s="6">
        <v>264.13</v>
      </c>
      <c r="D1250" s="13">
        <f>+0.06</f>
        <v>0.06</v>
      </c>
      <c r="E1250" s="14">
        <f>+0.02%</f>
        <v>0.0002</v>
      </c>
      <c r="F1250" s="6">
        <v>267.66</v>
      </c>
      <c r="G1250" s="6">
        <v>262.48</v>
      </c>
      <c r="H1250" s="6">
        <v>267.87</v>
      </c>
      <c r="I1250" s="9">
        <v>1.21504431E8</v>
      </c>
      <c r="J1250" s="6">
        <v>3.222721747485E10</v>
      </c>
    </row>
    <row r="1251">
      <c r="A1251" s="4" t="s">
        <v>10</v>
      </c>
      <c r="B1251" s="5">
        <v>43446.0</v>
      </c>
      <c r="C1251" s="6">
        <v>265.46</v>
      </c>
      <c r="D1251" s="13">
        <f>+1.33</f>
        <v>1.33</v>
      </c>
      <c r="E1251" s="14">
        <f>+0.5%</f>
        <v>0.005</v>
      </c>
      <c r="F1251" s="6">
        <v>267.47</v>
      </c>
      <c r="G1251" s="6">
        <v>265.37</v>
      </c>
      <c r="H1251" s="6">
        <v>269.0</v>
      </c>
      <c r="I1251" s="9">
        <v>9.7976706E7</v>
      </c>
      <c r="J1251" s="6">
        <v>2.615464823722E10</v>
      </c>
    </row>
    <row r="1252">
      <c r="A1252" s="4" t="s">
        <v>10</v>
      </c>
      <c r="B1252" s="5">
        <v>43447.0</v>
      </c>
      <c r="C1252" s="6">
        <v>265.37</v>
      </c>
      <c r="D1252" s="11">
        <v>-0.09</v>
      </c>
      <c r="E1252" s="12">
        <v>-3.0E-4</v>
      </c>
      <c r="F1252" s="6">
        <v>266.52</v>
      </c>
      <c r="G1252" s="6">
        <v>264.12</v>
      </c>
      <c r="H1252" s="6">
        <v>267.49</v>
      </c>
      <c r="I1252" s="9">
        <v>9.6662717E7</v>
      </c>
      <c r="J1252" s="6">
        <v>2.566658327907E10</v>
      </c>
    </row>
    <row r="1253">
      <c r="A1253" s="4" t="s">
        <v>10</v>
      </c>
      <c r="B1253" s="5">
        <v>43448.0</v>
      </c>
      <c r="C1253" s="6">
        <v>260.47</v>
      </c>
      <c r="D1253" s="11">
        <v>-4.9</v>
      </c>
      <c r="E1253" s="12">
        <v>-0.0185</v>
      </c>
      <c r="F1253" s="6">
        <v>262.96</v>
      </c>
      <c r="G1253" s="6">
        <v>259.85</v>
      </c>
      <c r="H1253" s="6">
        <v>264.03</v>
      </c>
      <c r="I1253" s="9">
        <v>1.16961071E8</v>
      </c>
      <c r="J1253" s="6">
        <v>3.060552122398E10</v>
      </c>
    </row>
    <row r="1254">
      <c r="A1254" s="4" t="s">
        <v>10</v>
      </c>
      <c r="B1254" s="5">
        <v>43451.0</v>
      </c>
      <c r="C1254" s="6">
        <v>255.36</v>
      </c>
      <c r="D1254" s="11">
        <v>-5.11</v>
      </c>
      <c r="E1254" s="12">
        <v>-0.0196</v>
      </c>
      <c r="F1254" s="6">
        <v>259.4</v>
      </c>
      <c r="G1254" s="6">
        <v>253.53</v>
      </c>
      <c r="H1254" s="6">
        <v>260.65</v>
      </c>
      <c r="I1254" s="9">
        <v>1.65492257E8</v>
      </c>
      <c r="J1254" s="6">
        <v>4.252265152741E10</v>
      </c>
    </row>
    <row r="1255">
      <c r="A1255" s="4" t="s">
        <v>10</v>
      </c>
      <c r="B1255" s="5">
        <v>43452.0</v>
      </c>
      <c r="C1255" s="6">
        <v>255.08</v>
      </c>
      <c r="D1255" s="11">
        <v>-0.28</v>
      </c>
      <c r="E1255" s="12">
        <v>-0.0011</v>
      </c>
      <c r="F1255" s="6">
        <v>257.2</v>
      </c>
      <c r="G1255" s="6">
        <v>253.28</v>
      </c>
      <c r="H1255" s="6">
        <v>257.95</v>
      </c>
      <c r="I1255" s="9">
        <v>1.34515094E8</v>
      </c>
      <c r="J1255" s="6">
        <v>3.442416773646E10</v>
      </c>
    </row>
    <row r="1256">
      <c r="A1256" s="4" t="s">
        <v>10</v>
      </c>
      <c r="B1256" s="5">
        <v>43453.0</v>
      </c>
      <c r="C1256" s="6">
        <v>251.26</v>
      </c>
      <c r="D1256" s="11">
        <v>-3.82</v>
      </c>
      <c r="E1256" s="12">
        <v>-0.015</v>
      </c>
      <c r="F1256" s="6">
        <v>255.17</v>
      </c>
      <c r="G1256" s="6">
        <v>249.35</v>
      </c>
      <c r="H1256" s="6">
        <v>259.4</v>
      </c>
      <c r="I1256" s="9">
        <v>2.14992763E8</v>
      </c>
      <c r="J1256" s="6">
        <v>5.459350146688E10</v>
      </c>
    </row>
    <row r="1257">
      <c r="A1257" s="4" t="s">
        <v>10</v>
      </c>
      <c r="B1257" s="5">
        <v>43454.0</v>
      </c>
      <c r="C1257" s="6">
        <v>247.17</v>
      </c>
      <c r="D1257" s="11">
        <v>-4.09</v>
      </c>
      <c r="E1257" s="12">
        <v>-0.0163</v>
      </c>
      <c r="F1257" s="6">
        <v>249.86</v>
      </c>
      <c r="G1257" s="6">
        <v>244.65</v>
      </c>
      <c r="H1257" s="6">
        <v>251.62</v>
      </c>
      <c r="I1257" s="9">
        <v>2.52053377E8</v>
      </c>
      <c r="J1257" s="6">
        <v>6.258125588679E10</v>
      </c>
    </row>
    <row r="1258">
      <c r="A1258" s="4" t="s">
        <v>10</v>
      </c>
      <c r="B1258" s="5">
        <v>43455.0</v>
      </c>
      <c r="C1258" s="6">
        <v>240.7</v>
      </c>
      <c r="D1258" s="11">
        <v>-6.47</v>
      </c>
      <c r="E1258" s="12">
        <v>-0.0262</v>
      </c>
      <c r="F1258" s="6">
        <v>246.74</v>
      </c>
      <c r="G1258" s="6">
        <v>239.98</v>
      </c>
      <c r="H1258" s="6">
        <v>249.71</v>
      </c>
      <c r="I1258" s="9">
        <v>2.55345633E8</v>
      </c>
      <c r="J1258" s="6">
        <v>6.22832663564E10</v>
      </c>
    </row>
    <row r="1259">
      <c r="A1259" s="4" t="s">
        <v>10</v>
      </c>
      <c r="B1259" s="5">
        <v>43458.0</v>
      </c>
      <c r="C1259" s="6">
        <v>234.34</v>
      </c>
      <c r="D1259" s="11">
        <v>-6.36</v>
      </c>
      <c r="E1259" s="12">
        <v>-0.0264</v>
      </c>
      <c r="F1259" s="6">
        <v>239.04</v>
      </c>
      <c r="G1259" s="6">
        <v>234.27</v>
      </c>
      <c r="H1259" s="6">
        <v>240.84</v>
      </c>
      <c r="I1259" s="9">
        <v>1.47311588E8</v>
      </c>
      <c r="J1259" s="6">
        <v>3.495418995589E10</v>
      </c>
    </row>
    <row r="1260">
      <c r="A1260" s="4" t="s">
        <v>10</v>
      </c>
      <c r="B1260" s="5">
        <v>43459.0</v>
      </c>
      <c r="C1260" s="10"/>
      <c r="D1260" s="7"/>
      <c r="E1260" s="8"/>
      <c r="F1260" s="10"/>
      <c r="G1260" s="10"/>
      <c r="H1260" s="10"/>
      <c r="I1260" s="15"/>
      <c r="J1260" s="10"/>
    </row>
    <row r="1261">
      <c r="A1261" s="4" t="s">
        <v>10</v>
      </c>
      <c r="B1261" s="5">
        <v>43460.0</v>
      </c>
      <c r="C1261" s="6">
        <v>246.18</v>
      </c>
      <c r="D1261" s="13">
        <f>+11.84</f>
        <v>11.84</v>
      </c>
      <c r="E1261" s="14">
        <f>+5.05%</f>
        <v>0.0505</v>
      </c>
      <c r="F1261" s="6">
        <v>235.97</v>
      </c>
      <c r="G1261" s="6">
        <v>233.76</v>
      </c>
      <c r="H1261" s="6">
        <v>246.18</v>
      </c>
      <c r="I1261" s="9">
        <v>2.1848536E8</v>
      </c>
      <c r="J1261" s="6">
        <v>5.234190793679E10</v>
      </c>
    </row>
    <row r="1262">
      <c r="A1262" s="4" t="s">
        <v>10</v>
      </c>
      <c r="B1262" s="5">
        <v>43461.0</v>
      </c>
      <c r="C1262" s="6">
        <v>248.07</v>
      </c>
      <c r="D1262" s="13">
        <f>+1.89</f>
        <v>1.89</v>
      </c>
      <c r="E1262" s="14">
        <f>+0.77%</f>
        <v>0.0077</v>
      </c>
      <c r="F1262" s="6">
        <v>242.57</v>
      </c>
      <c r="G1262" s="6">
        <v>238.96</v>
      </c>
      <c r="H1262" s="6">
        <v>248.29</v>
      </c>
      <c r="I1262" s="9">
        <v>1.86267342E8</v>
      </c>
      <c r="J1262" s="6">
        <v>4.535625654305E10</v>
      </c>
    </row>
    <row r="1263">
      <c r="A1263" s="4" t="s">
        <v>10</v>
      </c>
      <c r="B1263" s="5">
        <v>43462.0</v>
      </c>
      <c r="C1263" s="6">
        <v>247.75</v>
      </c>
      <c r="D1263" s="11">
        <v>-0.32</v>
      </c>
      <c r="E1263" s="12">
        <v>-0.0013</v>
      </c>
      <c r="F1263" s="6">
        <v>249.58</v>
      </c>
      <c r="G1263" s="6">
        <v>246.45</v>
      </c>
      <c r="H1263" s="6">
        <v>251.4</v>
      </c>
      <c r="I1263" s="9">
        <v>1.53100189E8</v>
      </c>
      <c r="J1263" s="6">
        <v>3.80574509516E10</v>
      </c>
    </row>
    <row r="1264">
      <c r="A1264" s="4" t="s">
        <v>10</v>
      </c>
      <c r="B1264" s="5">
        <v>43465.0</v>
      </c>
      <c r="C1264" s="6">
        <v>249.92</v>
      </c>
      <c r="D1264" s="13">
        <f>+2.17</f>
        <v>2.17</v>
      </c>
      <c r="E1264" s="14">
        <f>+0.88%</f>
        <v>0.0088</v>
      </c>
      <c r="F1264" s="6">
        <v>249.56</v>
      </c>
      <c r="G1264" s="6">
        <v>247.47</v>
      </c>
      <c r="H1264" s="6">
        <v>250.19</v>
      </c>
      <c r="I1264" s="9">
        <v>1.4429937E8</v>
      </c>
      <c r="J1264" s="6">
        <v>3.595090827868E10</v>
      </c>
    </row>
    <row r="1265">
      <c r="A1265" s="4" t="s">
        <v>10</v>
      </c>
      <c r="B1265" s="5">
        <v>43466.0</v>
      </c>
      <c r="C1265" s="10"/>
      <c r="D1265" s="7"/>
      <c r="E1265" s="8"/>
      <c r="F1265" s="10"/>
      <c r="G1265" s="10"/>
      <c r="H1265" s="10"/>
      <c r="I1265" s="15"/>
      <c r="J1265" s="10"/>
    </row>
    <row r="1266">
      <c r="A1266" s="4" t="s">
        <v>10</v>
      </c>
      <c r="B1266" s="5">
        <v>43467.0</v>
      </c>
      <c r="C1266" s="6">
        <v>250.18</v>
      </c>
      <c r="D1266" s="13">
        <f>+0.26</f>
        <v>0.26</v>
      </c>
      <c r="E1266" s="14">
        <f>+0.1%</f>
        <v>0.001</v>
      </c>
      <c r="F1266" s="6">
        <v>245.98</v>
      </c>
      <c r="G1266" s="6">
        <v>245.95</v>
      </c>
      <c r="H1266" s="6">
        <v>251.21</v>
      </c>
      <c r="I1266" s="9">
        <v>1.26925199E8</v>
      </c>
      <c r="J1266" s="6">
        <v>3.162718476959E10</v>
      </c>
    </row>
    <row r="1267">
      <c r="A1267" s="4" t="s">
        <v>10</v>
      </c>
      <c r="B1267" s="5">
        <v>43468.0</v>
      </c>
      <c r="C1267" s="6">
        <v>244.21</v>
      </c>
      <c r="D1267" s="11">
        <v>-5.97</v>
      </c>
      <c r="E1267" s="12">
        <v>-0.0239</v>
      </c>
      <c r="F1267" s="6">
        <v>248.23</v>
      </c>
      <c r="G1267" s="6">
        <v>243.67</v>
      </c>
      <c r="H1267" s="6">
        <v>248.57</v>
      </c>
      <c r="I1267" s="9">
        <v>1.44140692E8</v>
      </c>
      <c r="J1267" s="6">
        <v>3.540908521883E10</v>
      </c>
    </row>
    <row r="1268">
      <c r="A1268" s="4" t="s">
        <v>10</v>
      </c>
      <c r="B1268" s="5">
        <v>43469.0</v>
      </c>
      <c r="C1268" s="6">
        <v>252.39</v>
      </c>
      <c r="D1268" s="13">
        <f>+8.18</f>
        <v>8.18</v>
      </c>
      <c r="E1268" s="14">
        <f>+3.35%</f>
        <v>0.0335</v>
      </c>
      <c r="F1268" s="6">
        <v>247.59</v>
      </c>
      <c r="G1268" s="6">
        <v>247.17</v>
      </c>
      <c r="H1268" s="6">
        <v>253.11</v>
      </c>
      <c r="I1268" s="9">
        <v>1.42628834E8</v>
      </c>
      <c r="J1268" s="6">
        <v>3.572187826678E10</v>
      </c>
    </row>
    <row r="1269">
      <c r="A1269" s="4" t="s">
        <v>10</v>
      </c>
      <c r="B1269" s="5">
        <v>43472.0</v>
      </c>
      <c r="C1269" s="6">
        <v>254.38</v>
      </c>
      <c r="D1269" s="13">
        <f>+1.99</f>
        <v>1.99</v>
      </c>
      <c r="E1269" s="14">
        <f>+0.79%</f>
        <v>0.0079</v>
      </c>
      <c r="F1269" s="6">
        <v>252.69</v>
      </c>
      <c r="G1269" s="6">
        <v>251.69</v>
      </c>
      <c r="H1269" s="6">
        <v>255.95</v>
      </c>
      <c r="I1269" s="9">
        <v>1.031391E8</v>
      </c>
      <c r="J1269" s="6">
        <v>2.620389937486E10</v>
      </c>
    </row>
    <row r="1270">
      <c r="A1270" s="4" t="s">
        <v>10</v>
      </c>
      <c r="B1270" s="5">
        <v>43473.0</v>
      </c>
      <c r="C1270" s="6">
        <v>256.77</v>
      </c>
      <c r="D1270" s="13">
        <f>+2.39</f>
        <v>2.39</v>
      </c>
      <c r="E1270" s="14">
        <f>+0.94%</f>
        <v>0.0094</v>
      </c>
      <c r="F1270" s="6">
        <v>256.82</v>
      </c>
      <c r="G1270" s="6">
        <v>254.0</v>
      </c>
      <c r="H1270" s="6">
        <v>257.31</v>
      </c>
      <c r="I1270" s="9">
        <v>1.02512587E8</v>
      </c>
      <c r="J1270" s="6">
        <v>2.622785774356E10</v>
      </c>
    </row>
    <row r="1271">
      <c r="A1271" s="4" t="s">
        <v>10</v>
      </c>
      <c r="B1271" s="5">
        <v>43474.0</v>
      </c>
      <c r="C1271" s="6">
        <v>257.97</v>
      </c>
      <c r="D1271" s="13">
        <f>+1.2</f>
        <v>1.2</v>
      </c>
      <c r="E1271" s="14">
        <f>+0.47%</f>
        <v>0.0047</v>
      </c>
      <c r="F1271" s="6">
        <v>257.56</v>
      </c>
      <c r="G1271" s="6">
        <v>256.19</v>
      </c>
      <c r="H1271" s="6">
        <v>258.91</v>
      </c>
      <c r="I1271" s="9">
        <v>9.5006554E7</v>
      </c>
      <c r="J1271" s="6">
        <v>2.449361562868E10</v>
      </c>
    </row>
    <row r="1272">
      <c r="A1272" s="4" t="s">
        <v>10</v>
      </c>
      <c r="B1272" s="5">
        <v>43475.0</v>
      </c>
      <c r="C1272" s="6">
        <v>258.88</v>
      </c>
      <c r="D1272" s="13">
        <f>+0.91</f>
        <v>0.91</v>
      </c>
      <c r="E1272" s="14">
        <f>+0.35%</f>
        <v>0.0035</v>
      </c>
      <c r="F1272" s="6">
        <v>256.26</v>
      </c>
      <c r="G1272" s="6">
        <v>255.5</v>
      </c>
      <c r="H1272" s="6">
        <v>259.16</v>
      </c>
      <c r="I1272" s="9">
        <v>9.6823923E7</v>
      </c>
      <c r="J1272" s="6">
        <v>2.496310452777E10</v>
      </c>
    </row>
    <row r="1273">
      <c r="A1273" s="4" t="s">
        <v>10</v>
      </c>
      <c r="B1273" s="5">
        <v>43476.0</v>
      </c>
      <c r="C1273" s="6">
        <v>258.98</v>
      </c>
      <c r="D1273" s="13">
        <f>+0.1</f>
        <v>0.1</v>
      </c>
      <c r="E1273" s="14">
        <f>+0.04%</f>
        <v>0.0004</v>
      </c>
      <c r="F1273" s="6">
        <v>257.68</v>
      </c>
      <c r="G1273" s="6">
        <v>257.03</v>
      </c>
      <c r="H1273" s="6">
        <v>259.01</v>
      </c>
      <c r="I1273" s="9">
        <v>7.385811E7</v>
      </c>
      <c r="J1273" s="6">
        <v>1.907983200442E10</v>
      </c>
    </row>
    <row r="1274">
      <c r="A1274" s="4" t="s">
        <v>10</v>
      </c>
      <c r="B1274" s="5">
        <v>43479.0</v>
      </c>
      <c r="C1274" s="6">
        <v>257.4</v>
      </c>
      <c r="D1274" s="11">
        <v>-1.58</v>
      </c>
      <c r="E1274" s="12">
        <v>-0.0061</v>
      </c>
      <c r="F1274" s="6">
        <v>256.86</v>
      </c>
      <c r="G1274" s="6">
        <v>256.41</v>
      </c>
      <c r="H1274" s="6">
        <v>258.3</v>
      </c>
      <c r="I1274" s="9">
        <v>7.0908227E7</v>
      </c>
      <c r="J1274" s="6">
        <v>1.827679428534E10</v>
      </c>
    </row>
    <row r="1275">
      <c r="A1275" s="4" t="s">
        <v>10</v>
      </c>
      <c r="B1275" s="5">
        <v>43480.0</v>
      </c>
      <c r="C1275" s="6">
        <v>260.35</v>
      </c>
      <c r="D1275" s="13">
        <f>+2.95</f>
        <v>2.95</v>
      </c>
      <c r="E1275" s="14">
        <f>+1.15%</f>
        <v>0.0115</v>
      </c>
      <c r="F1275" s="6">
        <v>257.82</v>
      </c>
      <c r="G1275" s="6">
        <v>257.81</v>
      </c>
      <c r="H1275" s="6">
        <v>260.7</v>
      </c>
      <c r="I1275" s="9">
        <v>8.5208271E7</v>
      </c>
      <c r="J1275" s="6">
        <v>2.212348499741E10</v>
      </c>
    </row>
    <row r="1276">
      <c r="A1276" s="4" t="s">
        <v>10</v>
      </c>
      <c r="B1276" s="5">
        <v>43481.0</v>
      </c>
      <c r="C1276" s="6">
        <v>260.98</v>
      </c>
      <c r="D1276" s="13">
        <f>+0.63</f>
        <v>0.63</v>
      </c>
      <c r="E1276" s="14">
        <f>+0.24%</f>
        <v>0.0024</v>
      </c>
      <c r="F1276" s="6">
        <v>260.83</v>
      </c>
      <c r="G1276" s="6">
        <v>260.6</v>
      </c>
      <c r="H1276" s="6">
        <v>261.97</v>
      </c>
      <c r="I1276" s="9">
        <v>7.763671E7</v>
      </c>
      <c r="J1276" s="6">
        <v>2.028033601132E10</v>
      </c>
    </row>
    <row r="1277">
      <c r="A1277" s="4" t="s">
        <v>10</v>
      </c>
      <c r="B1277" s="5">
        <v>43482.0</v>
      </c>
      <c r="C1277" s="6">
        <v>262.96</v>
      </c>
      <c r="D1277" s="13">
        <f>+1.98</f>
        <v>1.98</v>
      </c>
      <c r="E1277" s="14">
        <f>+0.76%</f>
        <v>0.0076</v>
      </c>
      <c r="F1277" s="6">
        <v>260.01</v>
      </c>
      <c r="G1277" s="6">
        <v>259.96</v>
      </c>
      <c r="H1277" s="6">
        <v>263.92</v>
      </c>
      <c r="I1277" s="9">
        <v>9.6118435E7</v>
      </c>
      <c r="J1277" s="6">
        <v>2.518969849332E10</v>
      </c>
    </row>
    <row r="1278">
      <c r="A1278" s="4" t="s">
        <v>10</v>
      </c>
      <c r="B1278" s="5">
        <v>43483.0</v>
      </c>
      <c r="C1278" s="6">
        <v>266.46</v>
      </c>
      <c r="D1278" s="13">
        <f>+3.5</f>
        <v>3.5</v>
      </c>
      <c r="E1278" s="14">
        <f>+1.33%</f>
        <v>0.0133</v>
      </c>
      <c r="F1278" s="6">
        <v>264.98</v>
      </c>
      <c r="G1278" s="6">
        <v>263.0</v>
      </c>
      <c r="H1278" s="6">
        <v>266.98</v>
      </c>
      <c r="I1278" s="9">
        <v>1.27900303E8</v>
      </c>
      <c r="J1278" s="6">
        <v>3.398377067108E10</v>
      </c>
    </row>
    <row r="1279">
      <c r="A1279" s="4" t="s">
        <v>10</v>
      </c>
      <c r="B1279" s="5">
        <v>43486.0</v>
      </c>
      <c r="C1279" s="10"/>
      <c r="D1279" s="7"/>
      <c r="E1279" s="8"/>
      <c r="F1279" s="10"/>
      <c r="G1279" s="10"/>
      <c r="H1279" s="10"/>
      <c r="I1279" s="15"/>
      <c r="J1279" s="10"/>
    </row>
    <row r="1280">
      <c r="A1280" s="4" t="s">
        <v>10</v>
      </c>
      <c r="B1280" s="5">
        <v>43487.0</v>
      </c>
      <c r="C1280" s="6">
        <v>262.86</v>
      </c>
      <c r="D1280" s="11">
        <v>-3.6</v>
      </c>
      <c r="E1280" s="12">
        <v>-0.0135</v>
      </c>
      <c r="F1280" s="6">
        <v>264.82</v>
      </c>
      <c r="G1280" s="6">
        <v>261.06</v>
      </c>
      <c r="H1280" s="6">
        <v>265.06</v>
      </c>
      <c r="I1280" s="9">
        <v>1.15531183E8</v>
      </c>
      <c r="J1280" s="6">
        <v>3.03787381315E10</v>
      </c>
    </row>
    <row r="1281">
      <c r="A1281" s="4" t="s">
        <v>10</v>
      </c>
      <c r="B1281" s="5">
        <v>43488.0</v>
      </c>
      <c r="C1281" s="6">
        <v>263.41</v>
      </c>
      <c r="D1281" s="13">
        <f>+0.55</f>
        <v>0.55</v>
      </c>
      <c r="E1281" s="14">
        <f>+0.21%</f>
        <v>0.0021</v>
      </c>
      <c r="F1281" s="6">
        <v>264.01</v>
      </c>
      <c r="G1281" s="6">
        <v>260.66</v>
      </c>
      <c r="H1281" s="6">
        <v>264.79</v>
      </c>
      <c r="I1281" s="9">
        <v>8.6030287E7</v>
      </c>
      <c r="J1281" s="6">
        <v>2.260838050015E10</v>
      </c>
    </row>
    <row r="1282">
      <c r="A1282" s="4" t="s">
        <v>10</v>
      </c>
      <c r="B1282" s="5">
        <v>43489.0</v>
      </c>
      <c r="C1282" s="6">
        <v>263.55</v>
      </c>
      <c r="D1282" s="13">
        <f>+0.14</f>
        <v>0.14</v>
      </c>
      <c r="E1282" s="14">
        <f>+0.05%</f>
        <v>0.0005</v>
      </c>
      <c r="F1282" s="6">
        <v>263.21</v>
      </c>
      <c r="G1282" s="6">
        <v>262.08</v>
      </c>
      <c r="H1282" s="6">
        <v>264.2</v>
      </c>
      <c r="I1282" s="9">
        <v>5.9204139E7</v>
      </c>
      <c r="J1282" s="6">
        <v>1.558576487879E10</v>
      </c>
    </row>
    <row r="1283">
      <c r="A1283" s="4" t="s">
        <v>10</v>
      </c>
      <c r="B1283" s="5">
        <v>43490.0</v>
      </c>
      <c r="C1283" s="6">
        <v>265.78</v>
      </c>
      <c r="D1283" s="13">
        <f>+2.23</f>
        <v>2.23</v>
      </c>
      <c r="E1283" s="14">
        <f>+0.85%</f>
        <v>0.0085</v>
      </c>
      <c r="F1283" s="6">
        <v>265.61</v>
      </c>
      <c r="G1283" s="6">
        <v>263.66</v>
      </c>
      <c r="H1283" s="6">
        <v>266.7</v>
      </c>
      <c r="I1283" s="9">
        <v>9.6883358E7</v>
      </c>
      <c r="J1283" s="6">
        <v>2.575773550851E10</v>
      </c>
    </row>
    <row r="1284">
      <c r="A1284" s="4" t="s">
        <v>10</v>
      </c>
      <c r="B1284" s="5">
        <v>43493.0</v>
      </c>
      <c r="C1284" s="6">
        <v>263.76</v>
      </c>
      <c r="D1284" s="11">
        <v>-2.02</v>
      </c>
      <c r="E1284" s="12">
        <v>-0.0076</v>
      </c>
      <c r="F1284" s="6">
        <v>263.39</v>
      </c>
      <c r="G1284" s="6">
        <v>261.79</v>
      </c>
      <c r="H1284" s="6">
        <v>263.83</v>
      </c>
      <c r="I1284" s="9">
        <v>8.5613655E7</v>
      </c>
      <c r="J1284" s="6">
        <v>2.254774257764E10</v>
      </c>
    </row>
    <row r="1285">
      <c r="A1285" s="4" t="s">
        <v>10</v>
      </c>
      <c r="B1285" s="5">
        <v>43494.0</v>
      </c>
      <c r="C1285" s="6">
        <v>263.41</v>
      </c>
      <c r="D1285" s="11">
        <v>-0.35</v>
      </c>
      <c r="E1285" s="12">
        <v>-0.0013</v>
      </c>
      <c r="F1285" s="6">
        <v>263.92</v>
      </c>
      <c r="G1285" s="6">
        <v>262.48</v>
      </c>
      <c r="H1285" s="6">
        <v>264.55</v>
      </c>
      <c r="I1285" s="9">
        <v>6.6136334E7</v>
      </c>
      <c r="J1285" s="6">
        <v>1.74274169406E10</v>
      </c>
    </row>
    <row r="1286">
      <c r="A1286" s="4" t="s">
        <v>10</v>
      </c>
      <c r="B1286" s="5">
        <v>43495.0</v>
      </c>
      <c r="C1286" s="6">
        <v>267.58</v>
      </c>
      <c r="D1286" s="13">
        <f>+4.17</f>
        <v>4.17</v>
      </c>
      <c r="E1286" s="14">
        <f>+1.58%</f>
        <v>0.0158</v>
      </c>
      <c r="F1286" s="6">
        <v>265.1</v>
      </c>
      <c r="G1286" s="6">
        <v>264.25</v>
      </c>
      <c r="H1286" s="6">
        <v>268.52</v>
      </c>
      <c r="I1286" s="9">
        <v>9.2473671E7</v>
      </c>
      <c r="J1286" s="6">
        <v>2.465170655773E10</v>
      </c>
    </row>
    <row r="1287">
      <c r="A1287" s="4" t="s">
        <v>10</v>
      </c>
      <c r="B1287" s="5">
        <v>43496.0</v>
      </c>
      <c r="C1287" s="6">
        <v>269.93</v>
      </c>
      <c r="D1287" s="13">
        <f>+2.35</f>
        <v>2.35</v>
      </c>
      <c r="E1287" s="14">
        <f>+0.88%</f>
        <v>0.0088</v>
      </c>
      <c r="F1287" s="6">
        <v>267.51</v>
      </c>
      <c r="G1287" s="6">
        <v>267.27</v>
      </c>
      <c r="H1287" s="6">
        <v>270.47</v>
      </c>
      <c r="I1287" s="9">
        <v>1.04012073E8</v>
      </c>
      <c r="J1287" s="6">
        <v>2.802595168502E10</v>
      </c>
    </row>
    <row r="1288">
      <c r="A1288" s="4" t="s">
        <v>10</v>
      </c>
      <c r="B1288" s="5">
        <v>43497.0</v>
      </c>
      <c r="C1288" s="6">
        <v>270.06</v>
      </c>
      <c r="D1288" s="13">
        <f>+0.13</f>
        <v>0.13</v>
      </c>
      <c r="E1288" s="14">
        <f>+0.05%</f>
        <v>0.0005</v>
      </c>
      <c r="F1288" s="6">
        <v>270.15</v>
      </c>
      <c r="G1288" s="6">
        <v>269.18</v>
      </c>
      <c r="H1288" s="6">
        <v>271.2</v>
      </c>
      <c r="I1288" s="9">
        <v>8.5782524E7</v>
      </c>
      <c r="J1288" s="6">
        <v>2.31725898128E10</v>
      </c>
    </row>
    <row r="1289">
      <c r="A1289" s="4" t="s">
        <v>10</v>
      </c>
      <c r="B1289" s="5">
        <v>43500.0</v>
      </c>
      <c r="C1289" s="6">
        <v>271.96</v>
      </c>
      <c r="D1289" s="13">
        <f>+1.9</f>
        <v>1.9</v>
      </c>
      <c r="E1289" s="14">
        <f>+0.7%</f>
        <v>0.007</v>
      </c>
      <c r="F1289" s="6">
        <v>270.11</v>
      </c>
      <c r="G1289" s="6">
        <v>269.36</v>
      </c>
      <c r="H1289" s="6">
        <v>272.03</v>
      </c>
      <c r="I1289" s="9">
        <v>6.0744844E7</v>
      </c>
      <c r="J1289" s="6">
        <v>1.646161442175E10</v>
      </c>
    </row>
    <row r="1290">
      <c r="A1290" s="4" t="s">
        <v>10</v>
      </c>
      <c r="B1290" s="5">
        <v>43501.0</v>
      </c>
      <c r="C1290" s="6">
        <v>273.1</v>
      </c>
      <c r="D1290" s="13">
        <f>+1.14</f>
        <v>1.14</v>
      </c>
      <c r="E1290" s="14">
        <f>+0.42%</f>
        <v>0.0042</v>
      </c>
      <c r="F1290" s="6">
        <v>272.44</v>
      </c>
      <c r="G1290" s="6">
        <v>271.88</v>
      </c>
      <c r="H1290" s="6">
        <v>273.44</v>
      </c>
      <c r="I1290" s="9">
        <v>7.9552774E7</v>
      </c>
      <c r="J1290" s="6">
        <v>2.170261409817E10</v>
      </c>
    </row>
    <row r="1291">
      <c r="A1291" s="4" t="s">
        <v>10</v>
      </c>
      <c r="B1291" s="5">
        <v>43502.0</v>
      </c>
      <c r="C1291" s="6">
        <v>272.74</v>
      </c>
      <c r="D1291" s="11">
        <v>-0.36</v>
      </c>
      <c r="E1291" s="12">
        <v>-0.0013</v>
      </c>
      <c r="F1291" s="6">
        <v>272.79</v>
      </c>
      <c r="G1291" s="6">
        <v>271.92</v>
      </c>
      <c r="H1291" s="6">
        <v>273.34</v>
      </c>
      <c r="I1291" s="9">
        <v>5.8347791E7</v>
      </c>
      <c r="J1291" s="6">
        <v>1.591123456235E10</v>
      </c>
    </row>
    <row r="1292">
      <c r="A1292" s="4" t="s">
        <v>10</v>
      </c>
      <c r="B1292" s="5">
        <v>43503.0</v>
      </c>
      <c r="C1292" s="6">
        <v>270.14</v>
      </c>
      <c r="D1292" s="11">
        <v>-2.6</v>
      </c>
      <c r="E1292" s="12">
        <v>-0.0095</v>
      </c>
      <c r="F1292" s="6">
        <v>270.94</v>
      </c>
      <c r="G1292" s="6">
        <v>268.29</v>
      </c>
      <c r="H1292" s="6">
        <v>271.55</v>
      </c>
      <c r="I1292" s="9">
        <v>9.5481961E7</v>
      </c>
      <c r="J1292" s="6">
        <v>2.576438856078E10</v>
      </c>
    </row>
    <row r="1293">
      <c r="A1293" s="4" t="s">
        <v>10</v>
      </c>
      <c r="B1293" s="5">
        <v>43504.0</v>
      </c>
      <c r="C1293" s="6">
        <v>270.47</v>
      </c>
      <c r="D1293" s="13">
        <f>+0.33</f>
        <v>0.33</v>
      </c>
      <c r="E1293" s="14">
        <f>+0.12%</f>
        <v>0.0012</v>
      </c>
      <c r="F1293" s="6">
        <v>268.75</v>
      </c>
      <c r="G1293" s="6">
        <v>267.83</v>
      </c>
      <c r="H1293" s="6">
        <v>270.58</v>
      </c>
      <c r="I1293" s="9">
        <v>7.5788861E7</v>
      </c>
      <c r="J1293" s="6">
        <v>2.040349927793E10</v>
      </c>
    </row>
    <row r="1294">
      <c r="A1294" s="4" t="s">
        <v>10</v>
      </c>
      <c r="B1294" s="5">
        <v>43507.0</v>
      </c>
      <c r="C1294" s="6">
        <v>270.62</v>
      </c>
      <c r="D1294" s="13">
        <f>+0.15</f>
        <v>0.15</v>
      </c>
      <c r="E1294" s="14">
        <f>+0.06%</f>
        <v>0.0006</v>
      </c>
      <c r="F1294" s="6">
        <v>271.2</v>
      </c>
      <c r="G1294" s="6">
        <v>270.03</v>
      </c>
      <c r="H1294" s="6">
        <v>271.49</v>
      </c>
      <c r="I1294" s="9">
        <v>6.8021423E7</v>
      </c>
      <c r="J1294" s="6">
        <v>1.841010242474E10</v>
      </c>
    </row>
    <row r="1295">
      <c r="A1295" s="4" t="s">
        <v>10</v>
      </c>
      <c r="B1295" s="5">
        <v>43508.0</v>
      </c>
      <c r="C1295" s="6">
        <v>274.1</v>
      </c>
      <c r="D1295" s="13">
        <f>+3.48</f>
        <v>3.48</v>
      </c>
      <c r="E1295" s="14">
        <f>+1.29%</f>
        <v>0.0129</v>
      </c>
      <c r="F1295" s="6">
        <v>272.42</v>
      </c>
      <c r="G1295" s="6">
        <v>272.34</v>
      </c>
      <c r="H1295" s="6">
        <v>274.52</v>
      </c>
      <c r="I1295" s="9">
        <v>7.2270221E7</v>
      </c>
      <c r="J1295" s="6">
        <v>1.978760687784E10</v>
      </c>
    </row>
    <row r="1296">
      <c r="A1296" s="4" t="s">
        <v>10</v>
      </c>
      <c r="B1296" s="5">
        <v>43509.0</v>
      </c>
      <c r="C1296" s="6">
        <v>274.99</v>
      </c>
      <c r="D1296" s="13">
        <f>+0.89</f>
        <v>0.89</v>
      </c>
      <c r="E1296" s="14">
        <f>+0.32%</f>
        <v>0.0032</v>
      </c>
      <c r="F1296" s="6">
        <v>275.03</v>
      </c>
      <c r="G1296" s="6">
        <v>274.56</v>
      </c>
      <c r="H1296" s="6">
        <v>275.93</v>
      </c>
      <c r="I1296" s="9">
        <v>6.5277204E7</v>
      </c>
      <c r="J1296" s="6">
        <v>1.796390911854E10</v>
      </c>
    </row>
    <row r="1297">
      <c r="A1297" s="4" t="s">
        <v>10</v>
      </c>
      <c r="B1297" s="5">
        <v>43510.0</v>
      </c>
      <c r="C1297" s="6">
        <v>274.38</v>
      </c>
      <c r="D1297" s="11">
        <v>-0.61</v>
      </c>
      <c r="E1297" s="12">
        <v>-0.0022</v>
      </c>
      <c r="F1297" s="6">
        <v>273.78</v>
      </c>
      <c r="G1297" s="6">
        <v>272.87</v>
      </c>
      <c r="H1297" s="6">
        <v>275.64</v>
      </c>
      <c r="I1297" s="9">
        <v>8.3234396E7</v>
      </c>
      <c r="J1297" s="6">
        <v>2.283786942713E10</v>
      </c>
    </row>
    <row r="1298">
      <c r="A1298" s="4" t="s">
        <v>10</v>
      </c>
      <c r="B1298" s="5">
        <v>43511.0</v>
      </c>
      <c r="C1298" s="6">
        <v>277.37</v>
      </c>
      <c r="D1298" s="13">
        <f>+2.99</f>
        <v>2.99</v>
      </c>
      <c r="E1298" s="14">
        <f>+1.09%</f>
        <v>0.0109</v>
      </c>
      <c r="F1298" s="6">
        <v>276.36</v>
      </c>
      <c r="G1298" s="6">
        <v>276.13</v>
      </c>
      <c r="H1298" s="6">
        <v>277.41</v>
      </c>
      <c r="I1298" s="9">
        <v>9.7088659E7</v>
      </c>
      <c r="J1298" s="6">
        <v>2.686138738113E10</v>
      </c>
    </row>
    <row r="1299">
      <c r="A1299" s="4" t="s">
        <v>10</v>
      </c>
      <c r="B1299" s="5">
        <v>43514.0</v>
      </c>
      <c r="C1299" s="10"/>
      <c r="D1299" s="7"/>
      <c r="E1299" s="8"/>
      <c r="F1299" s="10"/>
      <c r="G1299" s="10"/>
      <c r="H1299" s="10"/>
      <c r="I1299" s="15"/>
      <c r="J1299" s="10"/>
    </row>
    <row r="1300">
      <c r="A1300" s="4" t="s">
        <v>10</v>
      </c>
      <c r="B1300" s="5">
        <v>43515.0</v>
      </c>
      <c r="C1300" s="6">
        <v>277.85</v>
      </c>
      <c r="D1300" s="13">
        <f>+0.48</f>
        <v>0.48</v>
      </c>
      <c r="E1300" s="14">
        <f>+0.17%</f>
        <v>0.0017</v>
      </c>
      <c r="F1300" s="6">
        <v>276.48</v>
      </c>
      <c r="G1300" s="6">
        <v>276.47</v>
      </c>
      <c r="H1300" s="6">
        <v>278.58</v>
      </c>
      <c r="I1300" s="9">
        <v>5.9120804E7</v>
      </c>
      <c r="J1300" s="6">
        <v>1.642118719125E10</v>
      </c>
    </row>
    <row r="1301">
      <c r="A1301" s="4" t="s">
        <v>10</v>
      </c>
      <c r="B1301" s="5">
        <v>43516.0</v>
      </c>
      <c r="C1301" s="6">
        <v>278.41</v>
      </c>
      <c r="D1301" s="13">
        <f>+0.56</f>
        <v>0.56</v>
      </c>
      <c r="E1301" s="14">
        <f>+0.2%</f>
        <v>0.002</v>
      </c>
      <c r="F1301" s="6">
        <v>277.81</v>
      </c>
      <c r="G1301" s="6">
        <v>277.25</v>
      </c>
      <c r="H1301" s="6">
        <v>278.92</v>
      </c>
      <c r="I1301" s="9">
        <v>7.6610767E7</v>
      </c>
      <c r="J1301" s="6">
        <v>2.130975888703E10</v>
      </c>
    </row>
    <row r="1302">
      <c r="A1302" s="4" t="s">
        <v>10</v>
      </c>
      <c r="B1302" s="5">
        <v>43517.0</v>
      </c>
      <c r="C1302" s="6">
        <v>277.42</v>
      </c>
      <c r="D1302" s="11">
        <v>-0.99</v>
      </c>
      <c r="E1302" s="12">
        <v>-0.0036</v>
      </c>
      <c r="F1302" s="6">
        <v>277.7</v>
      </c>
      <c r="G1302" s="6">
        <v>276.35</v>
      </c>
      <c r="H1302" s="6">
        <v>278.1</v>
      </c>
      <c r="I1302" s="9">
        <v>6.4214727E7</v>
      </c>
      <c r="J1302" s="6">
        <v>1.780881699552E10</v>
      </c>
    </row>
    <row r="1303">
      <c r="A1303" s="4" t="s">
        <v>10</v>
      </c>
      <c r="B1303" s="5">
        <v>43518.0</v>
      </c>
      <c r="C1303" s="6">
        <v>279.14</v>
      </c>
      <c r="D1303" s="13">
        <f>+1.72</f>
        <v>1.72</v>
      </c>
      <c r="E1303" s="14">
        <f>+0.62%</f>
        <v>0.0062</v>
      </c>
      <c r="F1303" s="6">
        <v>278.11</v>
      </c>
      <c r="G1303" s="6">
        <v>277.4</v>
      </c>
      <c r="H1303" s="6">
        <v>279.36</v>
      </c>
      <c r="I1303" s="9">
        <v>7.8114616E7</v>
      </c>
      <c r="J1303" s="6">
        <v>2.17653425442E10</v>
      </c>
    </row>
    <row r="1304">
      <c r="A1304" s="4" t="s">
        <v>10</v>
      </c>
      <c r="B1304" s="5">
        <v>43521.0</v>
      </c>
      <c r="C1304" s="6">
        <v>279.52</v>
      </c>
      <c r="D1304" s="13">
        <f>+0.38</f>
        <v>0.38</v>
      </c>
      <c r="E1304" s="14">
        <f>+0.14%</f>
        <v>0.0014</v>
      </c>
      <c r="F1304" s="6">
        <v>280.73</v>
      </c>
      <c r="G1304" s="6">
        <v>279.43</v>
      </c>
      <c r="H1304" s="6">
        <v>281.31</v>
      </c>
      <c r="I1304" s="9">
        <v>6.9030699E7</v>
      </c>
      <c r="J1304" s="6">
        <v>1.934478018282E10</v>
      </c>
    </row>
    <row r="1305">
      <c r="A1305" s="4" t="s">
        <v>10</v>
      </c>
      <c r="B1305" s="5">
        <v>43522.0</v>
      </c>
      <c r="C1305" s="6">
        <v>279.32</v>
      </c>
      <c r="D1305" s="11">
        <v>-0.2</v>
      </c>
      <c r="E1305" s="12">
        <v>-7.0E-4</v>
      </c>
      <c r="F1305" s="6">
        <v>279.13</v>
      </c>
      <c r="G1305" s="6">
        <v>278.9</v>
      </c>
      <c r="H1305" s="6">
        <v>280.3</v>
      </c>
      <c r="I1305" s="9">
        <v>5.6844101E7</v>
      </c>
      <c r="J1305" s="6">
        <v>1.589136540564E10</v>
      </c>
    </row>
    <row r="1306">
      <c r="A1306" s="4" t="s">
        <v>10</v>
      </c>
      <c r="B1306" s="5">
        <v>43523.0</v>
      </c>
      <c r="C1306" s="6">
        <v>279.2</v>
      </c>
      <c r="D1306" s="11">
        <v>-0.12</v>
      </c>
      <c r="E1306" s="12">
        <v>-4.0E-4</v>
      </c>
      <c r="F1306" s="6">
        <v>278.52</v>
      </c>
      <c r="G1306" s="6">
        <v>277.48</v>
      </c>
      <c r="H1306" s="6">
        <v>279.59</v>
      </c>
      <c r="I1306" s="9">
        <v>5.692157E7</v>
      </c>
      <c r="J1306" s="6">
        <v>1.58696713075E10</v>
      </c>
    </row>
    <row r="1307">
      <c r="A1307" s="4" t="s">
        <v>10</v>
      </c>
      <c r="B1307" s="5">
        <v>43524.0</v>
      </c>
      <c r="C1307" s="6">
        <v>278.68</v>
      </c>
      <c r="D1307" s="11">
        <v>-0.52</v>
      </c>
      <c r="E1307" s="12">
        <v>-0.0019</v>
      </c>
      <c r="F1307" s="6">
        <v>278.96</v>
      </c>
      <c r="G1307" s="6">
        <v>278.32</v>
      </c>
      <c r="H1307" s="6">
        <v>279.45</v>
      </c>
      <c r="I1307" s="9">
        <v>6.9268293E7</v>
      </c>
      <c r="J1307" s="6">
        <v>1.931332611327E10</v>
      </c>
    </row>
    <row r="1308">
      <c r="A1308" s="4" t="s">
        <v>10</v>
      </c>
      <c r="B1308" s="5">
        <v>43525.0</v>
      </c>
      <c r="C1308" s="6">
        <v>280.42</v>
      </c>
      <c r="D1308" s="13">
        <f>+1.74</f>
        <v>1.74</v>
      </c>
      <c r="E1308" s="14">
        <f>+0.62%</f>
        <v>0.0062</v>
      </c>
      <c r="F1308" s="6">
        <v>280.44</v>
      </c>
      <c r="G1308" s="6">
        <v>278.82</v>
      </c>
      <c r="H1308" s="6">
        <v>280.88</v>
      </c>
      <c r="I1308" s="9">
        <v>7.8880548E7</v>
      </c>
      <c r="J1308" s="6">
        <v>2.209404365205E10</v>
      </c>
    </row>
    <row r="1309">
      <c r="A1309" s="4" t="s">
        <v>10</v>
      </c>
      <c r="B1309" s="5">
        <v>43528.0</v>
      </c>
      <c r="C1309" s="6">
        <v>279.4</v>
      </c>
      <c r="D1309" s="11">
        <v>-1.02</v>
      </c>
      <c r="E1309" s="12">
        <v>-0.0036</v>
      </c>
      <c r="F1309" s="6">
        <v>281.6</v>
      </c>
      <c r="G1309" s="6">
        <v>276.84</v>
      </c>
      <c r="H1309" s="6">
        <v>281.87</v>
      </c>
      <c r="I1309" s="9">
        <v>1.06494637E8</v>
      </c>
      <c r="J1309" s="6">
        <v>2.973016204979E10</v>
      </c>
    </row>
    <row r="1310">
      <c r="A1310" s="4" t="s">
        <v>10</v>
      </c>
      <c r="B1310" s="5">
        <v>43529.0</v>
      </c>
      <c r="C1310" s="6">
        <v>279.02</v>
      </c>
      <c r="D1310" s="11">
        <v>-0.38</v>
      </c>
      <c r="E1310" s="12">
        <v>-0.0014</v>
      </c>
      <c r="F1310" s="6">
        <v>279.54</v>
      </c>
      <c r="G1310" s="6">
        <v>278.41</v>
      </c>
      <c r="H1310" s="6">
        <v>279.76</v>
      </c>
      <c r="I1310" s="9">
        <v>5.9114559E7</v>
      </c>
      <c r="J1310" s="6">
        <v>1.650461658772E10</v>
      </c>
    </row>
    <row r="1311">
      <c r="A1311" s="4" t="s">
        <v>10</v>
      </c>
      <c r="B1311" s="5">
        <v>43530.0</v>
      </c>
      <c r="C1311" s="6">
        <v>277.33</v>
      </c>
      <c r="D1311" s="11">
        <v>-1.69</v>
      </c>
      <c r="E1311" s="12">
        <v>-0.0061</v>
      </c>
      <c r="F1311" s="6">
        <v>279.15</v>
      </c>
      <c r="G1311" s="6">
        <v>276.97</v>
      </c>
      <c r="H1311" s="6">
        <v>279.16</v>
      </c>
      <c r="I1311" s="9">
        <v>7.5039771E7</v>
      </c>
      <c r="J1311" s="6">
        <v>2.084551183585E10</v>
      </c>
    </row>
    <row r="1312">
      <c r="A1312" s="4" t="s">
        <v>10</v>
      </c>
      <c r="B1312" s="5">
        <v>43531.0</v>
      </c>
      <c r="C1312" s="6">
        <v>275.01</v>
      </c>
      <c r="D1312" s="11">
        <v>-2.32</v>
      </c>
      <c r="E1312" s="12">
        <v>-0.0084</v>
      </c>
      <c r="F1312" s="6">
        <v>276.83</v>
      </c>
      <c r="G1312" s="6">
        <v>274.07</v>
      </c>
      <c r="H1312" s="6">
        <v>276.99</v>
      </c>
      <c r="I1312" s="9">
        <v>9.4885089E7</v>
      </c>
      <c r="J1312" s="6">
        <v>2.612306361862E10</v>
      </c>
    </row>
    <row r="1313">
      <c r="A1313" s="4" t="s">
        <v>10</v>
      </c>
      <c r="B1313" s="5">
        <v>43532.0</v>
      </c>
      <c r="C1313" s="6">
        <v>274.46</v>
      </c>
      <c r="D1313" s="11">
        <v>-0.55</v>
      </c>
      <c r="E1313" s="12">
        <v>-0.002</v>
      </c>
      <c r="F1313" s="6">
        <v>272.94</v>
      </c>
      <c r="G1313" s="6">
        <v>272.42</v>
      </c>
      <c r="H1313" s="6">
        <v>274.65</v>
      </c>
      <c r="I1313" s="9">
        <v>8.5795799E7</v>
      </c>
      <c r="J1313" s="6">
        <v>2.346673988947E10</v>
      </c>
    </row>
    <row r="1314">
      <c r="A1314" s="4" t="s">
        <v>10</v>
      </c>
      <c r="B1314" s="5">
        <v>43535.0</v>
      </c>
      <c r="C1314" s="6">
        <v>278.44</v>
      </c>
      <c r="D1314" s="13">
        <f>+3.98</f>
        <v>3.98</v>
      </c>
      <c r="E1314" s="14">
        <f>+1.45%</f>
        <v>0.0145</v>
      </c>
      <c r="F1314" s="6">
        <v>275.26</v>
      </c>
      <c r="G1314" s="6">
        <v>275.23</v>
      </c>
      <c r="H1314" s="6">
        <v>278.62</v>
      </c>
      <c r="I1314" s="9">
        <v>6.5098897E7</v>
      </c>
      <c r="J1314" s="6">
        <v>1.807272873483E10</v>
      </c>
    </row>
    <row r="1315">
      <c r="A1315" s="4" t="s">
        <v>10</v>
      </c>
      <c r="B1315" s="5">
        <v>43536.0</v>
      </c>
      <c r="C1315" s="6">
        <v>279.49</v>
      </c>
      <c r="D1315" s="13">
        <f>+1.05</f>
        <v>1.05</v>
      </c>
      <c r="E1315" s="14">
        <f>+0.38%</f>
        <v>0.0038</v>
      </c>
      <c r="F1315" s="6">
        <v>279.06</v>
      </c>
      <c r="G1315" s="6">
        <v>278.85</v>
      </c>
      <c r="H1315" s="6">
        <v>280.07</v>
      </c>
      <c r="I1315" s="9">
        <v>7.966753E7</v>
      </c>
      <c r="J1315" s="6">
        <v>2.225449158489E10</v>
      </c>
    </row>
    <row r="1316">
      <c r="A1316" s="4" t="s">
        <v>10</v>
      </c>
      <c r="B1316" s="5">
        <v>43537.0</v>
      </c>
      <c r="C1316" s="6">
        <v>281.34</v>
      </c>
      <c r="D1316" s="13">
        <f>+1.85</f>
        <v>1.85</v>
      </c>
      <c r="E1316" s="14">
        <f>+0.66%</f>
        <v>0.0066</v>
      </c>
      <c r="F1316" s="6">
        <v>280.48</v>
      </c>
      <c r="G1316" s="6">
        <v>280.3</v>
      </c>
      <c r="H1316" s="6">
        <v>282.38</v>
      </c>
      <c r="I1316" s="9">
        <v>8.0639153E7</v>
      </c>
      <c r="J1316" s="6">
        <v>2.267311281695E10</v>
      </c>
    </row>
    <row r="1317">
      <c r="A1317" s="4" t="s">
        <v>10</v>
      </c>
      <c r="B1317" s="5">
        <v>43538.0</v>
      </c>
      <c r="C1317" s="6">
        <v>281.16</v>
      </c>
      <c r="D1317" s="11">
        <v>-0.18</v>
      </c>
      <c r="E1317" s="12">
        <v>-6.0E-4</v>
      </c>
      <c r="F1317" s="6">
        <v>281.37</v>
      </c>
      <c r="G1317" s="6">
        <v>280.67</v>
      </c>
      <c r="H1317" s="6">
        <v>281.84</v>
      </c>
      <c r="I1317" s="9">
        <v>6.7518366E7</v>
      </c>
      <c r="J1317" s="6">
        <v>1.899210148117E10</v>
      </c>
    </row>
    <row r="1318">
      <c r="A1318" s="4" t="s">
        <v>10</v>
      </c>
      <c r="B1318" s="5">
        <v>43539.0</v>
      </c>
      <c r="C1318" s="6">
        <v>281.31</v>
      </c>
      <c r="D1318" s="13">
        <f>+0.15</f>
        <v>0.15</v>
      </c>
      <c r="E1318" s="14">
        <f>+0.05%</f>
        <v>0.0005</v>
      </c>
      <c r="F1318" s="6">
        <v>280.54</v>
      </c>
      <c r="G1318" s="6">
        <v>280.33</v>
      </c>
      <c r="H1318" s="6">
        <v>282.21</v>
      </c>
      <c r="I1318" s="9">
        <v>8.1308979E7</v>
      </c>
      <c r="J1318" s="6">
        <v>2.28634649849E10</v>
      </c>
    </row>
    <row r="1319">
      <c r="A1319" s="4" t="s">
        <v>10</v>
      </c>
      <c r="B1319" s="5">
        <v>43542.0</v>
      </c>
      <c r="C1319" s="6">
        <v>282.33</v>
      </c>
      <c r="D1319" s="13">
        <f>+1.02</f>
        <v>1.02</v>
      </c>
      <c r="E1319" s="14">
        <f>+0.36%</f>
        <v>0.0036</v>
      </c>
      <c r="F1319" s="6">
        <v>281.55</v>
      </c>
      <c r="G1319" s="6">
        <v>281.3</v>
      </c>
      <c r="H1319" s="6">
        <v>282.66</v>
      </c>
      <c r="I1319" s="9">
        <v>6.2199806E7</v>
      </c>
      <c r="J1319" s="6">
        <v>1.754403994585E10</v>
      </c>
    </row>
    <row r="1320">
      <c r="A1320" s="4" t="s">
        <v>10</v>
      </c>
      <c r="B1320" s="5">
        <v>43543.0</v>
      </c>
      <c r="C1320" s="6">
        <v>282.4</v>
      </c>
      <c r="D1320" s="13">
        <f>+0.07</f>
        <v>0.07</v>
      </c>
      <c r="E1320" s="14">
        <f>+0.02%</f>
        <v>0.0002</v>
      </c>
      <c r="F1320" s="6">
        <v>283.51</v>
      </c>
      <c r="G1320" s="6">
        <v>281.41</v>
      </c>
      <c r="H1320" s="6">
        <v>284.36</v>
      </c>
      <c r="I1320" s="9">
        <v>9.0268121E7</v>
      </c>
      <c r="J1320" s="6">
        <v>2.553539920094E10</v>
      </c>
    </row>
    <row r="1321">
      <c r="A1321" s="4" t="s">
        <v>10</v>
      </c>
      <c r="B1321" s="5">
        <v>43544.0</v>
      </c>
      <c r="C1321" s="6">
        <v>281.55</v>
      </c>
      <c r="D1321" s="11">
        <v>-0.85</v>
      </c>
      <c r="E1321" s="12">
        <v>-0.003</v>
      </c>
      <c r="F1321" s="6">
        <v>282.16</v>
      </c>
      <c r="G1321" s="6">
        <v>280.32</v>
      </c>
      <c r="H1321" s="6">
        <v>283.5</v>
      </c>
      <c r="I1321" s="9">
        <v>8.460921E7</v>
      </c>
      <c r="J1321" s="6">
        <v>2.384873050774E10</v>
      </c>
    </row>
    <row r="1322">
      <c r="A1322" s="4" t="s">
        <v>10</v>
      </c>
      <c r="B1322" s="5">
        <v>43545.0</v>
      </c>
      <c r="C1322" s="6">
        <v>284.73</v>
      </c>
      <c r="D1322" s="13">
        <f>+3.18</f>
        <v>3.18</v>
      </c>
      <c r="E1322" s="14">
        <f>+1.13%</f>
        <v>0.0113</v>
      </c>
      <c r="F1322" s="6">
        <v>280.64</v>
      </c>
      <c r="G1322" s="6">
        <v>280.59</v>
      </c>
      <c r="H1322" s="6">
        <v>285.18</v>
      </c>
      <c r="I1322" s="9">
        <v>7.9550375E7</v>
      </c>
      <c r="J1322" s="6">
        <v>2.257250357342E10</v>
      </c>
    </row>
    <row r="1323">
      <c r="A1323" s="4" t="s">
        <v>10</v>
      </c>
      <c r="B1323" s="5">
        <v>43546.0</v>
      </c>
      <c r="C1323" s="6">
        <v>279.25</v>
      </c>
      <c r="D1323" s="11">
        <v>-5.48</v>
      </c>
      <c r="E1323" s="12">
        <v>-0.0192</v>
      </c>
      <c r="F1323" s="6">
        <v>283.22</v>
      </c>
      <c r="G1323" s="6">
        <v>279.18</v>
      </c>
      <c r="H1323" s="6">
        <v>283.8</v>
      </c>
      <c r="I1323" s="9">
        <v>1.22659286E8</v>
      </c>
      <c r="J1323" s="6">
        <v>3.44428489203E10</v>
      </c>
    </row>
    <row r="1324">
      <c r="A1324" s="4" t="s">
        <v>10</v>
      </c>
      <c r="B1324" s="5">
        <v>43549.0</v>
      </c>
      <c r="C1324" s="6">
        <v>279.04</v>
      </c>
      <c r="D1324" s="11">
        <v>-0.21</v>
      </c>
      <c r="E1324" s="12">
        <v>-8.0E-4</v>
      </c>
      <c r="F1324" s="6">
        <v>278.87</v>
      </c>
      <c r="G1324" s="6">
        <v>277.64</v>
      </c>
      <c r="H1324" s="6">
        <v>280.19</v>
      </c>
      <c r="I1324" s="9">
        <v>8.5575197E7</v>
      </c>
      <c r="J1324" s="6">
        <v>2.386624441991E10</v>
      </c>
    </row>
    <row r="1325">
      <c r="A1325" s="4" t="s">
        <v>10</v>
      </c>
      <c r="B1325" s="5">
        <v>43550.0</v>
      </c>
      <c r="C1325" s="6">
        <v>281.12</v>
      </c>
      <c r="D1325" s="13">
        <f>+2.08</f>
        <v>2.08</v>
      </c>
      <c r="E1325" s="14">
        <f>+0.75%</f>
        <v>0.0075</v>
      </c>
      <c r="F1325" s="6">
        <v>280.99</v>
      </c>
      <c r="G1325" s="6">
        <v>279.56</v>
      </c>
      <c r="H1325" s="6">
        <v>282.18</v>
      </c>
      <c r="I1325" s="9">
        <v>6.812592E7</v>
      </c>
      <c r="J1325" s="6">
        <v>1.912551859865E10</v>
      </c>
    </row>
    <row r="1326">
      <c r="A1326" s="4" t="s">
        <v>10</v>
      </c>
      <c r="B1326" s="5">
        <v>43551.0</v>
      </c>
      <c r="C1326" s="6">
        <v>279.65</v>
      </c>
      <c r="D1326" s="11">
        <v>-1.47</v>
      </c>
      <c r="E1326" s="12">
        <v>-0.0052</v>
      </c>
      <c r="F1326" s="6">
        <v>281.11</v>
      </c>
      <c r="G1326" s="6">
        <v>277.93</v>
      </c>
      <c r="H1326" s="6">
        <v>281.76</v>
      </c>
      <c r="I1326" s="9">
        <v>7.2224722E7</v>
      </c>
      <c r="J1326" s="6">
        <v>2.020710435138E10</v>
      </c>
    </row>
    <row r="1327">
      <c r="A1327" s="4" t="s">
        <v>10</v>
      </c>
      <c r="B1327" s="5">
        <v>43552.0</v>
      </c>
      <c r="C1327" s="6">
        <v>280.71</v>
      </c>
      <c r="D1327" s="13">
        <f>+1.06</f>
        <v>1.06</v>
      </c>
      <c r="E1327" s="14">
        <f>+0.38%</f>
        <v>0.0038</v>
      </c>
      <c r="F1327" s="6">
        <v>280.35</v>
      </c>
      <c r="G1327" s="6">
        <v>279.07</v>
      </c>
      <c r="H1327" s="6">
        <v>281.21</v>
      </c>
      <c r="I1327" s="9">
        <v>5.6238545E7</v>
      </c>
      <c r="J1327" s="6">
        <v>1.576498625566E10</v>
      </c>
    </row>
    <row r="1328">
      <c r="A1328" s="4" t="s">
        <v>10</v>
      </c>
      <c r="B1328" s="5">
        <v>43553.0</v>
      </c>
      <c r="C1328" s="6">
        <v>282.48</v>
      </c>
      <c r="D1328" s="13">
        <f>+1.77</f>
        <v>1.77</v>
      </c>
      <c r="E1328" s="14">
        <f>+0.63%</f>
        <v>0.0063</v>
      </c>
      <c r="F1328" s="6">
        <v>282.39</v>
      </c>
      <c r="G1328" s="6">
        <v>281.14</v>
      </c>
      <c r="H1328" s="6">
        <v>282.84</v>
      </c>
      <c r="I1328" s="9">
        <v>8.2186806E7</v>
      </c>
      <c r="J1328" s="6">
        <v>2.318736484555E10</v>
      </c>
    </row>
    <row r="1329">
      <c r="A1329" s="4" t="s">
        <v>10</v>
      </c>
      <c r="B1329" s="5">
        <v>43556.0</v>
      </c>
      <c r="C1329" s="6">
        <v>285.83</v>
      </c>
      <c r="D1329" s="13">
        <f>+3.35</f>
        <v>3.35</v>
      </c>
      <c r="E1329" s="14">
        <f>+1.19%</f>
        <v>0.0119</v>
      </c>
      <c r="F1329" s="6">
        <v>284.7</v>
      </c>
      <c r="G1329" s="6">
        <v>284.4</v>
      </c>
      <c r="H1329" s="6">
        <v>286.16</v>
      </c>
      <c r="I1329" s="9">
        <v>7.7617945E7</v>
      </c>
      <c r="J1329" s="6">
        <v>2.213586689641E10</v>
      </c>
    </row>
    <row r="1330">
      <c r="A1330" s="4" t="s">
        <v>10</v>
      </c>
      <c r="B1330" s="5">
        <v>43557.0</v>
      </c>
      <c r="C1330" s="6">
        <v>285.97</v>
      </c>
      <c r="D1330" s="13">
        <f>+0.14</f>
        <v>0.14</v>
      </c>
      <c r="E1330" s="14">
        <f>+0.05%</f>
        <v>0.0005</v>
      </c>
      <c r="F1330" s="6">
        <v>286.04</v>
      </c>
      <c r="G1330" s="6">
        <v>285.09</v>
      </c>
      <c r="H1330" s="6">
        <v>286.23</v>
      </c>
      <c r="I1330" s="9">
        <v>4.0070351E7</v>
      </c>
      <c r="J1330" s="6">
        <v>1.145192025557E10</v>
      </c>
    </row>
    <row r="1331">
      <c r="A1331" s="4" t="s">
        <v>10</v>
      </c>
      <c r="B1331" s="5">
        <v>43558.0</v>
      </c>
      <c r="C1331" s="6">
        <v>286.42</v>
      </c>
      <c r="D1331" s="13">
        <f>+0.45</f>
        <v>0.45</v>
      </c>
      <c r="E1331" s="14">
        <f>+0.16%</f>
        <v>0.0016</v>
      </c>
      <c r="F1331" s="6">
        <v>287.32</v>
      </c>
      <c r="G1331" s="6">
        <v>285.75</v>
      </c>
      <c r="H1331" s="6">
        <v>287.76</v>
      </c>
      <c r="I1331" s="9">
        <v>6.8243202E7</v>
      </c>
      <c r="J1331" s="6">
        <v>1.957027044832E10</v>
      </c>
    </row>
    <row r="1332">
      <c r="A1332" s="4" t="s">
        <v>10</v>
      </c>
      <c r="B1332" s="5">
        <v>43559.0</v>
      </c>
      <c r="C1332" s="6">
        <v>287.18</v>
      </c>
      <c r="D1332" s="13">
        <f>+0.76</f>
        <v>0.76</v>
      </c>
      <c r="E1332" s="14">
        <f>+0.27%</f>
        <v>0.0027</v>
      </c>
      <c r="F1332" s="6">
        <v>286.78</v>
      </c>
      <c r="G1332" s="6">
        <v>286.01</v>
      </c>
      <c r="H1332" s="6">
        <v>287.46</v>
      </c>
      <c r="I1332" s="9">
        <v>4.8997505E7</v>
      </c>
      <c r="J1332" s="6">
        <v>1.405669613858E10</v>
      </c>
    </row>
    <row r="1333">
      <c r="A1333" s="4" t="s">
        <v>10</v>
      </c>
      <c r="B1333" s="5">
        <v>43560.0</v>
      </c>
      <c r="C1333" s="6">
        <v>288.57</v>
      </c>
      <c r="D1333" s="13">
        <f>+1.39</f>
        <v>1.39</v>
      </c>
      <c r="E1333" s="14">
        <f>+0.48%</f>
        <v>0.0048</v>
      </c>
      <c r="F1333" s="6">
        <v>287.92</v>
      </c>
      <c r="G1333" s="6">
        <v>287.6</v>
      </c>
      <c r="H1333" s="6">
        <v>288.63</v>
      </c>
      <c r="I1333" s="9">
        <v>5.8621729E7</v>
      </c>
      <c r="J1333" s="6">
        <v>1.689639184517E10</v>
      </c>
    </row>
    <row r="1334">
      <c r="A1334" s="4" t="s">
        <v>10</v>
      </c>
      <c r="B1334" s="5">
        <v>43563.0</v>
      </c>
      <c r="C1334" s="6">
        <v>288.79</v>
      </c>
      <c r="D1334" s="13">
        <f>+0.22</f>
        <v>0.22</v>
      </c>
      <c r="E1334" s="14">
        <f>+0.08%</f>
        <v>0.0008</v>
      </c>
      <c r="F1334" s="6">
        <v>288.1</v>
      </c>
      <c r="G1334" s="6">
        <v>287.37</v>
      </c>
      <c r="H1334" s="6">
        <v>288.91</v>
      </c>
      <c r="I1334" s="9">
        <v>5.3566335E7</v>
      </c>
      <c r="J1334" s="6">
        <v>1.544463616151E10</v>
      </c>
    </row>
    <row r="1335">
      <c r="A1335" s="4" t="s">
        <v>10</v>
      </c>
      <c r="B1335" s="5">
        <v>43564.0</v>
      </c>
      <c r="C1335" s="6">
        <v>287.31</v>
      </c>
      <c r="D1335" s="11">
        <v>-1.48</v>
      </c>
      <c r="E1335" s="12">
        <v>-0.0051</v>
      </c>
      <c r="F1335" s="6">
        <v>287.72</v>
      </c>
      <c r="G1335" s="6">
        <v>286.7</v>
      </c>
      <c r="H1335" s="6">
        <v>288.08</v>
      </c>
      <c r="I1335" s="9">
        <v>6.6142316E7</v>
      </c>
      <c r="J1335" s="6">
        <v>1.901499378654E10</v>
      </c>
    </row>
    <row r="1336">
      <c r="A1336" s="4" t="s">
        <v>10</v>
      </c>
      <c r="B1336" s="5">
        <v>43565.0</v>
      </c>
      <c r="C1336" s="6">
        <v>288.29</v>
      </c>
      <c r="D1336" s="13">
        <f>+0.98</f>
        <v>0.98</v>
      </c>
      <c r="E1336" s="14">
        <f>+0.34%</f>
        <v>0.0034</v>
      </c>
      <c r="F1336" s="6">
        <v>287.77</v>
      </c>
      <c r="G1336" s="6">
        <v>287.31</v>
      </c>
      <c r="H1336" s="6">
        <v>288.39</v>
      </c>
      <c r="I1336" s="9">
        <v>5.2601499E7</v>
      </c>
      <c r="J1336" s="6">
        <v>1.514317618951E10</v>
      </c>
    </row>
    <row r="1337">
      <c r="A1337" s="4" t="s">
        <v>10</v>
      </c>
      <c r="B1337" s="5">
        <v>43566.0</v>
      </c>
      <c r="C1337" s="6">
        <v>288.21</v>
      </c>
      <c r="D1337" s="11">
        <v>-0.08</v>
      </c>
      <c r="E1337" s="12">
        <v>-3.0E-4</v>
      </c>
      <c r="F1337" s="6">
        <v>288.83</v>
      </c>
      <c r="G1337" s="6">
        <v>287.58</v>
      </c>
      <c r="H1337" s="6">
        <v>288.84</v>
      </c>
      <c r="I1337" s="9">
        <v>5.50931E7</v>
      </c>
      <c r="J1337" s="6">
        <v>1.587568784119E10</v>
      </c>
    </row>
    <row r="1338">
      <c r="A1338" s="4" t="s">
        <v>10</v>
      </c>
      <c r="B1338" s="5">
        <v>43567.0</v>
      </c>
      <c r="C1338" s="6">
        <v>290.16</v>
      </c>
      <c r="D1338" s="13">
        <f>+1.95</f>
        <v>1.95</v>
      </c>
      <c r="E1338" s="14">
        <f>+0.68%</f>
        <v>0.0068</v>
      </c>
      <c r="F1338" s="6">
        <v>290.0</v>
      </c>
      <c r="G1338" s="6">
        <v>288.26</v>
      </c>
      <c r="H1338" s="6">
        <v>290.47</v>
      </c>
      <c r="I1338" s="9">
        <v>6.9727782E7</v>
      </c>
      <c r="J1338" s="6">
        <v>2.020542190092E10</v>
      </c>
    </row>
    <row r="1339">
      <c r="A1339" s="4" t="s">
        <v>10</v>
      </c>
      <c r="B1339" s="5">
        <v>43570.0</v>
      </c>
      <c r="C1339" s="6">
        <v>289.97</v>
      </c>
      <c r="D1339" s="11">
        <v>-0.19</v>
      </c>
      <c r="E1339" s="12">
        <v>-7.0E-4</v>
      </c>
      <c r="F1339" s="6">
        <v>290.24</v>
      </c>
      <c r="G1339" s="6">
        <v>289.08</v>
      </c>
      <c r="H1339" s="6">
        <v>290.35</v>
      </c>
      <c r="I1339" s="9">
        <v>4.9596685E7</v>
      </c>
      <c r="J1339" s="6">
        <v>1.437168977691E10</v>
      </c>
    </row>
    <row r="1340">
      <c r="A1340" s="4" t="s">
        <v>10</v>
      </c>
      <c r="B1340" s="5">
        <v>43571.0</v>
      </c>
      <c r="C1340" s="6">
        <v>290.16</v>
      </c>
      <c r="D1340" s="13">
        <f>+0.19</f>
        <v>0.19</v>
      </c>
      <c r="E1340" s="14">
        <f>+0.07%</f>
        <v>0.0007</v>
      </c>
      <c r="F1340" s="6">
        <v>290.95</v>
      </c>
      <c r="G1340" s="6">
        <v>289.5</v>
      </c>
      <c r="H1340" s="6">
        <v>291.01</v>
      </c>
      <c r="I1340" s="9">
        <v>5.2153197E7</v>
      </c>
      <c r="J1340" s="6">
        <v>1.513887751605E10</v>
      </c>
    </row>
    <row r="1341">
      <c r="A1341" s="4" t="s">
        <v>10</v>
      </c>
      <c r="B1341" s="5">
        <v>43572.0</v>
      </c>
      <c r="C1341" s="6">
        <v>289.45</v>
      </c>
      <c r="D1341" s="11">
        <v>-0.71</v>
      </c>
      <c r="E1341" s="12">
        <v>-0.0024</v>
      </c>
      <c r="F1341" s="6">
        <v>291.4</v>
      </c>
      <c r="G1341" s="6">
        <v>288.99</v>
      </c>
      <c r="H1341" s="6">
        <v>291.43</v>
      </c>
      <c r="I1341" s="9">
        <v>5.8268295E7</v>
      </c>
      <c r="J1341" s="6">
        <v>1.688444361717E10</v>
      </c>
    </row>
    <row r="1342">
      <c r="A1342" s="4" t="s">
        <v>10</v>
      </c>
      <c r="B1342" s="5">
        <v>43573.0</v>
      </c>
      <c r="C1342" s="6">
        <v>290.02</v>
      </c>
      <c r="D1342" s="13">
        <f>+0.57</f>
        <v>0.57</v>
      </c>
      <c r="E1342" s="14">
        <f>+0.2%</f>
        <v>0.002</v>
      </c>
      <c r="F1342" s="6">
        <v>290.1</v>
      </c>
      <c r="G1342" s="6">
        <v>288.66</v>
      </c>
      <c r="H1342" s="6">
        <v>290.32</v>
      </c>
      <c r="I1342" s="9">
        <v>6.8708513E7</v>
      </c>
      <c r="J1342" s="6">
        <v>1.991143212566E10</v>
      </c>
    </row>
    <row r="1343">
      <c r="A1343" s="4" t="s">
        <v>10</v>
      </c>
      <c r="B1343" s="5">
        <v>43574.0</v>
      </c>
      <c r="C1343" s="10"/>
      <c r="D1343" s="7"/>
      <c r="E1343" s="8"/>
      <c r="F1343" s="10"/>
      <c r="G1343" s="10"/>
      <c r="H1343" s="10"/>
      <c r="I1343" s="15"/>
      <c r="J1343" s="10"/>
    </row>
    <row r="1344">
      <c r="A1344" s="4" t="s">
        <v>10</v>
      </c>
      <c r="B1344" s="5">
        <v>43577.0</v>
      </c>
      <c r="C1344" s="6">
        <v>290.27</v>
      </c>
      <c r="D1344" s="13">
        <f>+0.25</f>
        <v>0.25</v>
      </c>
      <c r="E1344" s="14">
        <f>+0.09%</f>
        <v>0.0009</v>
      </c>
      <c r="F1344" s="6">
        <v>289.17</v>
      </c>
      <c r="G1344" s="6">
        <v>289.07</v>
      </c>
      <c r="H1344" s="6">
        <v>290.44</v>
      </c>
      <c r="I1344" s="9">
        <v>4.016014E7</v>
      </c>
      <c r="J1344" s="6">
        <v>1.164651947425E10</v>
      </c>
    </row>
    <row r="1345">
      <c r="A1345" s="4" t="s">
        <v>10</v>
      </c>
      <c r="B1345" s="5">
        <v>43578.0</v>
      </c>
      <c r="C1345" s="6">
        <v>292.88</v>
      </c>
      <c r="D1345" s="13">
        <f>+2.61</f>
        <v>2.61</v>
      </c>
      <c r="E1345" s="14">
        <f>+0.9%</f>
        <v>0.009</v>
      </c>
      <c r="F1345" s="6">
        <v>290.68</v>
      </c>
      <c r="G1345" s="6">
        <v>290.42</v>
      </c>
      <c r="H1345" s="6">
        <v>293.14</v>
      </c>
      <c r="I1345" s="9">
        <v>5.2246633E7</v>
      </c>
      <c r="J1345" s="6">
        <v>1.526121455398E10</v>
      </c>
    </row>
    <row r="1346">
      <c r="A1346" s="4" t="s">
        <v>10</v>
      </c>
      <c r="B1346" s="5">
        <v>43579.0</v>
      </c>
      <c r="C1346" s="6">
        <v>292.23</v>
      </c>
      <c r="D1346" s="11">
        <v>-0.65</v>
      </c>
      <c r="E1346" s="12">
        <v>-0.0022</v>
      </c>
      <c r="F1346" s="6">
        <v>292.79</v>
      </c>
      <c r="G1346" s="6">
        <v>292.07</v>
      </c>
      <c r="H1346" s="6">
        <v>293.16</v>
      </c>
      <c r="I1346" s="9">
        <v>5.0392914E7</v>
      </c>
      <c r="J1346" s="6">
        <v>1.474398737671E10</v>
      </c>
    </row>
    <row r="1347">
      <c r="A1347" s="4" t="s">
        <v>10</v>
      </c>
      <c r="B1347" s="5">
        <v>43580.0</v>
      </c>
      <c r="C1347" s="6">
        <v>292.05</v>
      </c>
      <c r="D1347" s="11">
        <v>-0.18</v>
      </c>
      <c r="E1347" s="12">
        <v>-6.0E-4</v>
      </c>
      <c r="F1347" s="6">
        <v>292.12</v>
      </c>
      <c r="G1347" s="6">
        <v>290.73</v>
      </c>
      <c r="H1347" s="6">
        <v>292.78</v>
      </c>
      <c r="I1347" s="9">
        <v>5.7770862E7</v>
      </c>
      <c r="J1347" s="6">
        <v>1.687208751879E10</v>
      </c>
    </row>
    <row r="1348">
      <c r="A1348" s="4" t="s">
        <v>10</v>
      </c>
      <c r="B1348" s="5">
        <v>43581.0</v>
      </c>
      <c r="C1348" s="6">
        <v>293.41</v>
      </c>
      <c r="D1348" s="13">
        <f>+1.36</f>
        <v>1.36</v>
      </c>
      <c r="E1348" s="14">
        <f>+0.47%</f>
        <v>0.0047</v>
      </c>
      <c r="F1348" s="6">
        <v>292.1</v>
      </c>
      <c r="G1348" s="6">
        <v>291.24</v>
      </c>
      <c r="H1348" s="6">
        <v>293.49</v>
      </c>
      <c r="I1348" s="9">
        <v>5.0916423E7</v>
      </c>
      <c r="J1348" s="6">
        <v>1.489841598306E10</v>
      </c>
    </row>
    <row r="1349">
      <c r="A1349" s="4" t="s">
        <v>10</v>
      </c>
      <c r="B1349" s="5">
        <v>43584.0</v>
      </c>
      <c r="C1349" s="6">
        <v>293.87</v>
      </c>
      <c r="D1349" s="13">
        <f>+0.46</f>
        <v>0.46</v>
      </c>
      <c r="E1349" s="14">
        <f>+0.16%</f>
        <v>0.0016</v>
      </c>
      <c r="F1349" s="6">
        <v>293.51</v>
      </c>
      <c r="G1349" s="6">
        <v>293.41</v>
      </c>
      <c r="H1349" s="6">
        <v>294.45</v>
      </c>
      <c r="I1349" s="9">
        <v>5.7197747E7</v>
      </c>
      <c r="J1349" s="6">
        <v>1.680750540901E10</v>
      </c>
    </row>
    <row r="1350">
      <c r="A1350" s="4" t="s">
        <v>10</v>
      </c>
      <c r="B1350" s="5">
        <v>43585.0</v>
      </c>
      <c r="C1350" s="6">
        <v>294.02</v>
      </c>
      <c r="D1350" s="13">
        <f>+0.15</f>
        <v>0.15</v>
      </c>
      <c r="E1350" s="14">
        <f>+0.05%</f>
        <v>0.0005</v>
      </c>
      <c r="F1350" s="6">
        <v>293.49</v>
      </c>
      <c r="G1350" s="6">
        <v>291.92</v>
      </c>
      <c r="H1350" s="6">
        <v>294.34</v>
      </c>
      <c r="I1350" s="9">
        <v>8.1111733E7</v>
      </c>
      <c r="J1350" s="6">
        <v>2.381041268354E10</v>
      </c>
    </row>
    <row r="1351">
      <c r="A1351" s="4" t="s">
        <v>10</v>
      </c>
      <c r="B1351" s="5">
        <v>43586.0</v>
      </c>
      <c r="C1351" s="6">
        <v>291.81</v>
      </c>
      <c r="D1351" s="11">
        <v>-2.21</v>
      </c>
      <c r="E1351" s="12">
        <v>-0.0075</v>
      </c>
      <c r="F1351" s="6">
        <v>294.72</v>
      </c>
      <c r="G1351" s="6">
        <v>291.8</v>
      </c>
      <c r="H1351" s="6">
        <v>294.95</v>
      </c>
      <c r="I1351" s="9">
        <v>7.167187E7</v>
      </c>
      <c r="J1351" s="6">
        <v>2.103272985369E10</v>
      </c>
    </row>
    <row r="1352">
      <c r="A1352" s="4" t="s">
        <v>10</v>
      </c>
      <c r="B1352" s="5">
        <v>43587.0</v>
      </c>
      <c r="C1352" s="6">
        <v>291.18</v>
      </c>
      <c r="D1352" s="11">
        <v>-0.63</v>
      </c>
      <c r="E1352" s="12">
        <v>-0.0022</v>
      </c>
      <c r="F1352" s="6">
        <v>291.68</v>
      </c>
      <c r="G1352" s="6">
        <v>289.52</v>
      </c>
      <c r="H1352" s="6">
        <v>292.7</v>
      </c>
      <c r="I1352" s="9">
        <v>6.503017E7</v>
      </c>
      <c r="J1352" s="6">
        <v>1.893038023074E10</v>
      </c>
    </row>
    <row r="1353">
      <c r="A1353" s="4" t="s">
        <v>10</v>
      </c>
      <c r="B1353" s="5">
        <v>43588.0</v>
      </c>
      <c r="C1353" s="6">
        <v>294.03</v>
      </c>
      <c r="D1353" s="13">
        <f>+2.85</f>
        <v>2.85</v>
      </c>
      <c r="E1353" s="14">
        <f>+0.98%</f>
        <v>0.0098</v>
      </c>
      <c r="F1353" s="6">
        <v>292.82</v>
      </c>
      <c r="G1353" s="6">
        <v>291.3</v>
      </c>
      <c r="H1353" s="6">
        <v>294.34</v>
      </c>
      <c r="I1353" s="9">
        <v>5.6543653E7</v>
      </c>
      <c r="J1353" s="6">
        <v>1.659211906029E10</v>
      </c>
    </row>
    <row r="1354">
      <c r="A1354" s="4" t="s">
        <v>10</v>
      </c>
      <c r="B1354" s="5">
        <v>43591.0</v>
      </c>
      <c r="C1354" s="6">
        <v>292.82</v>
      </c>
      <c r="D1354" s="11">
        <v>-1.21</v>
      </c>
      <c r="E1354" s="12">
        <v>-0.0041</v>
      </c>
      <c r="F1354" s="6">
        <v>289.25</v>
      </c>
      <c r="G1354" s="6">
        <v>288.9</v>
      </c>
      <c r="H1354" s="6">
        <v>293.31</v>
      </c>
      <c r="I1354" s="9">
        <v>1.07198069E8</v>
      </c>
      <c r="J1354" s="6">
        <v>3.129680512148E10</v>
      </c>
    </row>
    <row r="1355">
      <c r="A1355" s="4" t="s">
        <v>10</v>
      </c>
      <c r="B1355" s="5">
        <v>43592.0</v>
      </c>
      <c r="C1355" s="6">
        <v>287.93</v>
      </c>
      <c r="D1355" s="11">
        <v>-4.89</v>
      </c>
      <c r="E1355" s="12">
        <v>-0.0167</v>
      </c>
      <c r="F1355" s="6">
        <v>290.15</v>
      </c>
      <c r="G1355" s="6">
        <v>285.81</v>
      </c>
      <c r="H1355" s="6">
        <v>290.81</v>
      </c>
      <c r="I1355" s="9">
        <v>1.44729908E8</v>
      </c>
      <c r="J1355" s="6">
        <v>4.172323095608E10</v>
      </c>
    </row>
    <row r="1356">
      <c r="A1356" s="4" t="s">
        <v>10</v>
      </c>
      <c r="B1356" s="5">
        <v>43593.0</v>
      </c>
      <c r="C1356" s="6">
        <v>287.53</v>
      </c>
      <c r="D1356" s="11">
        <v>-0.4</v>
      </c>
      <c r="E1356" s="12">
        <v>-0.0014</v>
      </c>
      <c r="F1356" s="6">
        <v>287.53</v>
      </c>
      <c r="G1356" s="6">
        <v>286.87</v>
      </c>
      <c r="H1356" s="6">
        <v>289.43</v>
      </c>
      <c r="I1356" s="9">
        <v>9.1568287E7</v>
      </c>
      <c r="J1356" s="6">
        <v>2.6384583941E10</v>
      </c>
    </row>
    <row r="1357">
      <c r="A1357" s="4" t="s">
        <v>10</v>
      </c>
      <c r="B1357" s="5">
        <v>43594.0</v>
      </c>
      <c r="C1357" s="6">
        <v>286.66</v>
      </c>
      <c r="D1357" s="11">
        <v>-0.87</v>
      </c>
      <c r="E1357" s="12">
        <v>-0.003</v>
      </c>
      <c r="F1357" s="6">
        <v>285.23</v>
      </c>
      <c r="G1357" s="6">
        <v>283.3</v>
      </c>
      <c r="H1357" s="6">
        <v>287.33</v>
      </c>
      <c r="I1357" s="9">
        <v>1.03471104E8</v>
      </c>
      <c r="J1357" s="6">
        <v>2.954933737772E10</v>
      </c>
    </row>
    <row r="1358">
      <c r="A1358" s="4" t="s">
        <v>10</v>
      </c>
      <c r="B1358" s="5">
        <v>43595.0</v>
      </c>
      <c r="C1358" s="6">
        <v>288.1</v>
      </c>
      <c r="D1358" s="13">
        <f>+1.44</f>
        <v>1.44</v>
      </c>
      <c r="E1358" s="14">
        <f>+0.5%</f>
        <v>0.005</v>
      </c>
      <c r="F1358" s="6">
        <v>285.62</v>
      </c>
      <c r="G1358" s="6">
        <v>282.3</v>
      </c>
      <c r="H1358" s="6">
        <v>288.94</v>
      </c>
      <c r="I1358" s="9">
        <v>1.12429293E8</v>
      </c>
      <c r="J1358" s="6">
        <v>3.213556894592E10</v>
      </c>
    </row>
    <row r="1359">
      <c r="A1359" s="4" t="s">
        <v>10</v>
      </c>
      <c r="B1359" s="5">
        <v>43598.0</v>
      </c>
      <c r="C1359" s="6">
        <v>280.86</v>
      </c>
      <c r="D1359" s="11">
        <v>-7.24</v>
      </c>
      <c r="E1359" s="12">
        <v>-0.0251</v>
      </c>
      <c r="F1359" s="6">
        <v>282.42</v>
      </c>
      <c r="G1359" s="6">
        <v>279.93</v>
      </c>
      <c r="H1359" s="6">
        <v>283.49</v>
      </c>
      <c r="I1359" s="9">
        <v>1.27290527E8</v>
      </c>
      <c r="J1359" s="6">
        <v>3.58403747879E10</v>
      </c>
    </row>
    <row r="1360">
      <c r="A1360" s="4" t="s">
        <v>10</v>
      </c>
      <c r="B1360" s="5">
        <v>43599.0</v>
      </c>
      <c r="C1360" s="6">
        <v>283.4</v>
      </c>
      <c r="D1360" s="13">
        <f>+2.54</f>
        <v>2.54</v>
      </c>
      <c r="E1360" s="14">
        <f>+0.9%</f>
        <v>0.009</v>
      </c>
      <c r="F1360" s="6">
        <v>281.99</v>
      </c>
      <c r="G1360" s="6">
        <v>281.85</v>
      </c>
      <c r="H1360" s="6">
        <v>285.1</v>
      </c>
      <c r="I1360" s="9">
        <v>7.700323E7</v>
      </c>
      <c r="J1360" s="6">
        <v>2.183883799049E10</v>
      </c>
    </row>
    <row r="1361">
      <c r="A1361" s="4" t="s">
        <v>10</v>
      </c>
      <c r="B1361" s="5">
        <v>43600.0</v>
      </c>
      <c r="C1361" s="6">
        <v>285.06</v>
      </c>
      <c r="D1361" s="13">
        <f>+1.66</f>
        <v>1.66</v>
      </c>
      <c r="E1361" s="14">
        <f>+0.59%</f>
        <v>0.0059</v>
      </c>
      <c r="F1361" s="6">
        <v>281.59</v>
      </c>
      <c r="G1361" s="6">
        <v>281.36</v>
      </c>
      <c r="H1361" s="6">
        <v>285.77</v>
      </c>
      <c r="I1361" s="9">
        <v>7.3956407E7</v>
      </c>
      <c r="J1361" s="6">
        <v>2.102423207578E10</v>
      </c>
    </row>
    <row r="1362">
      <c r="A1362" s="4" t="s">
        <v>10</v>
      </c>
      <c r="B1362" s="5">
        <v>43601.0</v>
      </c>
      <c r="C1362" s="6">
        <v>287.7</v>
      </c>
      <c r="D1362" s="13">
        <f>+2.64</f>
        <v>2.64</v>
      </c>
      <c r="E1362" s="14">
        <f>+0.93%</f>
        <v>0.0093</v>
      </c>
      <c r="F1362" s="6">
        <v>285.84</v>
      </c>
      <c r="G1362" s="6">
        <v>285.76</v>
      </c>
      <c r="H1362" s="6">
        <v>289.21</v>
      </c>
      <c r="I1362" s="9">
        <v>7.6749643E7</v>
      </c>
      <c r="J1362" s="6">
        <v>2.208827961773E10</v>
      </c>
    </row>
    <row r="1363">
      <c r="A1363" s="4" t="s">
        <v>10</v>
      </c>
      <c r="B1363" s="5">
        <v>43602.0</v>
      </c>
      <c r="C1363" s="6">
        <v>285.84</v>
      </c>
      <c r="D1363" s="11">
        <v>-1.86</v>
      </c>
      <c r="E1363" s="12">
        <v>-0.0065</v>
      </c>
      <c r="F1363" s="6">
        <v>285.14</v>
      </c>
      <c r="G1363" s="6">
        <v>285.12</v>
      </c>
      <c r="H1363" s="6">
        <v>288.6</v>
      </c>
      <c r="I1363" s="9">
        <v>1.00353024E8</v>
      </c>
      <c r="J1363" s="6">
        <v>2.876238669407E10</v>
      </c>
    </row>
    <row r="1364">
      <c r="A1364" s="4" t="s">
        <v>10</v>
      </c>
      <c r="B1364" s="5">
        <v>43605.0</v>
      </c>
      <c r="C1364" s="6">
        <v>283.95</v>
      </c>
      <c r="D1364" s="11">
        <v>-1.89</v>
      </c>
      <c r="E1364" s="12">
        <v>-0.0066</v>
      </c>
      <c r="F1364" s="6">
        <v>284.06</v>
      </c>
      <c r="G1364" s="6">
        <v>283.12</v>
      </c>
      <c r="H1364" s="6">
        <v>285.43</v>
      </c>
      <c r="I1364" s="9">
        <v>6.287761E7</v>
      </c>
      <c r="J1364" s="6">
        <v>1.787283395244E10</v>
      </c>
    </row>
    <row r="1365">
      <c r="A1365" s="4" t="s">
        <v>10</v>
      </c>
      <c r="B1365" s="5">
        <v>43606.0</v>
      </c>
      <c r="C1365" s="6">
        <v>286.51</v>
      </c>
      <c r="D1365" s="13">
        <f>+2.56</f>
        <v>2.56</v>
      </c>
      <c r="E1365" s="14">
        <f>+0.9%</f>
        <v>0.009</v>
      </c>
      <c r="F1365" s="6">
        <v>285.83</v>
      </c>
      <c r="G1365" s="6">
        <v>285.55</v>
      </c>
      <c r="H1365" s="6">
        <v>286.93</v>
      </c>
      <c r="I1365" s="9">
        <v>4.6847085E7</v>
      </c>
      <c r="J1365" s="6">
        <v>1.341073793021E10</v>
      </c>
    </row>
    <row r="1366">
      <c r="A1366" s="4" t="s">
        <v>10</v>
      </c>
      <c r="B1366" s="5">
        <v>43607.0</v>
      </c>
      <c r="C1366" s="6">
        <v>285.63</v>
      </c>
      <c r="D1366" s="11">
        <v>-0.88</v>
      </c>
      <c r="E1366" s="12">
        <v>-0.0031</v>
      </c>
      <c r="F1366" s="6">
        <v>285.45</v>
      </c>
      <c r="G1366" s="6">
        <v>285.1</v>
      </c>
      <c r="H1366" s="6">
        <v>286.69</v>
      </c>
      <c r="I1366" s="9">
        <v>4.9482472E7</v>
      </c>
      <c r="J1366" s="6">
        <v>1.414120759703E10</v>
      </c>
    </row>
    <row r="1367">
      <c r="A1367" s="4" t="s">
        <v>10</v>
      </c>
      <c r="B1367" s="5">
        <v>43608.0</v>
      </c>
      <c r="C1367" s="6">
        <v>282.14</v>
      </c>
      <c r="D1367" s="11">
        <v>-3.49</v>
      </c>
      <c r="E1367" s="12">
        <v>-0.0122</v>
      </c>
      <c r="F1367" s="6">
        <v>283.16</v>
      </c>
      <c r="G1367" s="6">
        <v>280.57</v>
      </c>
      <c r="H1367" s="6">
        <v>283.21</v>
      </c>
      <c r="I1367" s="9">
        <v>9.8733847E7</v>
      </c>
      <c r="J1367" s="6">
        <v>2.783770267651E10</v>
      </c>
    </row>
    <row r="1368">
      <c r="A1368" s="4" t="s">
        <v>10</v>
      </c>
      <c r="B1368" s="5">
        <v>43609.0</v>
      </c>
      <c r="C1368" s="6">
        <v>282.78</v>
      </c>
      <c r="D1368" s="13">
        <f>+0.64</f>
        <v>0.64</v>
      </c>
      <c r="E1368" s="14">
        <f>+0.23%</f>
        <v>0.0023</v>
      </c>
      <c r="F1368" s="6">
        <v>283.74</v>
      </c>
      <c r="G1368" s="6">
        <v>282.09</v>
      </c>
      <c r="H1368" s="6">
        <v>284.2</v>
      </c>
      <c r="I1368" s="9">
        <v>5.5268095E7</v>
      </c>
      <c r="J1368" s="6">
        <v>1.564116136816E10</v>
      </c>
    </row>
    <row r="1369">
      <c r="A1369" s="4" t="s">
        <v>10</v>
      </c>
      <c r="B1369" s="5">
        <v>43612.0</v>
      </c>
      <c r="C1369" s="10"/>
      <c r="D1369" s="7"/>
      <c r="E1369" s="8"/>
      <c r="F1369" s="10"/>
      <c r="G1369" s="10"/>
      <c r="H1369" s="10"/>
      <c r="I1369" s="15"/>
      <c r="J1369" s="10"/>
    </row>
    <row r="1370">
      <c r="A1370" s="4" t="s">
        <v>10</v>
      </c>
      <c r="B1370" s="5">
        <v>43613.0</v>
      </c>
      <c r="C1370" s="6">
        <v>280.15</v>
      </c>
      <c r="D1370" s="11">
        <v>-2.63</v>
      </c>
      <c r="E1370" s="12">
        <v>-0.0093</v>
      </c>
      <c r="F1370" s="6">
        <v>283.09</v>
      </c>
      <c r="G1370" s="6">
        <v>280.13</v>
      </c>
      <c r="H1370" s="6">
        <v>284.15</v>
      </c>
      <c r="I1370" s="9">
        <v>7.0029356E7</v>
      </c>
      <c r="J1370" s="6">
        <v>1.974194333362E10</v>
      </c>
    </row>
    <row r="1371">
      <c r="A1371" s="4" t="s">
        <v>10</v>
      </c>
      <c r="B1371" s="5">
        <v>43614.0</v>
      </c>
      <c r="C1371" s="6">
        <v>278.27</v>
      </c>
      <c r="D1371" s="11">
        <v>-1.88</v>
      </c>
      <c r="E1371" s="12">
        <v>-0.0067</v>
      </c>
      <c r="F1371" s="6">
        <v>278.91</v>
      </c>
      <c r="G1371" s="6">
        <v>276.71</v>
      </c>
      <c r="H1371" s="6">
        <v>279.36</v>
      </c>
      <c r="I1371" s="9">
        <v>1.04972927E8</v>
      </c>
      <c r="J1371" s="6">
        <v>2.920607355378E10</v>
      </c>
    </row>
    <row r="1372">
      <c r="A1372" s="4" t="s">
        <v>10</v>
      </c>
      <c r="B1372" s="5">
        <v>43615.0</v>
      </c>
      <c r="C1372" s="6">
        <v>279.03</v>
      </c>
      <c r="D1372" s="13">
        <f>+0.76</f>
        <v>0.76</v>
      </c>
      <c r="E1372" s="14">
        <f>+0.27%</f>
        <v>0.0027</v>
      </c>
      <c r="F1372" s="6">
        <v>279.11</v>
      </c>
      <c r="G1372" s="6">
        <v>277.81</v>
      </c>
      <c r="H1372" s="6">
        <v>280.04</v>
      </c>
      <c r="I1372" s="9">
        <v>6.252378E7</v>
      </c>
      <c r="J1372" s="6">
        <v>1.743894858339E10</v>
      </c>
    </row>
    <row r="1373">
      <c r="A1373" s="4" t="s">
        <v>10</v>
      </c>
      <c r="B1373" s="5">
        <v>43616.0</v>
      </c>
      <c r="C1373" s="6">
        <v>275.27</v>
      </c>
      <c r="D1373" s="11">
        <v>-3.76</v>
      </c>
      <c r="E1373" s="12">
        <v>-0.0135</v>
      </c>
      <c r="F1373" s="6">
        <v>276.2</v>
      </c>
      <c r="G1373" s="6">
        <v>275.24</v>
      </c>
      <c r="H1373" s="6">
        <v>277.12</v>
      </c>
      <c r="I1373" s="9">
        <v>8.6862782E7</v>
      </c>
      <c r="J1373" s="6">
        <v>2.397340502848E10</v>
      </c>
    </row>
    <row r="1374">
      <c r="A1374" s="4" t="s">
        <v>10</v>
      </c>
      <c r="B1374" s="5">
        <v>43619.0</v>
      </c>
      <c r="C1374" s="6">
        <v>274.57</v>
      </c>
      <c r="D1374" s="11">
        <v>-0.7</v>
      </c>
      <c r="E1374" s="12">
        <v>-0.0025</v>
      </c>
      <c r="F1374" s="6">
        <v>275.31</v>
      </c>
      <c r="G1374" s="6">
        <v>273.09</v>
      </c>
      <c r="H1374" s="6">
        <v>276.55</v>
      </c>
      <c r="I1374" s="9">
        <v>9.6427952E7</v>
      </c>
      <c r="J1374" s="6">
        <v>2.649442730575E10</v>
      </c>
    </row>
    <row r="1375">
      <c r="A1375" s="4" t="s">
        <v>10</v>
      </c>
      <c r="B1375" s="5">
        <v>43620.0</v>
      </c>
      <c r="C1375" s="6">
        <v>280.53</v>
      </c>
      <c r="D1375" s="13">
        <f>+5.96</f>
        <v>5.96</v>
      </c>
      <c r="E1375" s="14">
        <f>+2.17%</f>
        <v>0.0217</v>
      </c>
      <c r="F1375" s="6">
        <v>277.12</v>
      </c>
      <c r="G1375" s="6">
        <v>276.62</v>
      </c>
      <c r="H1375" s="6">
        <v>280.68</v>
      </c>
      <c r="I1375" s="9">
        <v>7.7231889E7</v>
      </c>
      <c r="J1375" s="6">
        <v>2.153523590665E10</v>
      </c>
    </row>
    <row r="1376">
      <c r="A1376" s="4" t="s">
        <v>10</v>
      </c>
      <c r="B1376" s="5">
        <v>43621.0</v>
      </c>
      <c r="C1376" s="6">
        <v>282.96</v>
      </c>
      <c r="D1376" s="13">
        <f>+2.43</f>
        <v>2.43</v>
      </c>
      <c r="E1376" s="14">
        <f>+0.87%</f>
        <v>0.0087</v>
      </c>
      <c r="F1376" s="6">
        <v>282.33</v>
      </c>
      <c r="G1376" s="6">
        <v>280.32</v>
      </c>
      <c r="H1376" s="6">
        <v>282.99</v>
      </c>
      <c r="I1376" s="9">
        <v>7.1169717E7</v>
      </c>
      <c r="J1376" s="6">
        <v>2.006494361327E10</v>
      </c>
    </row>
    <row r="1377">
      <c r="A1377" s="4" t="s">
        <v>10</v>
      </c>
      <c r="B1377" s="5">
        <v>43622.0</v>
      </c>
      <c r="C1377" s="6">
        <v>284.8</v>
      </c>
      <c r="D1377" s="13">
        <f>+1.84</f>
        <v>1.84</v>
      </c>
      <c r="E1377" s="14">
        <f>+0.65%</f>
        <v>0.0065</v>
      </c>
      <c r="F1377" s="6">
        <v>283.29</v>
      </c>
      <c r="G1377" s="6">
        <v>282.57</v>
      </c>
      <c r="H1377" s="6">
        <v>285.55</v>
      </c>
      <c r="I1377" s="9">
        <v>6.9430381E7</v>
      </c>
      <c r="J1377" s="6">
        <v>1.972199556556E10</v>
      </c>
    </row>
    <row r="1378">
      <c r="A1378" s="4" t="s">
        <v>10</v>
      </c>
      <c r="B1378" s="5">
        <v>43623.0</v>
      </c>
      <c r="C1378" s="6">
        <v>287.65</v>
      </c>
      <c r="D1378" s="13">
        <f>+2.85</f>
        <v>2.85</v>
      </c>
      <c r="E1378" s="14">
        <f>+1%</f>
        <v>0.01</v>
      </c>
      <c r="F1378" s="6">
        <v>285.93</v>
      </c>
      <c r="G1378" s="6">
        <v>285.74</v>
      </c>
      <c r="H1378" s="6">
        <v>288.85</v>
      </c>
      <c r="I1378" s="9">
        <v>7.4272199E7</v>
      </c>
      <c r="J1378" s="6">
        <v>2.135156029694E10</v>
      </c>
    </row>
    <row r="1379">
      <c r="A1379" s="4" t="s">
        <v>10</v>
      </c>
      <c r="B1379" s="5">
        <v>43626.0</v>
      </c>
      <c r="C1379" s="6">
        <v>288.97</v>
      </c>
      <c r="D1379" s="13">
        <f>+1.32</f>
        <v>1.32</v>
      </c>
      <c r="E1379" s="14">
        <f>+0.46%</f>
        <v>0.0046</v>
      </c>
      <c r="F1379" s="6">
        <v>289.37</v>
      </c>
      <c r="G1379" s="6">
        <v>288.87</v>
      </c>
      <c r="H1379" s="6">
        <v>290.82</v>
      </c>
      <c r="I1379" s="9">
        <v>6.0799053E7</v>
      </c>
      <c r="J1379" s="6">
        <v>1.760553415132E10</v>
      </c>
    </row>
    <row r="1380">
      <c r="A1380" s="4" t="s">
        <v>10</v>
      </c>
      <c r="B1380" s="5">
        <v>43627.0</v>
      </c>
      <c r="C1380" s="6">
        <v>288.9</v>
      </c>
      <c r="D1380" s="11">
        <v>-0.07</v>
      </c>
      <c r="E1380" s="12">
        <v>-2.0E-4</v>
      </c>
      <c r="F1380" s="6">
        <v>290.99</v>
      </c>
      <c r="G1380" s="6">
        <v>288.18</v>
      </c>
      <c r="H1380" s="6">
        <v>291.4</v>
      </c>
      <c r="I1380" s="9">
        <v>5.8641325E7</v>
      </c>
      <c r="J1380" s="6">
        <v>1.697103022714E10</v>
      </c>
    </row>
    <row r="1381">
      <c r="A1381" s="4" t="s">
        <v>10</v>
      </c>
      <c r="B1381" s="5">
        <v>43628.0</v>
      </c>
      <c r="C1381" s="6">
        <v>288.39</v>
      </c>
      <c r="D1381" s="11">
        <v>-0.51</v>
      </c>
      <c r="E1381" s="12">
        <v>-0.0018</v>
      </c>
      <c r="F1381" s="6">
        <v>288.64</v>
      </c>
      <c r="G1381" s="6">
        <v>287.82</v>
      </c>
      <c r="H1381" s="6">
        <v>289.26</v>
      </c>
      <c r="I1381" s="9">
        <v>4.7096312E7</v>
      </c>
      <c r="J1381" s="6">
        <v>1.3583012475E10</v>
      </c>
    </row>
    <row r="1382">
      <c r="A1382" s="4" t="s">
        <v>10</v>
      </c>
      <c r="B1382" s="5">
        <v>43629.0</v>
      </c>
      <c r="C1382" s="6">
        <v>289.58</v>
      </c>
      <c r="D1382" s="13">
        <f>+1.19</f>
        <v>1.19</v>
      </c>
      <c r="E1382" s="14">
        <f>+0.41%</f>
        <v>0.0041</v>
      </c>
      <c r="F1382" s="6">
        <v>289.4</v>
      </c>
      <c r="G1382" s="6">
        <v>288.62</v>
      </c>
      <c r="H1382" s="6">
        <v>289.98</v>
      </c>
      <c r="I1382" s="9">
        <v>4.8945156E7</v>
      </c>
      <c r="J1382" s="6">
        <v>1.415602229786E10</v>
      </c>
    </row>
    <row r="1383">
      <c r="A1383" s="4" t="s">
        <v>10</v>
      </c>
      <c r="B1383" s="5">
        <v>43630.0</v>
      </c>
      <c r="C1383" s="6">
        <v>289.26</v>
      </c>
      <c r="D1383" s="11">
        <v>-0.32</v>
      </c>
      <c r="E1383" s="12">
        <v>-0.0011</v>
      </c>
      <c r="F1383" s="6">
        <v>289.26</v>
      </c>
      <c r="G1383" s="6">
        <v>288.41</v>
      </c>
      <c r="H1383" s="6">
        <v>289.93</v>
      </c>
      <c r="I1383" s="9">
        <v>5.2324716E7</v>
      </c>
      <c r="J1383" s="6">
        <v>1.513031106646E10</v>
      </c>
    </row>
    <row r="1384">
      <c r="A1384" s="4" t="s">
        <v>10</v>
      </c>
      <c r="B1384" s="5">
        <v>43633.0</v>
      </c>
      <c r="C1384" s="6">
        <v>289.37</v>
      </c>
      <c r="D1384" s="13">
        <f>+0.11</f>
        <v>0.11</v>
      </c>
      <c r="E1384" s="14">
        <f>+0.04%</f>
        <v>0.0004</v>
      </c>
      <c r="F1384" s="6">
        <v>289.52</v>
      </c>
      <c r="G1384" s="6">
        <v>289.18</v>
      </c>
      <c r="H1384" s="6">
        <v>290.22</v>
      </c>
      <c r="I1384" s="9">
        <v>3.9205709E7</v>
      </c>
      <c r="J1384" s="6">
        <v>1.135691744573E10</v>
      </c>
    </row>
    <row r="1385">
      <c r="A1385" s="4" t="s">
        <v>10</v>
      </c>
      <c r="B1385" s="5">
        <v>43634.0</v>
      </c>
      <c r="C1385" s="6">
        <v>292.4</v>
      </c>
      <c r="D1385" s="13">
        <f>+3.03</f>
        <v>3.03</v>
      </c>
      <c r="E1385" s="14">
        <f>+1.05%</f>
        <v>0.0105</v>
      </c>
      <c r="F1385" s="6">
        <v>291.39</v>
      </c>
      <c r="G1385" s="6">
        <v>290.99</v>
      </c>
      <c r="H1385" s="6">
        <v>293.57</v>
      </c>
      <c r="I1385" s="9">
        <v>8.5434823E7</v>
      </c>
      <c r="J1385" s="6">
        <v>2.496768024421E10</v>
      </c>
    </row>
    <row r="1386">
      <c r="A1386" s="4" t="s">
        <v>10</v>
      </c>
      <c r="B1386" s="5">
        <v>43635.0</v>
      </c>
      <c r="C1386" s="6">
        <v>293.06</v>
      </c>
      <c r="D1386" s="13">
        <f>+0.66</f>
        <v>0.66</v>
      </c>
      <c r="E1386" s="14">
        <f>+0.23%</f>
        <v>0.0023</v>
      </c>
      <c r="F1386" s="6">
        <v>292.55</v>
      </c>
      <c r="G1386" s="6">
        <v>291.47</v>
      </c>
      <c r="H1386" s="6">
        <v>293.65</v>
      </c>
      <c r="I1386" s="9">
        <v>7.8674377E7</v>
      </c>
      <c r="J1386" s="6">
        <v>2.302756624888E10</v>
      </c>
    </row>
    <row r="1387">
      <c r="A1387" s="4" t="s">
        <v>10</v>
      </c>
      <c r="B1387" s="5">
        <v>43636.0</v>
      </c>
      <c r="C1387" s="6">
        <v>295.86</v>
      </c>
      <c r="D1387" s="13">
        <f>+2.8</f>
        <v>2.8</v>
      </c>
      <c r="E1387" s="14">
        <f>+0.96%</f>
        <v>0.0096</v>
      </c>
      <c r="F1387" s="6">
        <v>296.04</v>
      </c>
      <c r="G1387" s="6">
        <v>293.13</v>
      </c>
      <c r="H1387" s="6">
        <v>296.31</v>
      </c>
      <c r="I1387" s="9">
        <v>1.16570017E8</v>
      </c>
      <c r="J1387" s="6">
        <v>3.442428585922E10</v>
      </c>
    </row>
    <row r="1388">
      <c r="A1388" s="4" t="s">
        <v>10</v>
      </c>
      <c r="B1388" s="5">
        <v>43637.0</v>
      </c>
      <c r="C1388" s="6">
        <v>294.0</v>
      </c>
      <c r="D1388" s="11">
        <v>-1.86</v>
      </c>
      <c r="E1388" s="12">
        <v>-0.0063</v>
      </c>
      <c r="F1388" s="6">
        <v>294.13</v>
      </c>
      <c r="G1388" s="6">
        <v>293.76</v>
      </c>
      <c r="H1388" s="6">
        <v>295.52</v>
      </c>
      <c r="I1388" s="9">
        <v>8.3309466E7</v>
      </c>
      <c r="J1388" s="6">
        <v>2.452130640912E10</v>
      </c>
    </row>
    <row r="1389">
      <c r="A1389" s="4" t="s">
        <v>10</v>
      </c>
      <c r="B1389" s="5">
        <v>43640.0</v>
      </c>
      <c r="C1389" s="6">
        <v>293.64</v>
      </c>
      <c r="D1389" s="11">
        <v>-0.36</v>
      </c>
      <c r="E1389" s="12">
        <v>-0.0012</v>
      </c>
      <c r="F1389" s="6">
        <v>294.23</v>
      </c>
      <c r="G1389" s="6">
        <v>293.47</v>
      </c>
      <c r="H1389" s="6">
        <v>294.58</v>
      </c>
      <c r="I1389" s="9">
        <v>4.758273E7</v>
      </c>
      <c r="J1389" s="6">
        <v>1.398795248936E10</v>
      </c>
    </row>
    <row r="1390">
      <c r="A1390" s="4" t="s">
        <v>10</v>
      </c>
      <c r="B1390" s="5">
        <v>43641.0</v>
      </c>
      <c r="C1390" s="6">
        <v>290.76</v>
      </c>
      <c r="D1390" s="11">
        <v>-2.88</v>
      </c>
      <c r="E1390" s="12">
        <v>-0.0098</v>
      </c>
      <c r="F1390" s="6">
        <v>293.7</v>
      </c>
      <c r="G1390" s="6">
        <v>290.64</v>
      </c>
      <c r="H1390" s="6">
        <v>293.73</v>
      </c>
      <c r="I1390" s="9">
        <v>8.2028656E7</v>
      </c>
      <c r="J1390" s="6">
        <v>2.395212181932E10</v>
      </c>
    </row>
    <row r="1391">
      <c r="A1391" s="4" t="s">
        <v>10</v>
      </c>
      <c r="B1391" s="5">
        <v>43642.0</v>
      </c>
      <c r="C1391" s="6">
        <v>290.47</v>
      </c>
      <c r="D1391" s="11">
        <v>-0.29</v>
      </c>
      <c r="E1391" s="12">
        <v>-0.001</v>
      </c>
      <c r="F1391" s="6">
        <v>291.75</v>
      </c>
      <c r="G1391" s="6">
        <v>290.35</v>
      </c>
      <c r="H1391" s="6">
        <v>292.31</v>
      </c>
      <c r="I1391" s="9">
        <v>5.1584902E7</v>
      </c>
      <c r="J1391" s="6">
        <v>1.501307726216E10</v>
      </c>
    </row>
    <row r="1392">
      <c r="A1392" s="4" t="s">
        <v>10</v>
      </c>
      <c r="B1392" s="5">
        <v>43643.0</v>
      </c>
      <c r="C1392" s="6">
        <v>291.5</v>
      </c>
      <c r="D1392" s="13">
        <f>+1.03</f>
        <v>1.03</v>
      </c>
      <c r="E1392" s="14">
        <f>+0.35%</f>
        <v>0.0035</v>
      </c>
      <c r="F1392" s="6">
        <v>291.31</v>
      </c>
      <c r="G1392" s="6">
        <v>290.89</v>
      </c>
      <c r="H1392" s="6">
        <v>292.06</v>
      </c>
      <c r="I1392" s="9">
        <v>4.0355239E7</v>
      </c>
      <c r="J1392" s="6">
        <v>1.176702822471E10</v>
      </c>
    </row>
    <row r="1393">
      <c r="A1393" s="4" t="s">
        <v>10</v>
      </c>
      <c r="B1393" s="5">
        <v>43644.0</v>
      </c>
      <c r="C1393" s="6">
        <v>293.0</v>
      </c>
      <c r="D1393" s="13">
        <f>+1.5</f>
        <v>1.5</v>
      </c>
      <c r="E1393" s="14">
        <f>+0.51%</f>
        <v>0.0051</v>
      </c>
      <c r="F1393" s="6">
        <v>292.58</v>
      </c>
      <c r="G1393" s="6">
        <v>292.01</v>
      </c>
      <c r="H1393" s="6">
        <v>293.55</v>
      </c>
      <c r="I1393" s="9">
        <v>5.9350929E7</v>
      </c>
      <c r="J1393" s="6">
        <v>1.737779208186E10</v>
      </c>
    </row>
    <row r="1394">
      <c r="A1394" s="4" t="s">
        <v>10</v>
      </c>
      <c r="B1394" s="5">
        <v>43647.0</v>
      </c>
      <c r="C1394" s="6">
        <v>295.66</v>
      </c>
      <c r="D1394" s="13">
        <f>+2.66</f>
        <v>2.66</v>
      </c>
      <c r="E1394" s="14">
        <f>+0.91%</f>
        <v>0.0091</v>
      </c>
      <c r="F1394" s="6">
        <v>296.68</v>
      </c>
      <c r="G1394" s="6">
        <v>294.33</v>
      </c>
      <c r="H1394" s="6">
        <v>296.92</v>
      </c>
      <c r="I1394" s="9">
        <v>7.9107474E7</v>
      </c>
      <c r="J1394" s="6">
        <v>2.338037205856E10</v>
      </c>
    </row>
    <row r="1395">
      <c r="A1395" s="4" t="s">
        <v>10</v>
      </c>
      <c r="B1395" s="5">
        <v>43648.0</v>
      </c>
      <c r="C1395" s="6">
        <v>296.43</v>
      </c>
      <c r="D1395" s="13">
        <f>+0.77</f>
        <v>0.77</v>
      </c>
      <c r="E1395" s="14">
        <f>+0.26%</f>
        <v>0.0026</v>
      </c>
      <c r="F1395" s="6">
        <v>295.61</v>
      </c>
      <c r="G1395" s="6">
        <v>294.68</v>
      </c>
      <c r="H1395" s="6">
        <v>296.49</v>
      </c>
      <c r="I1395" s="9">
        <v>6.1504544E7</v>
      </c>
      <c r="J1395" s="6">
        <v>1.818673672621E10</v>
      </c>
    </row>
    <row r="1396">
      <c r="A1396" s="4" t="s">
        <v>10</v>
      </c>
      <c r="B1396" s="5">
        <v>43649.0</v>
      </c>
      <c r="C1396" s="6">
        <v>298.8</v>
      </c>
      <c r="D1396" s="13">
        <f>+2.37</f>
        <v>2.37</v>
      </c>
      <c r="E1396" s="14">
        <f>+0.8%</f>
        <v>0.008</v>
      </c>
      <c r="F1396" s="6">
        <v>297.18</v>
      </c>
      <c r="G1396" s="6">
        <v>297.02</v>
      </c>
      <c r="H1396" s="6">
        <v>298.82</v>
      </c>
      <c r="I1396" s="9">
        <v>4.0898896E7</v>
      </c>
      <c r="J1396" s="6">
        <v>1.21949560872E10</v>
      </c>
    </row>
    <row r="1397">
      <c r="A1397" s="4" t="s">
        <v>10</v>
      </c>
      <c r="B1397" s="5">
        <v>43650.0</v>
      </c>
      <c r="C1397" s="10"/>
      <c r="D1397" s="7"/>
      <c r="E1397" s="8"/>
      <c r="F1397" s="10"/>
      <c r="G1397" s="10"/>
      <c r="H1397" s="10"/>
      <c r="I1397" s="15"/>
      <c r="J1397" s="10"/>
    </row>
    <row r="1398">
      <c r="A1398" s="4" t="s">
        <v>10</v>
      </c>
      <c r="B1398" s="5">
        <v>43651.0</v>
      </c>
      <c r="C1398" s="6">
        <v>298.46</v>
      </c>
      <c r="D1398" s="11">
        <v>-0.34</v>
      </c>
      <c r="E1398" s="12">
        <v>-0.0011</v>
      </c>
      <c r="F1398" s="6">
        <v>297.44</v>
      </c>
      <c r="G1398" s="6">
        <v>296.01</v>
      </c>
      <c r="H1398" s="6">
        <v>298.64</v>
      </c>
      <c r="I1398" s="9">
        <v>5.1677326E7</v>
      </c>
      <c r="J1398" s="6">
        <v>1.537912587594E10</v>
      </c>
    </row>
    <row r="1399">
      <c r="A1399" s="4" t="s">
        <v>10</v>
      </c>
      <c r="B1399" s="5">
        <v>43654.0</v>
      </c>
      <c r="C1399" s="6">
        <v>296.82</v>
      </c>
      <c r="D1399" s="11">
        <v>-1.64</v>
      </c>
      <c r="E1399" s="12">
        <v>-0.0055</v>
      </c>
      <c r="F1399" s="6">
        <v>297.01</v>
      </c>
      <c r="G1399" s="6">
        <v>296.22</v>
      </c>
      <c r="H1399" s="6">
        <v>298.26</v>
      </c>
      <c r="I1399" s="9">
        <v>4.5841772E7</v>
      </c>
      <c r="J1399" s="6">
        <v>1.360981070122E10</v>
      </c>
    </row>
    <row r="1400">
      <c r="A1400" s="4" t="s">
        <v>10</v>
      </c>
      <c r="B1400" s="5">
        <v>43655.0</v>
      </c>
      <c r="C1400" s="6">
        <v>297.19</v>
      </c>
      <c r="D1400" s="13">
        <f>+0.37</f>
        <v>0.37</v>
      </c>
      <c r="E1400" s="14">
        <f>+0.12%</f>
        <v>0.0012</v>
      </c>
      <c r="F1400" s="6">
        <v>295.54</v>
      </c>
      <c r="G1400" s="6">
        <v>295.48</v>
      </c>
      <c r="H1400" s="6">
        <v>297.52</v>
      </c>
      <c r="I1400" s="9">
        <v>4.1101279E7</v>
      </c>
      <c r="J1400" s="6">
        <v>1.219728493625E10</v>
      </c>
    </row>
    <row r="1401">
      <c r="A1401" s="4" t="s">
        <v>10</v>
      </c>
      <c r="B1401" s="5">
        <v>43656.0</v>
      </c>
      <c r="C1401" s="6">
        <v>298.61</v>
      </c>
      <c r="D1401" s="13">
        <f>+1.42</f>
        <v>1.42</v>
      </c>
      <c r="E1401" s="14">
        <f>+0.48%</f>
        <v>0.0048</v>
      </c>
      <c r="F1401" s="6">
        <v>298.37</v>
      </c>
      <c r="G1401" s="6">
        <v>297.78</v>
      </c>
      <c r="H1401" s="6">
        <v>299.66</v>
      </c>
      <c r="I1401" s="9">
        <v>5.8595558E7</v>
      </c>
      <c r="J1401" s="6">
        <v>1.749596744334E10</v>
      </c>
    </row>
    <row r="1402">
      <c r="A1402" s="4" t="s">
        <v>10</v>
      </c>
      <c r="B1402" s="5">
        <v>43657.0</v>
      </c>
      <c r="C1402" s="6">
        <v>299.31</v>
      </c>
      <c r="D1402" s="13">
        <f>+0.7</f>
        <v>0.7</v>
      </c>
      <c r="E1402" s="14">
        <f>+0.23%</f>
        <v>0.0023</v>
      </c>
      <c r="F1402" s="6">
        <v>299.32</v>
      </c>
      <c r="G1402" s="6">
        <v>298.2</v>
      </c>
      <c r="H1402" s="6">
        <v>299.58</v>
      </c>
      <c r="I1402" s="9">
        <v>5.0889481E7</v>
      </c>
      <c r="J1402" s="6">
        <v>1.521700511978E10</v>
      </c>
    </row>
    <row r="1403">
      <c r="A1403" s="4" t="s">
        <v>10</v>
      </c>
      <c r="B1403" s="5">
        <v>43658.0</v>
      </c>
      <c r="C1403" s="6">
        <v>300.65</v>
      </c>
      <c r="D1403" s="13">
        <f>+1.34</f>
        <v>1.34</v>
      </c>
      <c r="E1403" s="14">
        <f>+0.45%</f>
        <v>0.0045</v>
      </c>
      <c r="F1403" s="6">
        <v>299.85</v>
      </c>
      <c r="G1403" s="6">
        <v>299.51</v>
      </c>
      <c r="H1403" s="6">
        <v>300.73</v>
      </c>
      <c r="I1403" s="9">
        <v>4.035441E7</v>
      </c>
      <c r="J1403" s="6">
        <v>1.211208470463E10</v>
      </c>
    </row>
    <row r="1404">
      <c r="A1404" s="4" t="s">
        <v>10</v>
      </c>
      <c r="B1404" s="5">
        <v>43661.0</v>
      </c>
      <c r="C1404" s="6">
        <v>300.75</v>
      </c>
      <c r="D1404" s="13">
        <f>+0.1</f>
        <v>0.1</v>
      </c>
      <c r="E1404" s="14">
        <f>+0.03%</f>
        <v>0.0003</v>
      </c>
      <c r="F1404" s="6">
        <v>301.13</v>
      </c>
      <c r="G1404" s="6">
        <v>300.19</v>
      </c>
      <c r="H1404" s="6">
        <v>301.13</v>
      </c>
      <c r="I1404" s="9">
        <v>3.3910261E7</v>
      </c>
      <c r="J1404" s="6">
        <v>1.01936143722E10</v>
      </c>
    </row>
    <row r="1405">
      <c r="A1405" s="4" t="s">
        <v>10</v>
      </c>
      <c r="B1405" s="5">
        <v>43662.0</v>
      </c>
      <c r="C1405" s="6">
        <v>299.71</v>
      </c>
      <c r="D1405" s="11">
        <v>-1.04</v>
      </c>
      <c r="E1405" s="12">
        <v>-0.0035</v>
      </c>
      <c r="F1405" s="6">
        <v>300.65</v>
      </c>
      <c r="G1405" s="6">
        <v>299.44</v>
      </c>
      <c r="H1405" s="6">
        <v>300.88</v>
      </c>
      <c r="I1405" s="9">
        <v>4.0567964E7</v>
      </c>
      <c r="J1405" s="6">
        <v>1.217488345545E10</v>
      </c>
    </row>
    <row r="1406">
      <c r="A1406" s="4" t="s">
        <v>10</v>
      </c>
      <c r="B1406" s="5">
        <v>43663.0</v>
      </c>
      <c r="C1406" s="6">
        <v>297.74</v>
      </c>
      <c r="D1406" s="11">
        <v>-1.97</v>
      </c>
      <c r="E1406" s="12">
        <v>-0.0066</v>
      </c>
      <c r="F1406" s="6">
        <v>299.75</v>
      </c>
      <c r="G1406" s="6">
        <v>297.74</v>
      </c>
      <c r="H1406" s="6">
        <v>299.93</v>
      </c>
      <c r="I1406" s="9">
        <v>4.4102443E7</v>
      </c>
      <c r="J1406" s="6">
        <v>1.316655487018E10</v>
      </c>
    </row>
    <row r="1407">
      <c r="A1407" s="4" t="s">
        <v>10</v>
      </c>
      <c r="B1407" s="5">
        <v>43664.0</v>
      </c>
      <c r="C1407" s="6">
        <v>298.83</v>
      </c>
      <c r="D1407" s="13">
        <f>+1.09</f>
        <v>1.09</v>
      </c>
      <c r="E1407" s="14">
        <f>+0.37%</f>
        <v>0.0037</v>
      </c>
      <c r="F1407" s="6">
        <v>297.19</v>
      </c>
      <c r="G1407" s="6">
        <v>296.7</v>
      </c>
      <c r="H1407" s="6">
        <v>299.25</v>
      </c>
      <c r="I1407" s="9">
        <v>5.1701687E7</v>
      </c>
      <c r="J1407" s="6">
        <v>1.540973812482E10</v>
      </c>
    </row>
    <row r="1408">
      <c r="A1408" s="4" t="s">
        <v>10</v>
      </c>
      <c r="B1408" s="5">
        <v>43665.0</v>
      </c>
      <c r="C1408" s="6">
        <v>297.17</v>
      </c>
      <c r="D1408" s="11">
        <v>-1.66</v>
      </c>
      <c r="E1408" s="12">
        <v>-0.0056</v>
      </c>
      <c r="F1408" s="6">
        <v>300.04</v>
      </c>
      <c r="G1408" s="6">
        <v>296.96</v>
      </c>
      <c r="H1408" s="6">
        <v>300.07</v>
      </c>
      <c r="I1408" s="9">
        <v>7.1081238E7</v>
      </c>
      <c r="J1408" s="6">
        <v>2.121917573212E10</v>
      </c>
    </row>
    <row r="1409">
      <c r="A1409" s="4" t="s">
        <v>10</v>
      </c>
      <c r="B1409" s="5">
        <v>43668.0</v>
      </c>
      <c r="C1409" s="6">
        <v>297.9</v>
      </c>
      <c r="D1409" s="13">
        <f>+0.73</f>
        <v>0.73</v>
      </c>
      <c r="E1409" s="14">
        <f>+0.25%</f>
        <v>0.0025</v>
      </c>
      <c r="F1409" s="6">
        <v>297.61</v>
      </c>
      <c r="G1409" s="6">
        <v>297.04</v>
      </c>
      <c r="H1409" s="6">
        <v>298.5</v>
      </c>
      <c r="I1409" s="9">
        <v>4.3687404E7</v>
      </c>
      <c r="J1409" s="6">
        <v>1.300778239436E10</v>
      </c>
    </row>
    <row r="1410">
      <c r="A1410" s="4" t="s">
        <v>10</v>
      </c>
      <c r="B1410" s="5">
        <v>43669.0</v>
      </c>
      <c r="C1410" s="6">
        <v>300.03</v>
      </c>
      <c r="D1410" s="13">
        <f>+2.13</f>
        <v>2.13</v>
      </c>
      <c r="E1410" s="14">
        <f>+0.72%</f>
        <v>0.0072</v>
      </c>
      <c r="F1410" s="6">
        <v>299.14</v>
      </c>
      <c r="G1410" s="6">
        <v>298.22</v>
      </c>
      <c r="H1410" s="6">
        <v>300.03</v>
      </c>
      <c r="I1410" s="9">
        <v>4.4657973E7</v>
      </c>
      <c r="J1410" s="6">
        <v>1.336057297252E10</v>
      </c>
    </row>
    <row r="1411">
      <c r="A1411" s="4" t="s">
        <v>10</v>
      </c>
      <c r="B1411" s="5">
        <v>43670.0</v>
      </c>
      <c r="C1411" s="6">
        <v>301.44</v>
      </c>
      <c r="D1411" s="13">
        <f>+1.41</f>
        <v>1.41</v>
      </c>
      <c r="E1411" s="14">
        <f>+0.47%</f>
        <v>0.0047</v>
      </c>
      <c r="F1411" s="6">
        <v>299.19</v>
      </c>
      <c r="G1411" s="6">
        <v>299.09</v>
      </c>
      <c r="H1411" s="6">
        <v>301.44</v>
      </c>
      <c r="I1411" s="9">
        <v>4.7213232E7</v>
      </c>
      <c r="J1411" s="6">
        <v>1.419089318665E10</v>
      </c>
    </row>
    <row r="1412">
      <c r="A1412" s="4" t="s">
        <v>10</v>
      </c>
      <c r="B1412" s="5">
        <v>43671.0</v>
      </c>
      <c r="C1412" s="6">
        <v>300.0</v>
      </c>
      <c r="D1412" s="11">
        <v>-1.44</v>
      </c>
      <c r="E1412" s="12">
        <v>-0.0048</v>
      </c>
      <c r="F1412" s="6">
        <v>300.94</v>
      </c>
      <c r="G1412" s="6">
        <v>299.11</v>
      </c>
      <c r="H1412" s="6">
        <v>301.0</v>
      </c>
      <c r="I1412" s="9">
        <v>5.5394092E7</v>
      </c>
      <c r="J1412" s="6">
        <v>1.662277734767E10</v>
      </c>
    </row>
    <row r="1413">
      <c r="A1413" s="4" t="s">
        <v>10</v>
      </c>
      <c r="B1413" s="5">
        <v>43672.0</v>
      </c>
      <c r="C1413" s="6">
        <v>302.01</v>
      </c>
      <c r="D1413" s="13">
        <f>+2.01</f>
        <v>2.01</v>
      </c>
      <c r="E1413" s="14">
        <f>+0.67%</f>
        <v>0.0067</v>
      </c>
      <c r="F1413" s="6">
        <v>300.76</v>
      </c>
      <c r="G1413" s="6">
        <v>300.62</v>
      </c>
      <c r="H1413" s="6">
        <v>302.23</v>
      </c>
      <c r="I1413" s="9">
        <v>4.5084077E7</v>
      </c>
      <c r="J1413" s="6">
        <v>1.359680097593E10</v>
      </c>
    </row>
    <row r="1414">
      <c r="A1414" s="4" t="s">
        <v>10</v>
      </c>
      <c r="B1414" s="5">
        <v>43675.0</v>
      </c>
      <c r="C1414" s="6">
        <v>301.46</v>
      </c>
      <c r="D1414" s="11">
        <v>-0.55</v>
      </c>
      <c r="E1414" s="12">
        <v>-0.0018</v>
      </c>
      <c r="F1414" s="6">
        <v>301.88</v>
      </c>
      <c r="G1414" s="6">
        <v>300.85</v>
      </c>
      <c r="H1414" s="6">
        <v>301.93</v>
      </c>
      <c r="I1414" s="9">
        <v>3.8126462E7</v>
      </c>
      <c r="J1414" s="6">
        <v>1.14942783068E10</v>
      </c>
    </row>
    <row r="1415">
      <c r="A1415" s="4" t="s">
        <v>10</v>
      </c>
      <c r="B1415" s="5">
        <v>43676.0</v>
      </c>
      <c r="C1415" s="6">
        <v>300.72</v>
      </c>
      <c r="D1415" s="11">
        <v>-0.74</v>
      </c>
      <c r="E1415" s="12">
        <v>-0.0025</v>
      </c>
      <c r="F1415" s="6">
        <v>299.91</v>
      </c>
      <c r="G1415" s="6">
        <v>299.49</v>
      </c>
      <c r="H1415" s="6">
        <v>301.17</v>
      </c>
      <c r="I1415" s="9">
        <v>4.5849045E7</v>
      </c>
      <c r="J1415" s="6">
        <v>1.378198046812E10</v>
      </c>
    </row>
    <row r="1416">
      <c r="A1416" s="4" t="s">
        <v>10</v>
      </c>
      <c r="B1416" s="5">
        <v>43677.0</v>
      </c>
      <c r="C1416" s="6">
        <v>297.43</v>
      </c>
      <c r="D1416" s="11">
        <v>-3.29</v>
      </c>
      <c r="E1416" s="12">
        <v>-0.0109</v>
      </c>
      <c r="F1416" s="6">
        <v>300.99</v>
      </c>
      <c r="G1416" s="6">
        <v>295.2</v>
      </c>
      <c r="H1416" s="6">
        <v>301.2</v>
      </c>
      <c r="I1416" s="9">
        <v>1.04245162E8</v>
      </c>
      <c r="J1416" s="6">
        <v>3.114170055423E10</v>
      </c>
    </row>
    <row r="1417">
      <c r="A1417" s="4" t="s">
        <v>10</v>
      </c>
      <c r="B1417" s="5">
        <v>43678.0</v>
      </c>
      <c r="C1417" s="6">
        <v>294.84</v>
      </c>
      <c r="D1417" s="11">
        <v>-2.59</v>
      </c>
      <c r="E1417" s="12">
        <v>-0.0087</v>
      </c>
      <c r="F1417" s="6">
        <v>297.6</v>
      </c>
      <c r="G1417" s="6">
        <v>293.96</v>
      </c>
      <c r="H1417" s="6">
        <v>300.87</v>
      </c>
      <c r="I1417" s="9">
        <v>1.42646576E8</v>
      </c>
      <c r="J1417" s="6">
        <v>4.23162250575E10</v>
      </c>
    </row>
    <row r="1418">
      <c r="A1418" s="4" t="s">
        <v>10</v>
      </c>
      <c r="B1418" s="5">
        <v>43679.0</v>
      </c>
      <c r="C1418" s="6">
        <v>292.62</v>
      </c>
      <c r="D1418" s="11">
        <v>-2.22</v>
      </c>
      <c r="E1418" s="12">
        <v>-0.0075</v>
      </c>
      <c r="F1418" s="6">
        <v>293.85</v>
      </c>
      <c r="G1418" s="6">
        <v>290.9</v>
      </c>
      <c r="H1418" s="6">
        <v>294.12</v>
      </c>
      <c r="I1418" s="9">
        <v>1.16749695E8</v>
      </c>
      <c r="J1418" s="6">
        <v>3.415558288884E10</v>
      </c>
    </row>
    <row r="1419">
      <c r="A1419" s="4" t="s">
        <v>10</v>
      </c>
      <c r="B1419" s="5">
        <v>43682.0</v>
      </c>
      <c r="C1419" s="6">
        <v>283.82</v>
      </c>
      <c r="D1419" s="11">
        <v>-8.8</v>
      </c>
      <c r="E1419" s="12">
        <v>-0.0301</v>
      </c>
      <c r="F1419" s="6">
        <v>288.09</v>
      </c>
      <c r="G1419" s="6">
        <v>281.72</v>
      </c>
      <c r="H1419" s="6">
        <v>288.21</v>
      </c>
      <c r="I1419" s="9">
        <v>1.78745449E8</v>
      </c>
      <c r="J1419" s="6">
        <v>5.098798221328E10</v>
      </c>
    </row>
    <row r="1420">
      <c r="A1420" s="4" t="s">
        <v>10</v>
      </c>
      <c r="B1420" s="5">
        <v>43683.0</v>
      </c>
      <c r="C1420" s="6">
        <v>287.8</v>
      </c>
      <c r="D1420" s="13">
        <f>+3.98</f>
        <v>3.98</v>
      </c>
      <c r="E1420" s="14">
        <f>+1.4%</f>
        <v>0.014</v>
      </c>
      <c r="F1420" s="6">
        <v>285.91</v>
      </c>
      <c r="G1420" s="6">
        <v>284.28</v>
      </c>
      <c r="H1420" s="6">
        <v>288.04</v>
      </c>
      <c r="I1420" s="9">
        <v>1.20711682E8</v>
      </c>
      <c r="J1420" s="6">
        <v>3.455178180293E10</v>
      </c>
    </row>
    <row r="1421">
      <c r="A1421" s="4" t="s">
        <v>10</v>
      </c>
      <c r="B1421" s="5">
        <v>43684.0</v>
      </c>
      <c r="C1421" s="6">
        <v>287.97</v>
      </c>
      <c r="D1421" s="13">
        <f>+0.17</f>
        <v>0.17</v>
      </c>
      <c r="E1421" s="14">
        <f>+0.06%</f>
        <v>0.0006</v>
      </c>
      <c r="F1421" s="6">
        <v>284.4</v>
      </c>
      <c r="G1421" s="6">
        <v>282.04</v>
      </c>
      <c r="H1421" s="6">
        <v>288.82</v>
      </c>
      <c r="I1421" s="9">
        <v>1.40572265E8</v>
      </c>
      <c r="J1421" s="6">
        <v>4.024241195932E10</v>
      </c>
    </row>
    <row r="1422">
      <c r="A1422" s="4" t="s">
        <v>10</v>
      </c>
      <c r="B1422" s="5">
        <v>43685.0</v>
      </c>
      <c r="C1422" s="6">
        <v>293.62</v>
      </c>
      <c r="D1422" s="13">
        <f>+5.65</f>
        <v>5.65</v>
      </c>
      <c r="E1422" s="14">
        <f>+1.96%</f>
        <v>0.0196</v>
      </c>
      <c r="F1422" s="6">
        <v>289.62</v>
      </c>
      <c r="G1422" s="6">
        <v>289.01</v>
      </c>
      <c r="H1422" s="6">
        <v>293.62</v>
      </c>
      <c r="I1422" s="9">
        <v>8.7713904E7</v>
      </c>
      <c r="J1422" s="6">
        <v>2.558825948772E10</v>
      </c>
    </row>
    <row r="1423">
      <c r="A1423" s="4" t="s">
        <v>10</v>
      </c>
      <c r="B1423" s="5">
        <v>43686.0</v>
      </c>
      <c r="C1423" s="6">
        <v>291.62</v>
      </c>
      <c r="D1423" s="11">
        <v>-2.0</v>
      </c>
      <c r="E1423" s="12">
        <v>-0.0068</v>
      </c>
      <c r="F1423" s="6">
        <v>292.58</v>
      </c>
      <c r="G1423" s="6">
        <v>289.65</v>
      </c>
      <c r="H1423" s="6">
        <v>293.24</v>
      </c>
      <c r="I1423" s="9">
        <v>9.3729958E7</v>
      </c>
      <c r="J1423" s="6">
        <v>2.734407456359E10</v>
      </c>
    </row>
    <row r="1424">
      <c r="A1424" s="4" t="s">
        <v>10</v>
      </c>
      <c r="B1424" s="5">
        <v>43689.0</v>
      </c>
      <c r="C1424" s="6">
        <v>288.07</v>
      </c>
      <c r="D1424" s="11">
        <v>-3.55</v>
      </c>
      <c r="E1424" s="12">
        <v>-0.0122</v>
      </c>
      <c r="F1424" s="6">
        <v>289.96</v>
      </c>
      <c r="G1424" s="6">
        <v>287.02</v>
      </c>
      <c r="H1424" s="6">
        <v>291.61</v>
      </c>
      <c r="I1424" s="9">
        <v>6.5527632E7</v>
      </c>
      <c r="J1424" s="6">
        <v>1.934226617313E10</v>
      </c>
    </row>
    <row r="1425">
      <c r="A1425" s="4" t="s">
        <v>10</v>
      </c>
      <c r="B1425" s="5">
        <v>43690.0</v>
      </c>
      <c r="C1425" s="6">
        <v>292.55</v>
      </c>
      <c r="D1425" s="13">
        <f>+4.48</f>
        <v>4.48</v>
      </c>
      <c r="E1425" s="14">
        <f>+1.56%</f>
        <v>0.0156</v>
      </c>
      <c r="F1425" s="6">
        <v>287.74</v>
      </c>
      <c r="G1425" s="6">
        <v>287.36</v>
      </c>
      <c r="H1425" s="6">
        <v>294.15</v>
      </c>
      <c r="I1425" s="9">
        <v>9.4792972E7</v>
      </c>
      <c r="J1425" s="6">
        <v>2.768448776514E10</v>
      </c>
    </row>
    <row r="1426">
      <c r="A1426" s="4" t="s">
        <v>10</v>
      </c>
      <c r="B1426" s="5">
        <v>43691.0</v>
      </c>
      <c r="C1426" s="6">
        <v>283.9</v>
      </c>
      <c r="D1426" s="11">
        <v>-8.65</v>
      </c>
      <c r="E1426" s="12">
        <v>-0.0296</v>
      </c>
      <c r="F1426" s="6">
        <v>288.07</v>
      </c>
      <c r="G1426" s="6">
        <v>283.76</v>
      </c>
      <c r="H1426" s="6">
        <v>292.46</v>
      </c>
      <c r="I1426" s="9">
        <v>1.35622053E8</v>
      </c>
      <c r="J1426" s="6">
        <v>3.875595965677E10</v>
      </c>
    </row>
    <row r="1427">
      <c r="A1427" s="4" t="s">
        <v>10</v>
      </c>
      <c r="B1427" s="5">
        <v>43692.0</v>
      </c>
      <c r="C1427" s="6">
        <v>284.65</v>
      </c>
      <c r="D1427" s="13">
        <f>+0.75</f>
        <v>0.75</v>
      </c>
      <c r="E1427" s="14">
        <f>+0.26%</f>
        <v>0.0026</v>
      </c>
      <c r="F1427" s="6">
        <v>284.88</v>
      </c>
      <c r="G1427" s="6">
        <v>282.39</v>
      </c>
      <c r="H1427" s="6">
        <v>285.64</v>
      </c>
      <c r="I1427" s="9">
        <v>1.01929845E8</v>
      </c>
      <c r="J1427" s="6">
        <v>2.899603346704E10</v>
      </c>
    </row>
    <row r="1428">
      <c r="A1428" s="4" t="s">
        <v>10</v>
      </c>
      <c r="B1428" s="5">
        <v>43693.0</v>
      </c>
      <c r="C1428" s="6">
        <v>288.85</v>
      </c>
      <c r="D1428" s="13">
        <f>+4.2</f>
        <v>4.2</v>
      </c>
      <c r="E1428" s="14">
        <f>+1.48%</f>
        <v>0.0148</v>
      </c>
      <c r="F1428" s="6">
        <v>286.48</v>
      </c>
      <c r="G1428" s="6">
        <v>284.71</v>
      </c>
      <c r="H1428" s="6">
        <v>289.33</v>
      </c>
      <c r="I1428" s="9">
        <v>8.5825286E7</v>
      </c>
      <c r="J1428" s="6">
        <v>2.473806445007E10</v>
      </c>
    </row>
    <row r="1429">
      <c r="A1429" s="4" t="s">
        <v>10</v>
      </c>
      <c r="B1429" s="5">
        <v>43696.0</v>
      </c>
      <c r="C1429" s="6">
        <v>292.33</v>
      </c>
      <c r="D1429" s="13">
        <f>+3.48</f>
        <v>3.48</v>
      </c>
      <c r="E1429" s="14">
        <f>+1.2%</f>
        <v>0.012</v>
      </c>
      <c r="F1429" s="6">
        <v>292.19</v>
      </c>
      <c r="G1429" s="6">
        <v>291.44</v>
      </c>
      <c r="H1429" s="6">
        <v>293.08</v>
      </c>
      <c r="I1429" s="9">
        <v>5.3640153E7</v>
      </c>
      <c r="J1429" s="6">
        <v>1.567773434038E10</v>
      </c>
    </row>
    <row r="1430">
      <c r="A1430" s="4" t="s">
        <v>10</v>
      </c>
      <c r="B1430" s="5">
        <v>43697.0</v>
      </c>
      <c r="C1430" s="6">
        <v>290.09</v>
      </c>
      <c r="D1430" s="11">
        <v>-2.24</v>
      </c>
      <c r="E1430" s="12">
        <v>-0.0077</v>
      </c>
      <c r="F1430" s="6">
        <v>291.77</v>
      </c>
      <c r="G1430" s="6">
        <v>289.95</v>
      </c>
      <c r="H1430" s="6">
        <v>292.36</v>
      </c>
      <c r="I1430" s="9">
        <v>5.1652752E7</v>
      </c>
      <c r="J1430" s="6">
        <v>1.5030962652E10</v>
      </c>
    </row>
    <row r="1431">
      <c r="A1431" s="4" t="s">
        <v>10</v>
      </c>
      <c r="B1431" s="5">
        <v>43698.0</v>
      </c>
      <c r="C1431" s="6">
        <v>292.45</v>
      </c>
      <c r="D1431" s="13">
        <f>+2.36</f>
        <v>2.36</v>
      </c>
      <c r="E1431" s="14">
        <f>+0.81%</f>
        <v>0.0081</v>
      </c>
      <c r="F1431" s="6">
        <v>292.48</v>
      </c>
      <c r="G1431" s="6">
        <v>291.72</v>
      </c>
      <c r="H1431" s="6">
        <v>292.86</v>
      </c>
      <c r="I1431" s="9">
        <v>4.972343E7</v>
      </c>
      <c r="J1431" s="6">
        <v>1.453186834802E10</v>
      </c>
    </row>
    <row r="1432">
      <c r="A1432" s="4" t="s">
        <v>10</v>
      </c>
      <c r="B1432" s="5">
        <v>43699.0</v>
      </c>
      <c r="C1432" s="6">
        <v>292.36</v>
      </c>
      <c r="D1432" s="11">
        <v>-0.09</v>
      </c>
      <c r="E1432" s="12">
        <v>-3.0E-4</v>
      </c>
      <c r="F1432" s="6">
        <v>293.23</v>
      </c>
      <c r="G1432" s="6">
        <v>290.4</v>
      </c>
      <c r="H1432" s="6">
        <v>293.93</v>
      </c>
      <c r="I1432" s="9">
        <v>5.1739292E7</v>
      </c>
      <c r="J1432" s="6">
        <v>1.512091957825E10</v>
      </c>
    </row>
    <row r="1433">
      <c r="A1433" s="4" t="s">
        <v>10</v>
      </c>
      <c r="B1433" s="5">
        <v>43700.0</v>
      </c>
      <c r="C1433" s="6">
        <v>284.85</v>
      </c>
      <c r="D1433" s="11">
        <v>-7.51</v>
      </c>
      <c r="E1433" s="12">
        <v>-0.0257</v>
      </c>
      <c r="F1433" s="6">
        <v>290.92</v>
      </c>
      <c r="G1433" s="6">
        <v>283.47</v>
      </c>
      <c r="H1433" s="6">
        <v>292.76</v>
      </c>
      <c r="I1433" s="9">
        <v>1.49318151E8</v>
      </c>
      <c r="J1433" s="6">
        <v>4.291198625948E10</v>
      </c>
    </row>
    <row r="1434">
      <c r="A1434" s="4" t="s">
        <v>10</v>
      </c>
      <c r="B1434" s="5">
        <v>43703.0</v>
      </c>
      <c r="C1434" s="6">
        <v>288.0</v>
      </c>
      <c r="D1434" s="13">
        <f>+3.15</f>
        <v>3.15</v>
      </c>
      <c r="E1434" s="14">
        <f>+1.11%</f>
        <v>0.0111</v>
      </c>
      <c r="F1434" s="6">
        <v>287.27</v>
      </c>
      <c r="G1434" s="6">
        <v>285.58</v>
      </c>
      <c r="H1434" s="6">
        <v>288.0</v>
      </c>
      <c r="I1434" s="9">
        <v>7.2620598E7</v>
      </c>
      <c r="J1434" s="6">
        <v>2.084065459583E10</v>
      </c>
    </row>
    <row r="1435">
      <c r="A1435" s="4" t="s">
        <v>10</v>
      </c>
      <c r="B1435" s="5">
        <v>43704.0</v>
      </c>
      <c r="C1435" s="6">
        <v>286.87</v>
      </c>
      <c r="D1435" s="11">
        <v>-1.13</v>
      </c>
      <c r="E1435" s="12">
        <v>-0.0039</v>
      </c>
      <c r="F1435" s="6">
        <v>289.54</v>
      </c>
      <c r="G1435" s="6">
        <v>286.03</v>
      </c>
      <c r="H1435" s="6">
        <v>289.95</v>
      </c>
      <c r="I1435" s="9">
        <v>6.8262998E7</v>
      </c>
      <c r="J1435" s="6">
        <v>1.96389389114E10</v>
      </c>
    </row>
    <row r="1436">
      <c r="A1436" s="4" t="s">
        <v>10</v>
      </c>
      <c r="B1436" s="5">
        <v>43705.0</v>
      </c>
      <c r="C1436" s="6">
        <v>288.89</v>
      </c>
      <c r="D1436" s="13">
        <f>+2.02</f>
        <v>2.02</v>
      </c>
      <c r="E1436" s="14">
        <f>+0.7%</f>
        <v>0.007</v>
      </c>
      <c r="F1436" s="6">
        <v>286.14</v>
      </c>
      <c r="G1436" s="6">
        <v>285.25</v>
      </c>
      <c r="H1436" s="6">
        <v>289.07</v>
      </c>
      <c r="I1436" s="9">
        <v>5.9852324E7</v>
      </c>
      <c r="J1436" s="6">
        <v>1.723012545457E10</v>
      </c>
    </row>
    <row r="1437">
      <c r="A1437" s="4" t="s">
        <v>10</v>
      </c>
      <c r="B1437" s="5">
        <v>43706.0</v>
      </c>
      <c r="C1437" s="6">
        <v>292.58</v>
      </c>
      <c r="D1437" s="13">
        <f>+3.69</f>
        <v>3.69</v>
      </c>
      <c r="E1437" s="14">
        <f>+1.28%</f>
        <v>0.0128</v>
      </c>
      <c r="F1437" s="6">
        <v>291.72</v>
      </c>
      <c r="G1437" s="6">
        <v>290.61</v>
      </c>
      <c r="H1437" s="6">
        <v>293.16</v>
      </c>
      <c r="I1437" s="9">
        <v>5.7998913E7</v>
      </c>
      <c r="J1437" s="6">
        <v>1.694798760178E10</v>
      </c>
    </row>
    <row r="1438">
      <c r="A1438" s="4" t="s">
        <v>10</v>
      </c>
      <c r="B1438" s="5">
        <v>43707.0</v>
      </c>
      <c r="C1438" s="6">
        <v>292.45</v>
      </c>
      <c r="D1438" s="11">
        <v>-0.13</v>
      </c>
      <c r="E1438" s="12">
        <v>-4.0E-4</v>
      </c>
      <c r="F1438" s="6">
        <v>294.22</v>
      </c>
      <c r="G1438" s="6">
        <v>291.42</v>
      </c>
      <c r="H1438" s="6">
        <v>294.24</v>
      </c>
      <c r="I1438" s="9">
        <v>6.296178E7</v>
      </c>
      <c r="J1438" s="6">
        <v>1.842973504587E10</v>
      </c>
    </row>
    <row r="1439">
      <c r="A1439" s="4" t="s">
        <v>10</v>
      </c>
      <c r="B1439" s="5">
        <v>43710.0</v>
      </c>
      <c r="C1439" s="10"/>
      <c r="D1439" s="7"/>
      <c r="E1439" s="8"/>
      <c r="F1439" s="10"/>
      <c r="G1439" s="10"/>
      <c r="H1439" s="10"/>
      <c r="I1439" s="15"/>
      <c r="J1439" s="10"/>
    </row>
    <row r="1440">
      <c r="A1440" s="4" t="s">
        <v>10</v>
      </c>
      <c r="B1440" s="5">
        <v>43711.0</v>
      </c>
      <c r="C1440" s="6">
        <v>290.74</v>
      </c>
      <c r="D1440" s="11">
        <v>-1.71</v>
      </c>
      <c r="E1440" s="12">
        <v>-0.0058</v>
      </c>
      <c r="F1440" s="6">
        <v>290.57</v>
      </c>
      <c r="G1440" s="6">
        <v>289.27</v>
      </c>
      <c r="H1440" s="6">
        <v>291.58</v>
      </c>
      <c r="I1440" s="9">
        <v>6.9231875E7</v>
      </c>
      <c r="J1440" s="6">
        <v>2.011135240169E10</v>
      </c>
    </row>
    <row r="1441">
      <c r="A1441" s="4" t="s">
        <v>10</v>
      </c>
      <c r="B1441" s="5">
        <v>43712.0</v>
      </c>
      <c r="C1441" s="6">
        <v>294.04</v>
      </c>
      <c r="D1441" s="13">
        <f>+3.3</f>
        <v>3.3</v>
      </c>
      <c r="E1441" s="14">
        <f>+1.14%</f>
        <v>0.0114</v>
      </c>
      <c r="F1441" s="6">
        <v>293.14</v>
      </c>
      <c r="G1441" s="6">
        <v>292.31</v>
      </c>
      <c r="H1441" s="6">
        <v>294.06</v>
      </c>
      <c r="I1441" s="9">
        <v>4.7003957E7</v>
      </c>
      <c r="J1441" s="6">
        <v>1.378736929467E10</v>
      </c>
    </row>
    <row r="1442">
      <c r="A1442" s="4" t="s">
        <v>10</v>
      </c>
      <c r="B1442" s="5">
        <v>43713.0</v>
      </c>
      <c r="C1442" s="6">
        <v>297.82</v>
      </c>
      <c r="D1442" s="13">
        <f>+3.78</f>
        <v>3.78</v>
      </c>
      <c r="E1442" s="14">
        <f>+1.29%</f>
        <v>0.0129</v>
      </c>
      <c r="F1442" s="6">
        <v>296.79</v>
      </c>
      <c r="G1442" s="6">
        <v>294.0</v>
      </c>
      <c r="H1442" s="6">
        <v>298.83</v>
      </c>
      <c r="I1442" s="9">
        <v>8.3356779E7</v>
      </c>
      <c r="J1442" s="6">
        <v>2.480098087369E10</v>
      </c>
    </row>
    <row r="1443">
      <c r="A1443" s="4" t="s">
        <v>10</v>
      </c>
      <c r="B1443" s="5">
        <v>43714.0</v>
      </c>
      <c r="C1443" s="6">
        <v>298.05</v>
      </c>
      <c r="D1443" s="13">
        <f>+0.23</f>
        <v>0.23</v>
      </c>
      <c r="E1443" s="14">
        <f>+0.08%</f>
        <v>0.0008</v>
      </c>
      <c r="F1443" s="6">
        <v>298.17</v>
      </c>
      <c r="G1443" s="6">
        <v>297.42</v>
      </c>
      <c r="H1443" s="6">
        <v>298.76</v>
      </c>
      <c r="I1443" s="9">
        <v>4.958429E7</v>
      </c>
      <c r="J1443" s="6">
        <v>1.47871774979E10</v>
      </c>
    </row>
    <row r="1444">
      <c r="A1444" s="4" t="s">
        <v>10</v>
      </c>
      <c r="B1444" s="5">
        <v>43717.0</v>
      </c>
      <c r="C1444" s="6">
        <v>298.2</v>
      </c>
      <c r="D1444" s="13">
        <f>+0.15</f>
        <v>0.15</v>
      </c>
      <c r="E1444" s="14">
        <f>+0.05%</f>
        <v>0.0005</v>
      </c>
      <c r="F1444" s="6">
        <v>299.14</v>
      </c>
      <c r="G1444" s="6">
        <v>297.16</v>
      </c>
      <c r="H1444" s="6">
        <v>299.24</v>
      </c>
      <c r="I1444" s="9">
        <v>5.126029E7</v>
      </c>
      <c r="J1444" s="6">
        <v>1.528368601307E10</v>
      </c>
    </row>
    <row r="1445">
      <c r="A1445" s="4" t="s">
        <v>10</v>
      </c>
      <c r="B1445" s="5">
        <v>43718.0</v>
      </c>
      <c r="C1445" s="6">
        <v>298.13</v>
      </c>
      <c r="D1445" s="11">
        <v>-0.07</v>
      </c>
      <c r="E1445" s="12">
        <v>-2.0E-4</v>
      </c>
      <c r="F1445" s="6">
        <v>297.36</v>
      </c>
      <c r="G1445" s="6">
        <v>295.97</v>
      </c>
      <c r="H1445" s="6">
        <v>298.2</v>
      </c>
      <c r="I1445" s="9">
        <v>5.7947101E7</v>
      </c>
      <c r="J1445" s="6">
        <v>1.721517645249E10</v>
      </c>
    </row>
    <row r="1446">
      <c r="A1446" s="4" t="s">
        <v>10</v>
      </c>
      <c r="B1446" s="5">
        <v>43719.0</v>
      </c>
      <c r="C1446" s="6">
        <v>300.25</v>
      </c>
      <c r="D1446" s="13">
        <f>+2.12</f>
        <v>2.12</v>
      </c>
      <c r="E1446" s="14">
        <f>+0.71%</f>
        <v>0.0071</v>
      </c>
      <c r="F1446" s="6">
        <v>298.47</v>
      </c>
      <c r="G1446" s="6">
        <v>297.75</v>
      </c>
      <c r="H1446" s="6">
        <v>300.34</v>
      </c>
      <c r="I1446" s="9">
        <v>6.8821066E7</v>
      </c>
      <c r="J1446" s="6">
        <v>2.060661750897E10</v>
      </c>
    </row>
    <row r="1447">
      <c r="A1447" s="4" t="s">
        <v>10</v>
      </c>
      <c r="B1447" s="5">
        <v>43720.0</v>
      </c>
      <c r="C1447" s="6">
        <v>301.29</v>
      </c>
      <c r="D1447" s="13">
        <f>+1.04</f>
        <v>1.04</v>
      </c>
      <c r="E1447" s="14">
        <f>+0.35%</f>
        <v>0.0035</v>
      </c>
      <c r="F1447" s="6">
        <v>301.25</v>
      </c>
      <c r="G1447" s="6">
        <v>300.41</v>
      </c>
      <c r="H1447" s="6">
        <v>302.46</v>
      </c>
      <c r="I1447" s="9">
        <v>7.2908745E7</v>
      </c>
      <c r="J1447" s="6">
        <v>2.19813986174E10</v>
      </c>
    </row>
    <row r="1448">
      <c r="A1448" s="4" t="s">
        <v>10</v>
      </c>
      <c r="B1448" s="5">
        <v>43721.0</v>
      </c>
      <c r="C1448" s="6">
        <v>301.09</v>
      </c>
      <c r="D1448" s="11">
        <v>-0.2</v>
      </c>
      <c r="E1448" s="12">
        <v>-7.0E-4</v>
      </c>
      <c r="F1448" s="6">
        <v>301.78</v>
      </c>
      <c r="G1448" s="6">
        <v>300.68</v>
      </c>
      <c r="H1448" s="6">
        <v>302.17</v>
      </c>
      <c r="I1448" s="9">
        <v>6.2104838E7</v>
      </c>
      <c r="J1448" s="6">
        <v>1.87191463905E10</v>
      </c>
    </row>
    <row r="1449">
      <c r="A1449" s="4" t="s">
        <v>10</v>
      </c>
      <c r="B1449" s="5">
        <v>43724.0</v>
      </c>
      <c r="C1449" s="6">
        <v>300.16</v>
      </c>
      <c r="D1449" s="11">
        <v>-0.93</v>
      </c>
      <c r="E1449" s="12">
        <v>-0.0031</v>
      </c>
      <c r="F1449" s="6">
        <v>299.84</v>
      </c>
      <c r="G1449" s="6">
        <v>299.45</v>
      </c>
      <c r="H1449" s="6">
        <v>301.14</v>
      </c>
      <c r="I1449" s="9">
        <v>5.8191175E7</v>
      </c>
      <c r="J1449" s="6">
        <v>1.746491619905E10</v>
      </c>
    </row>
    <row r="1450">
      <c r="A1450" s="4" t="s">
        <v>10</v>
      </c>
      <c r="B1450" s="5">
        <v>43725.0</v>
      </c>
      <c r="C1450" s="6">
        <v>300.92</v>
      </c>
      <c r="D1450" s="13">
        <f>+0.76</f>
        <v>0.76</v>
      </c>
      <c r="E1450" s="14">
        <f>+0.25%</f>
        <v>0.0025</v>
      </c>
      <c r="F1450" s="6">
        <v>299.94</v>
      </c>
      <c r="G1450" s="6">
        <v>299.75</v>
      </c>
      <c r="H1450" s="6">
        <v>301.02</v>
      </c>
      <c r="I1450" s="9">
        <v>4.2904427E7</v>
      </c>
      <c r="J1450" s="6">
        <v>1.288629443701E10</v>
      </c>
    </row>
    <row r="1451">
      <c r="A1451" s="4" t="s">
        <v>10</v>
      </c>
      <c r="B1451" s="5">
        <v>43726.0</v>
      </c>
      <c r="C1451" s="6">
        <v>301.1</v>
      </c>
      <c r="D1451" s="13">
        <f>+0.18</f>
        <v>0.18</v>
      </c>
      <c r="E1451" s="14">
        <f>+0.06%</f>
        <v>0.0006</v>
      </c>
      <c r="F1451" s="6">
        <v>300.49</v>
      </c>
      <c r="G1451" s="6">
        <v>298.24</v>
      </c>
      <c r="H1451" s="6">
        <v>301.22</v>
      </c>
      <c r="I1451" s="9">
        <v>7.4192091E7</v>
      </c>
      <c r="J1451" s="6">
        <v>2.22515228883E10</v>
      </c>
    </row>
    <row r="1452">
      <c r="A1452" s="4" t="s">
        <v>10</v>
      </c>
      <c r="B1452" s="5">
        <v>43727.0</v>
      </c>
      <c r="C1452" s="6">
        <v>301.08</v>
      </c>
      <c r="D1452" s="11">
        <v>-0.02</v>
      </c>
      <c r="E1452" s="12">
        <v>-1.0E-4</v>
      </c>
      <c r="F1452" s="6">
        <v>301.53</v>
      </c>
      <c r="G1452" s="6">
        <v>300.71</v>
      </c>
      <c r="H1452" s="6">
        <v>302.63</v>
      </c>
      <c r="I1452" s="9">
        <v>7.8099215E7</v>
      </c>
      <c r="J1452" s="6">
        <v>2.354781838637E10</v>
      </c>
    </row>
    <row r="1453">
      <c r="A1453" s="4" t="s">
        <v>10</v>
      </c>
      <c r="B1453" s="5">
        <v>43728.0</v>
      </c>
      <c r="C1453" s="6">
        <v>298.28</v>
      </c>
      <c r="D1453" s="11">
        <v>-2.8</v>
      </c>
      <c r="E1453" s="12">
        <v>-0.0093</v>
      </c>
      <c r="F1453" s="6">
        <v>300.36</v>
      </c>
      <c r="G1453" s="6">
        <v>297.41</v>
      </c>
      <c r="H1453" s="6">
        <v>300.67</v>
      </c>
      <c r="I1453" s="9">
        <v>9.7455979E7</v>
      </c>
      <c r="J1453" s="6">
        <v>2.914796458594E10</v>
      </c>
    </row>
    <row r="1454">
      <c r="A1454" s="4" t="s">
        <v>10</v>
      </c>
      <c r="B1454" s="5">
        <v>43731.0</v>
      </c>
      <c r="C1454" s="6">
        <v>298.21</v>
      </c>
      <c r="D1454" s="11">
        <v>-0.07</v>
      </c>
      <c r="E1454" s="12">
        <v>-2.0E-4</v>
      </c>
      <c r="F1454" s="6">
        <v>297.55</v>
      </c>
      <c r="G1454" s="6">
        <v>297.27</v>
      </c>
      <c r="H1454" s="6">
        <v>299.0</v>
      </c>
      <c r="I1454" s="9">
        <v>4.7541321E7</v>
      </c>
      <c r="J1454" s="6">
        <v>1.417953815262E10</v>
      </c>
    </row>
    <row r="1455">
      <c r="A1455" s="4" t="s">
        <v>10</v>
      </c>
      <c r="B1455" s="5">
        <v>43732.0</v>
      </c>
      <c r="C1455" s="6">
        <v>295.87</v>
      </c>
      <c r="D1455" s="11">
        <v>-2.34</v>
      </c>
      <c r="E1455" s="12">
        <v>-0.0078</v>
      </c>
      <c r="F1455" s="6">
        <v>299.41</v>
      </c>
      <c r="G1455" s="6">
        <v>294.81</v>
      </c>
      <c r="H1455" s="6">
        <v>299.84</v>
      </c>
      <c r="I1455" s="9">
        <v>9.7367568E7</v>
      </c>
      <c r="J1455" s="6">
        <v>2.888701988578E10</v>
      </c>
    </row>
    <row r="1456">
      <c r="A1456" s="4" t="s">
        <v>10</v>
      </c>
      <c r="B1456" s="5">
        <v>43733.0</v>
      </c>
      <c r="C1456" s="6">
        <v>297.62</v>
      </c>
      <c r="D1456" s="13">
        <f>+1.75</f>
        <v>1.75</v>
      </c>
      <c r="E1456" s="14">
        <f>+0.59%</f>
        <v>0.0059</v>
      </c>
      <c r="F1456" s="6">
        <v>295.96</v>
      </c>
      <c r="G1456" s="6">
        <v>294.33</v>
      </c>
      <c r="H1456" s="6">
        <v>298.11</v>
      </c>
      <c r="I1456" s="9">
        <v>7.3434081E7</v>
      </c>
      <c r="J1456" s="6">
        <v>2.178888712399E10</v>
      </c>
    </row>
    <row r="1457">
      <c r="A1457" s="4" t="s">
        <v>10</v>
      </c>
      <c r="B1457" s="5">
        <v>43734.0</v>
      </c>
      <c r="C1457" s="6">
        <v>297.0</v>
      </c>
      <c r="D1457" s="11">
        <v>-0.62</v>
      </c>
      <c r="E1457" s="12">
        <v>-0.0021</v>
      </c>
      <c r="F1457" s="6">
        <v>297.63</v>
      </c>
      <c r="G1457" s="6">
        <v>295.45</v>
      </c>
      <c r="H1457" s="6">
        <v>297.86</v>
      </c>
      <c r="I1457" s="9">
        <v>5.8722357E7</v>
      </c>
      <c r="J1457" s="6">
        <v>1.743152394733E10</v>
      </c>
    </row>
    <row r="1458">
      <c r="A1458" s="4" t="s">
        <v>10</v>
      </c>
      <c r="B1458" s="5">
        <v>43735.0</v>
      </c>
      <c r="C1458" s="6">
        <v>295.4</v>
      </c>
      <c r="D1458" s="11">
        <v>-1.6</v>
      </c>
      <c r="E1458" s="12">
        <v>-0.0054</v>
      </c>
      <c r="F1458" s="6">
        <v>297.83</v>
      </c>
      <c r="G1458" s="6">
        <v>293.69</v>
      </c>
      <c r="H1458" s="6">
        <v>297.95</v>
      </c>
      <c r="I1458" s="9">
        <v>8.478111E7</v>
      </c>
      <c r="J1458" s="6">
        <v>2.506292128981E10</v>
      </c>
    </row>
    <row r="1459">
      <c r="A1459" s="4" t="s">
        <v>10</v>
      </c>
      <c r="B1459" s="5">
        <v>43738.0</v>
      </c>
      <c r="C1459" s="6">
        <v>296.77</v>
      </c>
      <c r="D1459" s="13">
        <f>+1.37</f>
        <v>1.37</v>
      </c>
      <c r="E1459" s="14">
        <f>+0.46%</f>
        <v>0.0046</v>
      </c>
      <c r="F1459" s="6">
        <v>295.97</v>
      </c>
      <c r="G1459" s="6">
        <v>295.92</v>
      </c>
      <c r="H1459" s="6">
        <v>297.55</v>
      </c>
      <c r="I1459" s="9">
        <v>5.2562761E7</v>
      </c>
      <c r="J1459" s="6">
        <v>1.559988113364E10</v>
      </c>
    </row>
    <row r="1460">
      <c r="A1460" s="4" t="s">
        <v>10</v>
      </c>
      <c r="B1460" s="5">
        <v>43739.0</v>
      </c>
      <c r="C1460" s="6">
        <v>293.24</v>
      </c>
      <c r="D1460" s="11">
        <v>-3.53</v>
      </c>
      <c r="E1460" s="12">
        <v>-0.0119</v>
      </c>
      <c r="F1460" s="6">
        <v>297.74</v>
      </c>
      <c r="G1460" s="6">
        <v>293.0</v>
      </c>
      <c r="H1460" s="6">
        <v>298.46</v>
      </c>
      <c r="I1460" s="9">
        <v>8.990042E7</v>
      </c>
      <c r="J1460" s="6">
        <v>2.650888796799E10</v>
      </c>
    </row>
    <row r="1461">
      <c r="A1461" s="4" t="s">
        <v>10</v>
      </c>
      <c r="B1461" s="5">
        <v>43740.0</v>
      </c>
      <c r="C1461" s="6">
        <v>288.06</v>
      </c>
      <c r="D1461" s="11">
        <v>-5.18</v>
      </c>
      <c r="E1461" s="12">
        <v>-0.0177</v>
      </c>
      <c r="F1461" s="6">
        <v>291.5</v>
      </c>
      <c r="G1461" s="6">
        <v>286.64</v>
      </c>
      <c r="H1461" s="6">
        <v>291.51</v>
      </c>
      <c r="I1461" s="9">
        <v>1.24523974E8</v>
      </c>
      <c r="J1461" s="6">
        <v>3.596654649039E10</v>
      </c>
    </row>
    <row r="1462">
      <c r="A1462" s="4" t="s">
        <v>10</v>
      </c>
      <c r="B1462" s="5">
        <v>43741.0</v>
      </c>
      <c r="C1462" s="6">
        <v>290.42</v>
      </c>
      <c r="D1462" s="13">
        <f>+2.36</f>
        <v>2.36</v>
      </c>
      <c r="E1462" s="14">
        <f>+0.82%</f>
        <v>0.0082</v>
      </c>
      <c r="F1462" s="6">
        <v>287.81</v>
      </c>
      <c r="G1462" s="6">
        <v>284.82</v>
      </c>
      <c r="H1462" s="6">
        <v>290.45</v>
      </c>
      <c r="I1462" s="9">
        <v>8.5906799E7</v>
      </c>
      <c r="J1462" s="6">
        <v>2.476541726829E10</v>
      </c>
    </row>
    <row r="1463">
      <c r="A1463" s="4" t="s">
        <v>10</v>
      </c>
      <c r="B1463" s="5">
        <v>43742.0</v>
      </c>
      <c r="C1463" s="6">
        <v>294.35</v>
      </c>
      <c r="D1463" s="13">
        <f>+3.93</f>
        <v>3.93</v>
      </c>
      <c r="E1463" s="14">
        <f>+1.35%</f>
        <v>0.0135</v>
      </c>
      <c r="F1463" s="6">
        <v>291.14</v>
      </c>
      <c r="G1463" s="6">
        <v>290.82</v>
      </c>
      <c r="H1463" s="6">
        <v>294.63</v>
      </c>
      <c r="I1463" s="9">
        <v>6.6700681E7</v>
      </c>
      <c r="J1463" s="6">
        <v>1.954231686126E10</v>
      </c>
    </row>
    <row r="1464">
      <c r="A1464" s="4" t="s">
        <v>10</v>
      </c>
      <c r="B1464" s="5">
        <v>43745.0</v>
      </c>
      <c r="C1464" s="6">
        <v>293.08</v>
      </c>
      <c r="D1464" s="11">
        <v>-1.27</v>
      </c>
      <c r="E1464" s="12">
        <v>-0.0043</v>
      </c>
      <c r="F1464" s="6">
        <v>293.47</v>
      </c>
      <c r="G1464" s="6">
        <v>292.77</v>
      </c>
      <c r="H1464" s="6">
        <v>295.26</v>
      </c>
      <c r="I1464" s="9">
        <v>6.0656561E7</v>
      </c>
      <c r="J1464" s="6">
        <v>1.782393435961E10</v>
      </c>
    </row>
    <row r="1465">
      <c r="A1465" s="4" t="s">
        <v>10</v>
      </c>
      <c r="B1465" s="5">
        <v>43746.0</v>
      </c>
      <c r="C1465" s="6">
        <v>288.53</v>
      </c>
      <c r="D1465" s="11">
        <v>-4.55</v>
      </c>
      <c r="E1465" s="12">
        <v>-0.0155</v>
      </c>
      <c r="F1465" s="6">
        <v>291.04</v>
      </c>
      <c r="G1465" s="6">
        <v>288.49</v>
      </c>
      <c r="H1465" s="6">
        <v>291.85</v>
      </c>
      <c r="I1465" s="9">
        <v>1.0157547E8</v>
      </c>
      <c r="J1465" s="6">
        <v>2.947493687758E10</v>
      </c>
    </row>
    <row r="1466">
      <c r="A1466" s="4" t="s">
        <v>10</v>
      </c>
      <c r="B1466" s="5">
        <v>43747.0</v>
      </c>
      <c r="C1466" s="6">
        <v>291.27</v>
      </c>
      <c r="D1466" s="13">
        <f>+2.74</f>
        <v>2.74</v>
      </c>
      <c r="E1466" s="14">
        <f>+0.95%</f>
        <v>0.0095</v>
      </c>
      <c r="F1466" s="6">
        <v>290.75</v>
      </c>
      <c r="G1466" s="6">
        <v>288.66</v>
      </c>
      <c r="H1466" s="6">
        <v>292.3</v>
      </c>
      <c r="I1466" s="9">
        <v>6.5707329E7</v>
      </c>
      <c r="J1466" s="6">
        <v>1.912356985964E10</v>
      </c>
    </row>
    <row r="1467">
      <c r="A1467" s="4" t="s">
        <v>10</v>
      </c>
      <c r="B1467" s="5">
        <v>43748.0</v>
      </c>
      <c r="C1467" s="6">
        <v>293.24</v>
      </c>
      <c r="D1467" s="13">
        <f>+1.97</f>
        <v>1.97</v>
      </c>
      <c r="E1467" s="14">
        <f>+0.68%</f>
        <v>0.0068</v>
      </c>
      <c r="F1467" s="6">
        <v>291.18</v>
      </c>
      <c r="G1467" s="6">
        <v>291.0</v>
      </c>
      <c r="H1467" s="6">
        <v>294.21</v>
      </c>
      <c r="I1467" s="9">
        <v>5.7255974E7</v>
      </c>
      <c r="J1467" s="6">
        <v>1.677376069213E10</v>
      </c>
    </row>
    <row r="1468">
      <c r="A1468" s="4" t="s">
        <v>10</v>
      </c>
      <c r="B1468" s="5">
        <v>43749.0</v>
      </c>
      <c r="C1468" s="6">
        <v>296.28</v>
      </c>
      <c r="D1468" s="13">
        <f>+3.04</f>
        <v>3.04</v>
      </c>
      <c r="E1468" s="14">
        <f>+1.04%</f>
        <v>0.0104</v>
      </c>
      <c r="F1468" s="6">
        <v>296.27</v>
      </c>
      <c r="G1468" s="6">
        <v>296.14</v>
      </c>
      <c r="H1468" s="6">
        <v>298.74</v>
      </c>
      <c r="I1468" s="9">
        <v>1.01228577E8</v>
      </c>
      <c r="J1468" s="6">
        <v>3.008293414582E10</v>
      </c>
    </row>
    <row r="1469">
      <c r="A1469" s="4" t="s">
        <v>10</v>
      </c>
      <c r="B1469" s="5">
        <v>43752.0</v>
      </c>
      <c r="C1469" s="6">
        <v>295.95</v>
      </c>
      <c r="D1469" s="11">
        <v>-0.33</v>
      </c>
      <c r="E1469" s="12">
        <v>-0.0011</v>
      </c>
      <c r="F1469" s="6">
        <v>295.93</v>
      </c>
      <c r="G1469" s="6">
        <v>295.57</v>
      </c>
      <c r="H1469" s="6">
        <v>296.67</v>
      </c>
      <c r="I1469" s="9">
        <v>4.0546668E7</v>
      </c>
      <c r="J1469" s="6">
        <v>1.200730298268E10</v>
      </c>
    </row>
    <row r="1470">
      <c r="A1470" s="4" t="s">
        <v>10</v>
      </c>
      <c r="B1470" s="5">
        <v>43753.0</v>
      </c>
      <c r="C1470" s="6">
        <v>298.88</v>
      </c>
      <c r="D1470" s="13">
        <f>+2.93</f>
        <v>2.93</v>
      </c>
      <c r="E1470" s="14">
        <f>+0.99%</f>
        <v>0.0099</v>
      </c>
      <c r="F1470" s="6">
        <v>297.1</v>
      </c>
      <c r="G1470" s="6">
        <v>296.97</v>
      </c>
      <c r="H1470" s="6">
        <v>299.7</v>
      </c>
      <c r="I1470" s="9">
        <v>4.7832356E7</v>
      </c>
      <c r="J1470" s="6">
        <v>1.429161622493E10</v>
      </c>
    </row>
    <row r="1471">
      <c r="A1471" s="4" t="s">
        <v>10</v>
      </c>
      <c r="B1471" s="5">
        <v>43754.0</v>
      </c>
      <c r="C1471" s="6">
        <v>298.4</v>
      </c>
      <c r="D1471" s="11">
        <v>-0.48</v>
      </c>
      <c r="E1471" s="12">
        <v>-0.0016</v>
      </c>
      <c r="F1471" s="6">
        <v>298.37</v>
      </c>
      <c r="G1471" s="6">
        <v>297.92</v>
      </c>
      <c r="H1471" s="6">
        <v>299.16</v>
      </c>
      <c r="I1471" s="9">
        <v>5.0563596E7</v>
      </c>
      <c r="J1471" s="6">
        <v>1.509090657378E10</v>
      </c>
    </row>
    <row r="1472">
      <c r="A1472" s="4" t="s">
        <v>10</v>
      </c>
      <c r="B1472" s="5">
        <v>43755.0</v>
      </c>
      <c r="C1472" s="6">
        <v>299.28</v>
      </c>
      <c r="D1472" s="13">
        <f>+0.88</f>
        <v>0.88</v>
      </c>
      <c r="E1472" s="14">
        <f>+0.29%</f>
        <v>0.0029</v>
      </c>
      <c r="F1472" s="6">
        <v>299.68</v>
      </c>
      <c r="G1472" s="6">
        <v>298.52</v>
      </c>
      <c r="H1472" s="6">
        <v>300.24</v>
      </c>
      <c r="I1472" s="9">
        <v>4.6784885E7</v>
      </c>
      <c r="J1472" s="6">
        <v>1.40048916502E10</v>
      </c>
    </row>
    <row r="1473">
      <c r="A1473" s="4" t="s">
        <v>10</v>
      </c>
      <c r="B1473" s="5">
        <v>43756.0</v>
      </c>
      <c r="C1473" s="6">
        <v>297.97</v>
      </c>
      <c r="D1473" s="11">
        <v>-1.31</v>
      </c>
      <c r="E1473" s="12">
        <v>-0.0044</v>
      </c>
      <c r="F1473" s="6">
        <v>298.69</v>
      </c>
      <c r="G1473" s="6">
        <v>296.99</v>
      </c>
      <c r="H1473" s="6">
        <v>299.4</v>
      </c>
      <c r="I1473" s="9">
        <v>6.4338028E7</v>
      </c>
      <c r="J1473" s="6">
        <v>1.920123937249E10</v>
      </c>
    </row>
    <row r="1474">
      <c r="A1474" s="4" t="s">
        <v>10</v>
      </c>
      <c r="B1474" s="5">
        <v>43759.0</v>
      </c>
      <c r="C1474" s="6">
        <v>299.99</v>
      </c>
      <c r="D1474" s="13">
        <f>+2.02</f>
        <v>2.02</v>
      </c>
      <c r="E1474" s="14">
        <f>+0.68%</f>
        <v>0.0068</v>
      </c>
      <c r="F1474" s="6">
        <v>299.42</v>
      </c>
      <c r="G1474" s="6">
        <v>298.94</v>
      </c>
      <c r="H1474" s="6">
        <v>300.21</v>
      </c>
      <c r="I1474" s="9">
        <v>3.9460901E7</v>
      </c>
      <c r="J1474" s="6">
        <v>1.18250179671E10</v>
      </c>
    </row>
    <row r="1475">
      <c r="A1475" s="4" t="s">
        <v>10</v>
      </c>
      <c r="B1475" s="5">
        <v>43760.0</v>
      </c>
      <c r="C1475" s="6">
        <v>299.01</v>
      </c>
      <c r="D1475" s="11">
        <v>-0.98</v>
      </c>
      <c r="E1475" s="12">
        <v>-0.0033</v>
      </c>
      <c r="F1475" s="6">
        <v>300.58</v>
      </c>
      <c r="G1475" s="6">
        <v>298.91</v>
      </c>
      <c r="H1475" s="6">
        <v>300.9</v>
      </c>
      <c r="I1475" s="9">
        <v>4.9126038E7</v>
      </c>
      <c r="J1475" s="6">
        <v>1.474208236243E10</v>
      </c>
    </row>
    <row r="1476">
      <c r="A1476" s="4" t="s">
        <v>10</v>
      </c>
      <c r="B1476" s="5">
        <v>43761.0</v>
      </c>
      <c r="C1476" s="6">
        <v>299.88</v>
      </c>
      <c r="D1476" s="13">
        <f>+0.87</f>
        <v>0.87</v>
      </c>
      <c r="E1476" s="14">
        <f>+0.29%</f>
        <v>0.0029</v>
      </c>
      <c r="F1476" s="6">
        <v>298.73</v>
      </c>
      <c r="G1476" s="6">
        <v>298.5</v>
      </c>
      <c r="H1476" s="6">
        <v>299.94</v>
      </c>
      <c r="I1476" s="9">
        <v>3.4991829E7</v>
      </c>
      <c r="J1476" s="6">
        <v>1.047434053211E10</v>
      </c>
    </row>
    <row r="1477">
      <c r="A1477" s="4" t="s">
        <v>10</v>
      </c>
      <c r="B1477" s="5">
        <v>43762.0</v>
      </c>
      <c r="C1477" s="6">
        <v>300.37</v>
      </c>
      <c r="D1477" s="13">
        <f>+0.49</f>
        <v>0.49</v>
      </c>
      <c r="E1477" s="14">
        <f>+0.16%</f>
        <v>0.0016</v>
      </c>
      <c r="F1477" s="6">
        <v>300.91</v>
      </c>
      <c r="G1477" s="6">
        <v>299.46</v>
      </c>
      <c r="H1477" s="6">
        <v>301.07</v>
      </c>
      <c r="I1477" s="9">
        <v>3.5857459E7</v>
      </c>
      <c r="J1477" s="6">
        <v>1.076423192486E10</v>
      </c>
    </row>
    <row r="1478">
      <c r="A1478" s="4" t="s">
        <v>10</v>
      </c>
      <c r="B1478" s="5">
        <v>43763.0</v>
      </c>
      <c r="C1478" s="6">
        <v>301.6</v>
      </c>
      <c r="D1478" s="13">
        <f>+1.23</f>
        <v>1.23</v>
      </c>
      <c r="E1478" s="14">
        <f>+0.41%</f>
        <v>0.0041</v>
      </c>
      <c r="F1478" s="6">
        <v>299.74</v>
      </c>
      <c r="G1478" s="6">
        <v>299.68</v>
      </c>
      <c r="H1478" s="6">
        <v>302.2</v>
      </c>
      <c r="I1478" s="9">
        <v>4.5205412E7</v>
      </c>
      <c r="J1478" s="6">
        <v>1.362905038575E10</v>
      </c>
    </row>
    <row r="1479">
      <c r="A1479" s="4" t="s">
        <v>10</v>
      </c>
      <c r="B1479" s="5">
        <v>43766.0</v>
      </c>
      <c r="C1479" s="6">
        <v>303.3</v>
      </c>
      <c r="D1479" s="13">
        <f>+1.7</f>
        <v>1.7</v>
      </c>
      <c r="E1479" s="14">
        <f>+0.56%</f>
        <v>0.0056</v>
      </c>
      <c r="F1479" s="6">
        <v>302.94</v>
      </c>
      <c r="G1479" s="6">
        <v>302.91</v>
      </c>
      <c r="H1479" s="6">
        <v>303.85</v>
      </c>
      <c r="I1479" s="9">
        <v>4.2146965E7</v>
      </c>
      <c r="J1479" s="6">
        <v>1.278263322656E10</v>
      </c>
    </row>
    <row r="1480">
      <c r="A1480" s="4" t="s">
        <v>10</v>
      </c>
      <c r="B1480" s="5">
        <v>43767.0</v>
      </c>
      <c r="C1480" s="6">
        <v>303.21</v>
      </c>
      <c r="D1480" s="11">
        <v>-0.09</v>
      </c>
      <c r="E1480" s="12">
        <v>-3.0E-4</v>
      </c>
      <c r="F1480" s="6">
        <v>303.0</v>
      </c>
      <c r="G1480" s="6">
        <v>302.86</v>
      </c>
      <c r="H1480" s="6">
        <v>304.23</v>
      </c>
      <c r="I1480" s="9">
        <v>4.4284921E7</v>
      </c>
      <c r="J1480" s="6">
        <v>1.343793843383E10</v>
      </c>
    </row>
    <row r="1481">
      <c r="A1481" s="4" t="s">
        <v>10</v>
      </c>
      <c r="B1481" s="5">
        <v>43768.0</v>
      </c>
      <c r="C1481" s="6">
        <v>304.14</v>
      </c>
      <c r="D1481" s="13">
        <f>+0.93</f>
        <v>0.93</v>
      </c>
      <c r="E1481" s="14">
        <f>+0.31%</f>
        <v>0.0031</v>
      </c>
      <c r="F1481" s="6">
        <v>303.43</v>
      </c>
      <c r="G1481" s="6">
        <v>301.99</v>
      </c>
      <c r="H1481" s="6">
        <v>304.55</v>
      </c>
      <c r="I1481" s="9">
        <v>4.9643928E7</v>
      </c>
      <c r="J1481" s="6">
        <v>1.505771947364E10</v>
      </c>
    </row>
    <row r="1482">
      <c r="A1482" s="4" t="s">
        <v>10</v>
      </c>
      <c r="B1482" s="5">
        <v>43769.0</v>
      </c>
      <c r="C1482" s="6">
        <v>303.33</v>
      </c>
      <c r="D1482" s="11">
        <v>-0.81</v>
      </c>
      <c r="E1482" s="12">
        <v>-0.0027</v>
      </c>
      <c r="F1482" s="6">
        <v>304.13</v>
      </c>
      <c r="G1482" s="6">
        <v>301.73</v>
      </c>
      <c r="H1482" s="6">
        <v>304.13</v>
      </c>
      <c r="I1482" s="9">
        <v>6.9053791E7</v>
      </c>
      <c r="J1482" s="6">
        <v>2.090801220873E10</v>
      </c>
    </row>
    <row r="1483">
      <c r="A1483" s="4" t="s">
        <v>10</v>
      </c>
      <c r="B1483" s="5">
        <v>43770.0</v>
      </c>
      <c r="C1483" s="6">
        <v>306.14</v>
      </c>
      <c r="D1483" s="13">
        <f>+2.81</f>
        <v>2.81</v>
      </c>
      <c r="E1483" s="14">
        <f>+0.93%</f>
        <v>0.0093</v>
      </c>
      <c r="F1483" s="6">
        <v>304.92</v>
      </c>
      <c r="G1483" s="6">
        <v>304.74</v>
      </c>
      <c r="H1483" s="6">
        <v>306.19</v>
      </c>
      <c r="I1483" s="9">
        <v>7.1141515E7</v>
      </c>
      <c r="J1483" s="6">
        <v>2.173243824197E10</v>
      </c>
    </row>
    <row r="1484">
      <c r="A1484" s="4" t="s">
        <v>10</v>
      </c>
      <c r="B1484" s="5">
        <v>43773.0</v>
      </c>
      <c r="C1484" s="6">
        <v>307.37</v>
      </c>
      <c r="D1484" s="13">
        <f>+1.23</f>
        <v>1.23</v>
      </c>
      <c r="E1484" s="14">
        <f>+0.4%</f>
        <v>0.004</v>
      </c>
      <c r="F1484" s="6">
        <v>307.85</v>
      </c>
      <c r="G1484" s="6">
        <v>306.96</v>
      </c>
      <c r="H1484" s="6">
        <v>308.0</v>
      </c>
      <c r="I1484" s="9">
        <v>6.0606916E7</v>
      </c>
      <c r="J1484" s="6">
        <v>1.860989307622E10</v>
      </c>
    </row>
    <row r="1485">
      <c r="A1485" s="4" t="s">
        <v>10</v>
      </c>
      <c r="B1485" s="5">
        <v>43774.0</v>
      </c>
      <c r="C1485" s="6">
        <v>307.03</v>
      </c>
      <c r="D1485" s="11">
        <v>-0.34</v>
      </c>
      <c r="E1485" s="12">
        <v>-0.0011</v>
      </c>
      <c r="F1485" s="6">
        <v>307.59</v>
      </c>
      <c r="G1485" s="6">
        <v>306.71</v>
      </c>
      <c r="H1485" s="6">
        <v>307.92</v>
      </c>
      <c r="I1485" s="9">
        <v>4.2933219E7</v>
      </c>
      <c r="J1485" s="6">
        <v>1.318849954672E10</v>
      </c>
    </row>
    <row r="1486">
      <c r="A1486" s="4" t="s">
        <v>10</v>
      </c>
      <c r="B1486" s="5">
        <v>43775.0</v>
      </c>
      <c r="C1486" s="6">
        <v>307.1</v>
      </c>
      <c r="D1486" s="13">
        <f>+0.07</f>
        <v>0.07</v>
      </c>
      <c r="E1486" s="14">
        <f>+0.02%</f>
        <v>0.0002</v>
      </c>
      <c r="F1486" s="6">
        <v>307.03</v>
      </c>
      <c r="G1486" s="6">
        <v>306.06</v>
      </c>
      <c r="H1486" s="6">
        <v>307.4</v>
      </c>
      <c r="I1486" s="9">
        <v>4.6487108E7</v>
      </c>
      <c r="J1486" s="6">
        <v>1.426622018894E10</v>
      </c>
    </row>
    <row r="1487">
      <c r="A1487" s="4" t="s">
        <v>10</v>
      </c>
      <c r="B1487" s="5">
        <v>43776.0</v>
      </c>
      <c r="C1487" s="6">
        <v>308.18</v>
      </c>
      <c r="D1487" s="13">
        <f>+1.08</f>
        <v>1.08</v>
      </c>
      <c r="E1487" s="14">
        <f>+0.35%</f>
        <v>0.0035</v>
      </c>
      <c r="F1487" s="6">
        <v>308.57</v>
      </c>
      <c r="G1487" s="6">
        <v>307.66</v>
      </c>
      <c r="H1487" s="6">
        <v>309.65</v>
      </c>
      <c r="I1487" s="9">
        <v>5.4272274E7</v>
      </c>
      <c r="J1487" s="6">
        <v>1.674143138833E10</v>
      </c>
    </row>
    <row r="1488">
      <c r="A1488" s="4" t="s">
        <v>10</v>
      </c>
      <c r="B1488" s="5">
        <v>43777.0</v>
      </c>
      <c r="C1488" s="6">
        <v>308.94</v>
      </c>
      <c r="D1488" s="13">
        <f>+0.76</f>
        <v>0.76</v>
      </c>
      <c r="E1488" s="14">
        <f>+0.25%</f>
        <v>0.0025</v>
      </c>
      <c r="F1488" s="6">
        <v>307.8</v>
      </c>
      <c r="G1488" s="6">
        <v>307.03</v>
      </c>
      <c r="H1488" s="6">
        <v>309.0</v>
      </c>
      <c r="I1488" s="9">
        <v>4.9068797E7</v>
      </c>
      <c r="J1488" s="6">
        <v>1.51299165056E10</v>
      </c>
    </row>
    <row r="1489">
      <c r="A1489" s="4" t="s">
        <v>10</v>
      </c>
      <c r="B1489" s="5">
        <v>43780.0</v>
      </c>
      <c r="C1489" s="6">
        <v>308.35</v>
      </c>
      <c r="D1489" s="11">
        <v>-0.59</v>
      </c>
      <c r="E1489" s="12">
        <v>-0.0019</v>
      </c>
      <c r="F1489" s="6">
        <v>307.42</v>
      </c>
      <c r="G1489" s="6">
        <v>307.27</v>
      </c>
      <c r="H1489" s="6">
        <v>308.54</v>
      </c>
      <c r="I1489" s="9">
        <v>3.5934909E7</v>
      </c>
      <c r="J1489" s="6">
        <v>1.107406008201E10</v>
      </c>
    </row>
    <row r="1490">
      <c r="A1490" s="4" t="s">
        <v>10</v>
      </c>
      <c r="B1490" s="5">
        <v>43781.0</v>
      </c>
      <c r="C1490" s="6">
        <v>309.0</v>
      </c>
      <c r="D1490" s="13">
        <f>+0.65</f>
        <v>0.65</v>
      </c>
      <c r="E1490" s="14">
        <f>+0.21%</f>
        <v>0.0021</v>
      </c>
      <c r="F1490" s="6">
        <v>308.75</v>
      </c>
      <c r="G1490" s="6">
        <v>308.15</v>
      </c>
      <c r="H1490" s="6">
        <v>309.99</v>
      </c>
      <c r="I1490" s="9">
        <v>4.6484624E7</v>
      </c>
      <c r="J1490" s="6">
        <v>1.436813297681E10</v>
      </c>
    </row>
    <row r="1491">
      <c r="A1491" s="4" t="s">
        <v>10</v>
      </c>
      <c r="B1491" s="5">
        <v>43782.0</v>
      </c>
      <c r="C1491" s="6">
        <v>309.1</v>
      </c>
      <c r="D1491" s="13">
        <f>+0.1</f>
        <v>0.1</v>
      </c>
      <c r="E1491" s="14">
        <f>+0.03%</f>
        <v>0.0003</v>
      </c>
      <c r="F1491" s="6">
        <v>307.91</v>
      </c>
      <c r="G1491" s="6">
        <v>307.66</v>
      </c>
      <c r="H1491" s="6">
        <v>309.54</v>
      </c>
      <c r="I1491" s="9">
        <v>5.4459018E7</v>
      </c>
      <c r="J1491" s="6">
        <v>1.682181016585E10</v>
      </c>
    </row>
    <row r="1492">
      <c r="A1492" s="4" t="s">
        <v>10</v>
      </c>
      <c r="B1492" s="5">
        <v>43783.0</v>
      </c>
      <c r="C1492" s="6">
        <v>309.55</v>
      </c>
      <c r="D1492" s="13">
        <f>+0.45</f>
        <v>0.45</v>
      </c>
      <c r="E1492" s="14">
        <f>+0.15%</f>
        <v>0.0015</v>
      </c>
      <c r="F1492" s="6">
        <v>308.79</v>
      </c>
      <c r="G1492" s="6">
        <v>308.09</v>
      </c>
      <c r="H1492" s="6">
        <v>309.64</v>
      </c>
      <c r="I1492" s="9">
        <v>5.2001874E7</v>
      </c>
      <c r="J1492" s="6">
        <v>1.607667458053E10</v>
      </c>
    </row>
    <row r="1493">
      <c r="A1493" s="4" t="s">
        <v>10</v>
      </c>
      <c r="B1493" s="5">
        <v>43784.0</v>
      </c>
      <c r="C1493" s="6">
        <v>311.79</v>
      </c>
      <c r="D1493" s="13">
        <f>+2.24</f>
        <v>2.24</v>
      </c>
      <c r="E1493" s="14">
        <f>+0.72%</f>
        <v>0.0072</v>
      </c>
      <c r="F1493" s="6">
        <v>311.02</v>
      </c>
      <c r="G1493" s="6">
        <v>310.26</v>
      </c>
      <c r="H1493" s="6">
        <v>311.84</v>
      </c>
      <c r="I1493" s="9">
        <v>6.2706192E7</v>
      </c>
      <c r="J1493" s="6">
        <v>1.951562753479E10</v>
      </c>
    </row>
    <row r="1494">
      <c r="A1494" s="4" t="s">
        <v>10</v>
      </c>
      <c r="B1494" s="5">
        <v>43787.0</v>
      </c>
      <c r="C1494" s="6">
        <v>312.02</v>
      </c>
      <c r="D1494" s="13">
        <f>+0.23</f>
        <v>0.23</v>
      </c>
      <c r="E1494" s="14">
        <f>+0.07%</f>
        <v>0.0007</v>
      </c>
      <c r="F1494" s="6">
        <v>311.53</v>
      </c>
      <c r="G1494" s="6">
        <v>311.03</v>
      </c>
      <c r="H1494" s="6">
        <v>312.28</v>
      </c>
      <c r="I1494" s="9">
        <v>4.932798E7</v>
      </c>
      <c r="J1494" s="6">
        <v>1.538098598535E10</v>
      </c>
    </row>
    <row r="1495">
      <c r="A1495" s="4" t="s">
        <v>10</v>
      </c>
      <c r="B1495" s="5">
        <v>43788.0</v>
      </c>
      <c r="C1495" s="6">
        <v>311.93</v>
      </c>
      <c r="D1495" s="11">
        <v>-0.09</v>
      </c>
      <c r="E1495" s="12">
        <v>-3.0E-4</v>
      </c>
      <c r="F1495" s="6">
        <v>312.68</v>
      </c>
      <c r="G1495" s="6">
        <v>311.22</v>
      </c>
      <c r="H1495" s="6">
        <v>312.69</v>
      </c>
      <c r="I1495" s="9">
        <v>6.7927818E7</v>
      </c>
      <c r="J1495" s="6">
        <v>2.119445251578E10</v>
      </c>
    </row>
    <row r="1496">
      <c r="A1496" s="4" t="s">
        <v>10</v>
      </c>
      <c r="B1496" s="5">
        <v>43789.0</v>
      </c>
      <c r="C1496" s="6">
        <v>310.77</v>
      </c>
      <c r="D1496" s="11">
        <v>-1.16</v>
      </c>
      <c r="E1496" s="12">
        <v>-0.0037</v>
      </c>
      <c r="F1496" s="6">
        <v>311.28</v>
      </c>
      <c r="G1496" s="6">
        <v>309.06</v>
      </c>
      <c r="H1496" s="6">
        <v>311.85</v>
      </c>
      <c r="I1496" s="9">
        <v>7.9696276E7</v>
      </c>
      <c r="J1496" s="6">
        <v>2.475824872573E10</v>
      </c>
    </row>
    <row r="1497">
      <c r="A1497" s="4" t="s">
        <v>10</v>
      </c>
      <c r="B1497" s="5">
        <v>43790.0</v>
      </c>
      <c r="C1497" s="6">
        <v>310.27</v>
      </c>
      <c r="D1497" s="11">
        <v>-0.5</v>
      </c>
      <c r="E1497" s="12">
        <v>-0.0016</v>
      </c>
      <c r="F1497" s="6">
        <v>310.89</v>
      </c>
      <c r="G1497" s="6">
        <v>309.39</v>
      </c>
      <c r="H1497" s="6">
        <v>311.01</v>
      </c>
      <c r="I1497" s="9">
        <v>5.466469E7</v>
      </c>
      <c r="J1497" s="6">
        <v>1.69632434106E10</v>
      </c>
    </row>
    <row r="1498">
      <c r="A1498" s="4" t="s">
        <v>10</v>
      </c>
      <c r="B1498" s="5">
        <v>43791.0</v>
      </c>
      <c r="C1498" s="6">
        <v>310.96</v>
      </c>
      <c r="D1498" s="13">
        <f>+0.69</f>
        <v>0.69</v>
      </c>
      <c r="E1498" s="14">
        <f>+0.22%</f>
        <v>0.0022</v>
      </c>
      <c r="F1498" s="6">
        <v>311.09</v>
      </c>
      <c r="G1498" s="6">
        <v>309.85</v>
      </c>
      <c r="H1498" s="6">
        <v>311.24</v>
      </c>
      <c r="I1498" s="9">
        <v>4.4850228E7</v>
      </c>
      <c r="J1498" s="6">
        <v>1.393856841328E10</v>
      </c>
    </row>
    <row r="1499">
      <c r="A1499" s="4" t="s">
        <v>10</v>
      </c>
      <c r="B1499" s="5">
        <v>43794.0</v>
      </c>
      <c r="C1499" s="6">
        <v>313.37</v>
      </c>
      <c r="D1499" s="13">
        <f>+2.41</f>
        <v>2.41</v>
      </c>
      <c r="E1499" s="14">
        <f>+0.78%</f>
        <v>0.0078</v>
      </c>
      <c r="F1499" s="6">
        <v>311.98</v>
      </c>
      <c r="G1499" s="6">
        <v>311.98</v>
      </c>
      <c r="H1499" s="6">
        <v>313.37</v>
      </c>
      <c r="I1499" s="9">
        <v>4.8762676E7</v>
      </c>
      <c r="J1499" s="6">
        <v>1.52543025109E10</v>
      </c>
    </row>
    <row r="1500">
      <c r="A1500" s="4" t="s">
        <v>10</v>
      </c>
      <c r="B1500" s="5">
        <v>43795.0</v>
      </c>
      <c r="C1500" s="6">
        <v>314.08</v>
      </c>
      <c r="D1500" s="13">
        <f>+0.71</f>
        <v>0.71</v>
      </c>
      <c r="E1500" s="14">
        <f>+0.23%</f>
        <v>0.0023</v>
      </c>
      <c r="F1500" s="6">
        <v>313.41</v>
      </c>
      <c r="G1500" s="6">
        <v>313.06</v>
      </c>
      <c r="H1500" s="6">
        <v>314.28</v>
      </c>
      <c r="I1500" s="9">
        <v>3.7727953E7</v>
      </c>
      <c r="J1500" s="6">
        <v>1.183972603866E10</v>
      </c>
    </row>
    <row r="1501">
      <c r="A1501" s="4" t="s">
        <v>10</v>
      </c>
      <c r="B1501" s="5">
        <v>43796.0</v>
      </c>
      <c r="C1501" s="6">
        <v>315.48</v>
      </c>
      <c r="D1501" s="13">
        <f>+1.4</f>
        <v>1.4</v>
      </c>
      <c r="E1501" s="14">
        <f>+0.45%</f>
        <v>0.0045</v>
      </c>
      <c r="F1501" s="6">
        <v>314.61</v>
      </c>
      <c r="G1501" s="6">
        <v>314.37</v>
      </c>
      <c r="H1501" s="6">
        <v>315.48</v>
      </c>
      <c r="I1501" s="9">
        <v>4.4793179E7</v>
      </c>
      <c r="J1501" s="6">
        <v>1.410494110006E10</v>
      </c>
    </row>
    <row r="1502">
      <c r="A1502" s="4" t="s">
        <v>10</v>
      </c>
      <c r="B1502" s="5">
        <v>43797.0</v>
      </c>
      <c r="C1502" s="10"/>
      <c r="D1502" s="7"/>
      <c r="E1502" s="8"/>
      <c r="F1502" s="10"/>
      <c r="G1502" s="10"/>
      <c r="H1502" s="10"/>
      <c r="I1502" s="15"/>
      <c r="J1502" s="10"/>
    </row>
    <row r="1503">
      <c r="A1503" s="4" t="s">
        <v>10</v>
      </c>
      <c r="B1503" s="5">
        <v>43798.0</v>
      </c>
      <c r="C1503" s="6">
        <v>314.31</v>
      </c>
      <c r="D1503" s="11">
        <v>-1.17</v>
      </c>
      <c r="E1503" s="12">
        <v>-0.0037</v>
      </c>
      <c r="F1503" s="6">
        <v>314.86</v>
      </c>
      <c r="G1503" s="6">
        <v>314.06</v>
      </c>
      <c r="H1503" s="6">
        <v>315.13</v>
      </c>
      <c r="I1503" s="9">
        <v>3.659274E7</v>
      </c>
      <c r="J1503" s="6">
        <v>1.151435938245E10</v>
      </c>
    </row>
    <row r="1504">
      <c r="A1504" s="4" t="s">
        <v>10</v>
      </c>
      <c r="B1504" s="5">
        <v>43801.0</v>
      </c>
      <c r="C1504" s="6">
        <v>311.64</v>
      </c>
      <c r="D1504" s="11">
        <v>-2.67</v>
      </c>
      <c r="E1504" s="12">
        <v>-0.0085</v>
      </c>
      <c r="F1504" s="6">
        <v>314.59</v>
      </c>
      <c r="G1504" s="6">
        <v>311.17</v>
      </c>
      <c r="H1504" s="6">
        <v>314.66</v>
      </c>
      <c r="I1504" s="9">
        <v>7.6110027E7</v>
      </c>
      <c r="J1504" s="6">
        <v>2.376322780256E10</v>
      </c>
    </row>
    <row r="1505">
      <c r="A1505" s="4" t="s">
        <v>10</v>
      </c>
      <c r="B1505" s="5">
        <v>43802.0</v>
      </c>
      <c r="C1505" s="6">
        <v>309.55</v>
      </c>
      <c r="D1505" s="11">
        <v>-2.09</v>
      </c>
      <c r="E1505" s="12">
        <v>-0.0067</v>
      </c>
      <c r="F1505" s="6">
        <v>308.65</v>
      </c>
      <c r="G1505" s="6">
        <v>307.13</v>
      </c>
      <c r="H1505" s="6">
        <v>309.64</v>
      </c>
      <c r="I1505" s="9">
        <v>7.5172709E7</v>
      </c>
      <c r="J1505" s="6">
        <v>2.320181451712E10</v>
      </c>
    </row>
    <row r="1506">
      <c r="A1506" s="4" t="s">
        <v>10</v>
      </c>
      <c r="B1506" s="5">
        <v>43803.0</v>
      </c>
      <c r="C1506" s="6">
        <v>311.46</v>
      </c>
      <c r="D1506" s="13">
        <f>+1.91</f>
        <v>1.91</v>
      </c>
      <c r="E1506" s="14">
        <f>+0.62%</f>
        <v>0.0062</v>
      </c>
      <c r="F1506" s="6">
        <v>310.7</v>
      </c>
      <c r="G1506" s="6">
        <v>310.32</v>
      </c>
      <c r="H1506" s="6">
        <v>312.12</v>
      </c>
      <c r="I1506" s="9">
        <v>4.9190402E7</v>
      </c>
      <c r="J1506" s="6">
        <v>1.53197826434E10</v>
      </c>
    </row>
    <row r="1507">
      <c r="A1507" s="4" t="s">
        <v>10</v>
      </c>
      <c r="B1507" s="5">
        <v>43804.0</v>
      </c>
      <c r="C1507" s="6">
        <v>312.02</v>
      </c>
      <c r="D1507" s="13">
        <f>+0.56</f>
        <v>0.56</v>
      </c>
      <c r="E1507" s="14">
        <f>+0.18%</f>
        <v>0.0018</v>
      </c>
      <c r="F1507" s="6">
        <v>312.23</v>
      </c>
      <c r="G1507" s="6">
        <v>310.58</v>
      </c>
      <c r="H1507" s="6">
        <v>312.25</v>
      </c>
      <c r="I1507" s="9">
        <v>4.0781669E7</v>
      </c>
      <c r="J1507" s="6">
        <v>1.270756635927E10</v>
      </c>
    </row>
    <row r="1508">
      <c r="A1508" s="4" t="s">
        <v>10</v>
      </c>
      <c r="B1508" s="5">
        <v>43805.0</v>
      </c>
      <c r="C1508" s="6">
        <v>314.87</v>
      </c>
      <c r="D1508" s="13">
        <f>+2.85</f>
        <v>2.85</v>
      </c>
      <c r="E1508" s="14">
        <f>+0.91%</f>
        <v>0.0091</v>
      </c>
      <c r="F1508" s="6">
        <v>314.12</v>
      </c>
      <c r="G1508" s="6">
        <v>314.11</v>
      </c>
      <c r="H1508" s="6">
        <v>315.31</v>
      </c>
      <c r="I1508" s="9">
        <v>4.8956767E7</v>
      </c>
      <c r="J1508" s="6">
        <v>1.540428652932E10</v>
      </c>
    </row>
    <row r="1509">
      <c r="A1509" s="4" t="s">
        <v>10</v>
      </c>
      <c r="B1509" s="5">
        <v>43808.0</v>
      </c>
      <c r="C1509" s="6">
        <v>313.88</v>
      </c>
      <c r="D1509" s="11">
        <v>-0.99</v>
      </c>
      <c r="E1509" s="12">
        <v>-0.0031</v>
      </c>
      <c r="F1509" s="6">
        <v>314.44</v>
      </c>
      <c r="G1509" s="6">
        <v>313.8</v>
      </c>
      <c r="H1509" s="6">
        <v>315.18</v>
      </c>
      <c r="I1509" s="9">
        <v>3.4904315E7</v>
      </c>
      <c r="J1509" s="6">
        <v>1.097471942872E10</v>
      </c>
    </row>
    <row r="1510">
      <c r="A1510" s="4" t="s">
        <v>10</v>
      </c>
      <c r="B1510" s="5">
        <v>43809.0</v>
      </c>
      <c r="C1510" s="6">
        <v>313.53</v>
      </c>
      <c r="D1510" s="11">
        <v>-0.35</v>
      </c>
      <c r="E1510" s="12">
        <v>-0.0011</v>
      </c>
      <c r="F1510" s="6">
        <v>313.82</v>
      </c>
      <c r="G1510" s="6">
        <v>312.81</v>
      </c>
      <c r="H1510" s="6">
        <v>314.55</v>
      </c>
      <c r="I1510" s="9">
        <v>5.3107133E7</v>
      </c>
      <c r="J1510" s="6">
        <v>1.666169798788E10</v>
      </c>
    </row>
    <row r="1511">
      <c r="A1511" s="4" t="s">
        <v>10</v>
      </c>
      <c r="B1511" s="5">
        <v>43810.0</v>
      </c>
      <c r="C1511" s="6">
        <v>314.42</v>
      </c>
      <c r="D1511" s="13">
        <f>+0.89</f>
        <v>0.89</v>
      </c>
      <c r="E1511" s="14">
        <f>+0.28%</f>
        <v>0.0028</v>
      </c>
      <c r="F1511" s="6">
        <v>314.03</v>
      </c>
      <c r="G1511" s="6">
        <v>313.44</v>
      </c>
      <c r="H1511" s="6">
        <v>314.7</v>
      </c>
      <c r="I1511" s="9">
        <v>5.352145E7</v>
      </c>
      <c r="J1511" s="6">
        <v>1.68109675597E10</v>
      </c>
    </row>
    <row r="1512">
      <c r="A1512" s="4" t="s">
        <v>10</v>
      </c>
      <c r="B1512" s="5">
        <v>43811.0</v>
      </c>
      <c r="C1512" s="6">
        <v>317.13</v>
      </c>
      <c r="D1512" s="13">
        <f>+2.71</f>
        <v>2.71</v>
      </c>
      <c r="E1512" s="14">
        <f>+0.86%</f>
        <v>0.0086</v>
      </c>
      <c r="F1512" s="6">
        <v>314.43</v>
      </c>
      <c r="G1512" s="6">
        <v>314.17</v>
      </c>
      <c r="H1512" s="6">
        <v>317.99</v>
      </c>
      <c r="I1512" s="9">
        <v>9.6585802E7</v>
      </c>
      <c r="J1512" s="6">
        <v>3.058548915496E10</v>
      </c>
    </row>
    <row r="1513">
      <c r="A1513" s="4" t="s">
        <v>10</v>
      </c>
      <c r="B1513" s="5">
        <v>43812.0</v>
      </c>
      <c r="C1513" s="6">
        <v>317.32</v>
      </c>
      <c r="D1513" s="13">
        <f>+0.19</f>
        <v>0.19</v>
      </c>
      <c r="E1513" s="14">
        <f>+0.06%</f>
        <v>0.0006</v>
      </c>
      <c r="F1513" s="6">
        <v>316.87</v>
      </c>
      <c r="G1513" s="6">
        <v>316.02</v>
      </c>
      <c r="H1513" s="6">
        <v>318.67</v>
      </c>
      <c r="I1513" s="9">
        <v>8.1546487E7</v>
      </c>
      <c r="J1513" s="6">
        <v>2.58760269199E10</v>
      </c>
    </row>
    <row r="1514">
      <c r="A1514" s="4" t="s">
        <v>10</v>
      </c>
      <c r="B1514" s="5">
        <v>43815.0</v>
      </c>
      <c r="C1514" s="6">
        <v>319.5</v>
      </c>
      <c r="D1514" s="13">
        <f>+2.18</f>
        <v>2.18</v>
      </c>
      <c r="E1514" s="14">
        <f>+0.69%</f>
        <v>0.0069</v>
      </c>
      <c r="F1514" s="6">
        <v>319.22</v>
      </c>
      <c r="G1514" s="6">
        <v>317.25</v>
      </c>
      <c r="H1514" s="6">
        <v>320.15</v>
      </c>
      <c r="I1514" s="9">
        <v>8.2836128E7</v>
      </c>
      <c r="J1514" s="6">
        <v>2.646211122369E10</v>
      </c>
    </row>
    <row r="1515">
      <c r="A1515" s="4" t="s">
        <v>10</v>
      </c>
      <c r="B1515" s="5">
        <v>43816.0</v>
      </c>
      <c r="C1515" s="6">
        <v>319.57</v>
      </c>
      <c r="D1515" s="13">
        <f>+0.07</f>
        <v>0.07</v>
      </c>
      <c r="E1515" s="14">
        <f>+0.02%</f>
        <v>0.0002</v>
      </c>
      <c r="F1515" s="6">
        <v>319.92</v>
      </c>
      <c r="G1515" s="6">
        <v>319.48</v>
      </c>
      <c r="H1515" s="6">
        <v>320.25</v>
      </c>
      <c r="I1515" s="9">
        <v>6.1131769E7</v>
      </c>
      <c r="J1515" s="6">
        <v>1.954376145129E10</v>
      </c>
    </row>
    <row r="1516">
      <c r="A1516" s="4" t="s">
        <v>10</v>
      </c>
      <c r="B1516" s="5">
        <v>43817.0</v>
      </c>
      <c r="C1516" s="6">
        <v>319.59</v>
      </c>
      <c r="D1516" s="13">
        <f>+0.02</f>
        <v>0.02</v>
      </c>
      <c r="E1516" s="14">
        <f>+0.01%</f>
        <v>0.0001</v>
      </c>
      <c r="F1516" s="6">
        <v>320.0</v>
      </c>
      <c r="G1516" s="6">
        <v>319.53</v>
      </c>
      <c r="H1516" s="6">
        <v>320.25</v>
      </c>
      <c r="I1516" s="9">
        <v>4.8199955E7</v>
      </c>
      <c r="J1516" s="6">
        <v>1.541472157528E10</v>
      </c>
    </row>
    <row r="1517">
      <c r="A1517" s="4" t="s">
        <v>10</v>
      </c>
      <c r="B1517" s="5">
        <v>43818.0</v>
      </c>
      <c r="C1517" s="6">
        <v>320.9</v>
      </c>
      <c r="D1517" s="13">
        <f>+1.31</f>
        <v>1.31</v>
      </c>
      <c r="E1517" s="14">
        <f>+0.41%</f>
        <v>0.0041</v>
      </c>
      <c r="F1517" s="6">
        <v>319.8</v>
      </c>
      <c r="G1517" s="6">
        <v>319.52</v>
      </c>
      <c r="H1517" s="6">
        <v>320.98</v>
      </c>
      <c r="I1517" s="9">
        <v>8.5388424E7</v>
      </c>
      <c r="J1517" s="6">
        <v>2.735945982201E10</v>
      </c>
    </row>
    <row r="1518">
      <c r="A1518" s="4" t="s">
        <v>10</v>
      </c>
      <c r="B1518" s="5">
        <v>43819.0</v>
      </c>
      <c r="C1518" s="6">
        <v>320.73</v>
      </c>
      <c r="D1518" s="11">
        <v>-0.17</v>
      </c>
      <c r="E1518" s="12">
        <v>-5.0E-4</v>
      </c>
      <c r="F1518" s="6">
        <v>320.46</v>
      </c>
      <c r="G1518" s="6">
        <v>319.39</v>
      </c>
      <c r="H1518" s="6">
        <v>321.97</v>
      </c>
      <c r="I1518" s="9">
        <v>1.49338215E8</v>
      </c>
      <c r="J1518" s="6">
        <v>4.794560876924E10</v>
      </c>
    </row>
    <row r="1519">
      <c r="A1519" s="4" t="s">
        <v>10</v>
      </c>
      <c r="B1519" s="5">
        <v>43822.0</v>
      </c>
      <c r="C1519" s="6">
        <v>321.22</v>
      </c>
      <c r="D1519" s="13">
        <f>+0.49</f>
        <v>0.49</v>
      </c>
      <c r="E1519" s="14">
        <f>+0.15%</f>
        <v>0.0015</v>
      </c>
      <c r="F1519" s="6">
        <v>321.59</v>
      </c>
      <c r="G1519" s="6">
        <v>321.06</v>
      </c>
      <c r="H1519" s="6">
        <v>321.65</v>
      </c>
      <c r="I1519" s="9">
        <v>5.3015641E7</v>
      </c>
      <c r="J1519" s="6">
        <v>1.703422288829E10</v>
      </c>
    </row>
    <row r="1520">
      <c r="A1520" s="4" t="s">
        <v>10</v>
      </c>
      <c r="B1520" s="5">
        <v>43823.0</v>
      </c>
      <c r="C1520" s="6">
        <v>321.23</v>
      </c>
      <c r="D1520" s="13">
        <f>+0.01</f>
        <v>0.01</v>
      </c>
      <c r="E1520" s="14">
        <f>+0%</f>
        <v>0</v>
      </c>
      <c r="F1520" s="6">
        <v>321.47</v>
      </c>
      <c r="G1520" s="6">
        <v>320.9</v>
      </c>
      <c r="H1520" s="6">
        <v>321.52</v>
      </c>
      <c r="I1520" s="9">
        <v>2.0270007E7</v>
      </c>
      <c r="J1520" s="6">
        <v>6.51034117483E9</v>
      </c>
    </row>
    <row r="1521">
      <c r="A1521" s="4" t="s">
        <v>10</v>
      </c>
      <c r="B1521" s="5">
        <v>43824.0</v>
      </c>
      <c r="C1521" s="10"/>
      <c r="D1521" s="7"/>
      <c r="E1521" s="8"/>
      <c r="F1521" s="10"/>
      <c r="G1521" s="10"/>
      <c r="H1521" s="10"/>
      <c r="I1521" s="15"/>
      <c r="J1521" s="10"/>
    </row>
    <row r="1522">
      <c r="A1522" s="4" t="s">
        <v>10</v>
      </c>
      <c r="B1522" s="5">
        <v>43825.0</v>
      </c>
      <c r="C1522" s="6">
        <v>322.94</v>
      </c>
      <c r="D1522" s="13">
        <f>+1.71</f>
        <v>1.71</v>
      </c>
      <c r="E1522" s="14">
        <f>+0.53%</f>
        <v>0.0053</v>
      </c>
      <c r="F1522" s="6">
        <v>321.65</v>
      </c>
      <c r="G1522" s="6">
        <v>321.64</v>
      </c>
      <c r="H1522" s="6">
        <v>322.95</v>
      </c>
      <c r="I1522" s="9">
        <v>3.1024188E7</v>
      </c>
      <c r="J1522" s="6">
        <v>9.99385432655E9</v>
      </c>
    </row>
    <row r="1523">
      <c r="A1523" s="4" t="s">
        <v>10</v>
      </c>
      <c r="B1523" s="5">
        <v>43826.0</v>
      </c>
      <c r="C1523" s="6">
        <v>322.86</v>
      </c>
      <c r="D1523" s="11">
        <v>-0.08</v>
      </c>
      <c r="E1523" s="12">
        <v>-2.0E-4</v>
      </c>
      <c r="F1523" s="6">
        <v>323.74</v>
      </c>
      <c r="G1523" s="6">
        <v>322.28</v>
      </c>
      <c r="H1523" s="6">
        <v>323.8</v>
      </c>
      <c r="I1523" s="9">
        <v>4.255482E7</v>
      </c>
      <c r="J1523" s="6">
        <v>1.374507737264E10</v>
      </c>
    </row>
    <row r="1524">
      <c r="A1524" s="4" t="s">
        <v>10</v>
      </c>
      <c r="B1524" s="5">
        <v>43829.0</v>
      </c>
      <c r="C1524" s="6">
        <v>321.08</v>
      </c>
      <c r="D1524" s="11">
        <v>-1.78</v>
      </c>
      <c r="E1524" s="12">
        <v>-0.0055</v>
      </c>
      <c r="F1524" s="6">
        <v>322.95</v>
      </c>
      <c r="G1524" s="6">
        <v>320.55</v>
      </c>
      <c r="H1524" s="6">
        <v>323.1</v>
      </c>
      <c r="I1524" s="9">
        <v>4.978273E7</v>
      </c>
      <c r="J1524" s="6">
        <v>1.600339545395E10</v>
      </c>
    </row>
    <row r="1525">
      <c r="A1525" s="4" t="s">
        <v>10</v>
      </c>
      <c r="B1525" s="5">
        <v>43830.0</v>
      </c>
      <c r="C1525" s="6">
        <v>321.86</v>
      </c>
      <c r="D1525" s="13">
        <f>+0.78</f>
        <v>0.78</v>
      </c>
      <c r="E1525" s="14">
        <f>+0.24%</f>
        <v>0.0024</v>
      </c>
      <c r="F1525" s="6">
        <v>320.53</v>
      </c>
      <c r="G1525" s="6">
        <v>320.15</v>
      </c>
      <c r="H1525" s="6">
        <v>322.13</v>
      </c>
      <c r="I1525" s="9">
        <v>5.7106998E7</v>
      </c>
      <c r="J1525" s="6">
        <v>1.835302912729E10</v>
      </c>
    </row>
    <row r="1526">
      <c r="A1526" s="4" t="s">
        <v>10</v>
      </c>
      <c r="B1526" s="5">
        <v>43831.0</v>
      </c>
      <c r="C1526" s="10"/>
      <c r="D1526" s="7"/>
      <c r="E1526" s="8"/>
      <c r="F1526" s="10"/>
      <c r="G1526" s="10"/>
      <c r="H1526" s="10"/>
      <c r="I1526" s="15"/>
      <c r="J1526" s="10"/>
    </row>
    <row r="1527">
      <c r="A1527" s="4" t="s">
        <v>10</v>
      </c>
      <c r="B1527" s="5">
        <v>43832.0</v>
      </c>
      <c r="C1527" s="6">
        <v>324.87</v>
      </c>
      <c r="D1527" s="13">
        <f>+3.01</f>
        <v>3.01</v>
      </c>
      <c r="E1527" s="14">
        <f>+0.94%</f>
        <v>0.0094</v>
      </c>
      <c r="F1527" s="6">
        <v>323.54</v>
      </c>
      <c r="G1527" s="6">
        <v>322.53</v>
      </c>
      <c r="H1527" s="6">
        <v>324.89</v>
      </c>
      <c r="I1527" s="9">
        <v>5.9253833E7</v>
      </c>
      <c r="J1527" s="6">
        <v>1.918105964596E10</v>
      </c>
    </row>
    <row r="1528">
      <c r="A1528" s="4" t="s">
        <v>10</v>
      </c>
      <c r="B1528" s="5">
        <v>43833.0</v>
      </c>
      <c r="C1528" s="6">
        <v>322.41</v>
      </c>
      <c r="D1528" s="11">
        <v>-2.46</v>
      </c>
      <c r="E1528" s="12">
        <v>-0.0076</v>
      </c>
      <c r="F1528" s="6">
        <v>321.16</v>
      </c>
      <c r="G1528" s="6">
        <v>321.1</v>
      </c>
      <c r="H1528" s="6">
        <v>323.64</v>
      </c>
      <c r="I1528" s="9">
        <v>7.7783121E7</v>
      </c>
      <c r="J1528" s="6">
        <v>2.51077459544E10</v>
      </c>
    </row>
    <row r="1529">
      <c r="A1529" s="4" t="s">
        <v>10</v>
      </c>
      <c r="B1529" s="5">
        <v>43836.0</v>
      </c>
      <c r="C1529" s="6">
        <v>323.64</v>
      </c>
      <c r="D1529" s="13">
        <f>+1.23</f>
        <v>1.23</v>
      </c>
      <c r="E1529" s="14">
        <f>+0.38%</f>
        <v>0.0038</v>
      </c>
      <c r="F1529" s="6">
        <v>320.49</v>
      </c>
      <c r="G1529" s="6">
        <v>320.36</v>
      </c>
      <c r="H1529" s="6">
        <v>323.73</v>
      </c>
      <c r="I1529" s="9">
        <v>5.5761948E7</v>
      </c>
      <c r="J1529" s="6">
        <v>1.799569096367E10</v>
      </c>
    </row>
    <row r="1530">
      <c r="A1530" s="4" t="s">
        <v>10</v>
      </c>
      <c r="B1530" s="5">
        <v>43837.0</v>
      </c>
      <c r="C1530" s="6">
        <v>322.73</v>
      </c>
      <c r="D1530" s="11">
        <v>-0.91</v>
      </c>
      <c r="E1530" s="12">
        <v>-0.0028</v>
      </c>
      <c r="F1530" s="6">
        <v>323.02</v>
      </c>
      <c r="G1530" s="6">
        <v>322.24</v>
      </c>
      <c r="H1530" s="6">
        <v>323.54</v>
      </c>
      <c r="I1530" s="9">
        <v>4.2854811E7</v>
      </c>
      <c r="J1530" s="6">
        <v>1.382975110113E10</v>
      </c>
    </row>
    <row r="1531">
      <c r="A1531" s="4" t="s">
        <v>10</v>
      </c>
      <c r="B1531" s="5">
        <v>43838.0</v>
      </c>
      <c r="C1531" s="6">
        <v>324.45</v>
      </c>
      <c r="D1531" s="13">
        <f>+1.72</f>
        <v>1.72</v>
      </c>
      <c r="E1531" s="14">
        <f>+0.53%</f>
        <v>0.0053</v>
      </c>
      <c r="F1531" s="6">
        <v>322.94</v>
      </c>
      <c r="G1531" s="6">
        <v>322.67</v>
      </c>
      <c r="H1531" s="6">
        <v>325.78</v>
      </c>
      <c r="I1531" s="9">
        <v>6.8434153E7</v>
      </c>
      <c r="J1531" s="6">
        <v>2.219537987561E10</v>
      </c>
    </row>
    <row r="1532">
      <c r="A1532" s="4" t="s">
        <v>10</v>
      </c>
      <c r="B1532" s="5">
        <v>43839.0</v>
      </c>
      <c r="C1532" s="6">
        <v>326.65</v>
      </c>
      <c r="D1532" s="13">
        <f>+2.2</f>
        <v>2.2</v>
      </c>
      <c r="E1532" s="14">
        <f>+0.68%</f>
        <v>0.0068</v>
      </c>
      <c r="F1532" s="6">
        <v>326.16</v>
      </c>
      <c r="G1532" s="6">
        <v>325.52</v>
      </c>
      <c r="H1532" s="6">
        <v>326.73</v>
      </c>
      <c r="I1532" s="9">
        <v>4.8569601E7</v>
      </c>
      <c r="J1532" s="6">
        <v>1.583823255707E10</v>
      </c>
    </row>
    <row r="1533">
      <c r="A1533" s="4" t="s">
        <v>10</v>
      </c>
      <c r="B1533" s="5">
        <v>43840.0</v>
      </c>
      <c r="C1533" s="6">
        <v>325.71</v>
      </c>
      <c r="D1533" s="11">
        <v>-0.94</v>
      </c>
      <c r="E1533" s="12">
        <v>-0.0029</v>
      </c>
      <c r="F1533" s="6">
        <v>327.29</v>
      </c>
      <c r="G1533" s="6">
        <v>325.2</v>
      </c>
      <c r="H1533" s="6">
        <v>327.46</v>
      </c>
      <c r="I1533" s="9">
        <v>5.3057389E7</v>
      </c>
      <c r="J1533" s="6">
        <v>1.731833759154E10</v>
      </c>
    </row>
    <row r="1534">
      <c r="A1534" s="4" t="s">
        <v>10</v>
      </c>
      <c r="B1534" s="5">
        <v>43843.0</v>
      </c>
      <c r="C1534" s="6">
        <v>327.95</v>
      </c>
      <c r="D1534" s="13">
        <f>+2.24</f>
        <v>2.24</v>
      </c>
      <c r="E1534" s="14">
        <f>+0.69%</f>
        <v>0.0069</v>
      </c>
      <c r="F1534" s="6">
        <v>326.39</v>
      </c>
      <c r="G1534" s="6">
        <v>325.92</v>
      </c>
      <c r="H1534" s="6">
        <v>327.96</v>
      </c>
      <c r="I1534" s="9">
        <v>4.726201E7</v>
      </c>
      <c r="J1534" s="6">
        <v>1.546744278775E10</v>
      </c>
    </row>
    <row r="1535">
      <c r="A1535" s="4" t="s">
        <v>10</v>
      </c>
      <c r="B1535" s="5">
        <v>43844.0</v>
      </c>
      <c r="C1535" s="6">
        <v>327.45</v>
      </c>
      <c r="D1535" s="11">
        <v>-0.5</v>
      </c>
      <c r="E1535" s="12">
        <v>-0.0015</v>
      </c>
      <c r="F1535" s="6">
        <v>327.47</v>
      </c>
      <c r="G1535" s="6">
        <v>326.84</v>
      </c>
      <c r="H1535" s="6">
        <v>328.62</v>
      </c>
      <c r="I1535" s="9">
        <v>6.3036384E7</v>
      </c>
      <c r="J1535" s="6">
        <v>2.065067185452E10</v>
      </c>
    </row>
    <row r="1536">
      <c r="A1536" s="4" t="s">
        <v>10</v>
      </c>
      <c r="B1536" s="5">
        <v>43845.0</v>
      </c>
      <c r="C1536" s="6">
        <v>328.19</v>
      </c>
      <c r="D1536" s="13">
        <f>+0.74</f>
        <v>0.74</v>
      </c>
      <c r="E1536" s="14">
        <f>+0.23%</f>
        <v>0.0023</v>
      </c>
      <c r="F1536" s="6">
        <v>327.35</v>
      </c>
      <c r="G1536" s="6">
        <v>327.26</v>
      </c>
      <c r="H1536" s="6">
        <v>329.02</v>
      </c>
      <c r="I1536" s="9">
        <v>7.2056598E7</v>
      </c>
      <c r="J1536" s="6">
        <v>2.364499644243E10</v>
      </c>
    </row>
    <row r="1537">
      <c r="A1537" s="4" t="s">
        <v>10</v>
      </c>
      <c r="B1537" s="5">
        <v>43846.0</v>
      </c>
      <c r="C1537" s="6">
        <v>330.92</v>
      </c>
      <c r="D1537" s="13">
        <f>+2.73</f>
        <v>2.73</v>
      </c>
      <c r="E1537" s="14">
        <f>+0.83%</f>
        <v>0.0083</v>
      </c>
      <c r="F1537" s="6">
        <v>329.7</v>
      </c>
      <c r="G1537" s="6">
        <v>329.45</v>
      </c>
      <c r="H1537" s="6">
        <v>330.92</v>
      </c>
      <c r="I1537" s="9">
        <v>5.4050328E7</v>
      </c>
      <c r="J1537" s="6">
        <v>1.784161594243E10</v>
      </c>
    </row>
    <row r="1538">
      <c r="A1538" s="4" t="s">
        <v>10</v>
      </c>
      <c r="B1538" s="5">
        <v>43847.0</v>
      </c>
      <c r="C1538" s="6">
        <v>331.95</v>
      </c>
      <c r="D1538" s="13">
        <f>+1.03</f>
        <v>1.03</v>
      </c>
      <c r="E1538" s="14">
        <f>+0.31%</f>
        <v>0.0031</v>
      </c>
      <c r="F1538" s="6">
        <v>331.7</v>
      </c>
      <c r="G1538" s="6">
        <v>330.85</v>
      </c>
      <c r="H1538" s="6">
        <v>332.18</v>
      </c>
      <c r="I1538" s="9">
        <v>9.5846017E7</v>
      </c>
      <c r="J1538" s="6">
        <v>3.17826904999E10</v>
      </c>
    </row>
    <row r="1539">
      <c r="A1539" s="4" t="s">
        <v>10</v>
      </c>
      <c r="B1539" s="5">
        <v>43850.0</v>
      </c>
      <c r="C1539" s="10"/>
      <c r="D1539" s="7"/>
      <c r="E1539" s="8"/>
      <c r="F1539" s="10"/>
      <c r="G1539" s="10"/>
      <c r="H1539" s="10"/>
      <c r="I1539" s="15"/>
      <c r="J1539" s="10"/>
    </row>
    <row r="1540">
      <c r="A1540" s="4" t="s">
        <v>10</v>
      </c>
      <c r="B1540" s="5">
        <v>43851.0</v>
      </c>
      <c r="C1540" s="6">
        <v>331.3</v>
      </c>
      <c r="D1540" s="11">
        <v>-0.65</v>
      </c>
      <c r="E1540" s="12">
        <v>-0.002</v>
      </c>
      <c r="F1540" s="6">
        <v>330.9</v>
      </c>
      <c r="G1540" s="6">
        <v>330.82</v>
      </c>
      <c r="H1540" s="6">
        <v>332.18</v>
      </c>
      <c r="I1540" s="9">
        <v>7.7742415E7</v>
      </c>
      <c r="J1540" s="6">
        <v>2.57729063931E10</v>
      </c>
    </row>
    <row r="1541">
      <c r="A1541" s="4" t="s">
        <v>10</v>
      </c>
      <c r="B1541" s="5">
        <v>43852.0</v>
      </c>
      <c r="C1541" s="6">
        <v>331.34</v>
      </c>
      <c r="D1541" s="13">
        <f>+0.04</f>
        <v>0.04</v>
      </c>
      <c r="E1541" s="14">
        <f>+0.01%</f>
        <v>0.0001</v>
      </c>
      <c r="F1541" s="6">
        <v>332.24</v>
      </c>
      <c r="G1541" s="6">
        <v>331.17</v>
      </c>
      <c r="H1541" s="6">
        <v>332.95</v>
      </c>
      <c r="I1541" s="9">
        <v>4.8914899E7</v>
      </c>
      <c r="J1541" s="6">
        <v>1.623494255753E10</v>
      </c>
    </row>
    <row r="1542">
      <c r="A1542" s="4" t="s">
        <v>10</v>
      </c>
      <c r="B1542" s="5">
        <v>43853.0</v>
      </c>
      <c r="C1542" s="6">
        <v>331.72</v>
      </c>
      <c r="D1542" s="13">
        <f>+0.38</f>
        <v>0.38</v>
      </c>
      <c r="E1542" s="14">
        <f>+0.11%</f>
        <v>0.0011</v>
      </c>
      <c r="F1542" s="6">
        <v>330.63</v>
      </c>
      <c r="G1542" s="6">
        <v>329.41</v>
      </c>
      <c r="H1542" s="6">
        <v>332.17</v>
      </c>
      <c r="I1542" s="9">
        <v>5.1962994E7</v>
      </c>
      <c r="J1542" s="6">
        <v>1.719817217839E10</v>
      </c>
    </row>
    <row r="1543">
      <c r="A1543" s="4" t="s">
        <v>10</v>
      </c>
      <c r="B1543" s="5">
        <v>43854.0</v>
      </c>
      <c r="C1543" s="6">
        <v>328.77</v>
      </c>
      <c r="D1543" s="11">
        <v>-2.95</v>
      </c>
      <c r="E1543" s="12">
        <v>-0.0089</v>
      </c>
      <c r="F1543" s="6">
        <v>332.44</v>
      </c>
      <c r="G1543" s="6">
        <v>327.36</v>
      </c>
      <c r="H1543" s="6">
        <v>332.53</v>
      </c>
      <c r="I1543" s="9">
        <v>8.7578442E7</v>
      </c>
      <c r="J1543" s="6">
        <v>2.886420197368E10</v>
      </c>
    </row>
    <row r="1544">
      <c r="A1544" s="4" t="s">
        <v>10</v>
      </c>
      <c r="B1544" s="5">
        <v>43857.0</v>
      </c>
      <c r="C1544" s="6">
        <v>323.5</v>
      </c>
      <c r="D1544" s="11">
        <v>-5.27</v>
      </c>
      <c r="E1544" s="12">
        <v>-0.016</v>
      </c>
      <c r="F1544" s="6">
        <v>323.03</v>
      </c>
      <c r="G1544" s="6">
        <v>322.66</v>
      </c>
      <c r="H1544" s="6">
        <v>325.12</v>
      </c>
      <c r="I1544" s="9">
        <v>8.4062463E7</v>
      </c>
      <c r="J1544" s="6">
        <v>2.72482849026E10</v>
      </c>
    </row>
    <row r="1545">
      <c r="A1545" s="4" t="s">
        <v>10</v>
      </c>
      <c r="B1545" s="5">
        <v>43858.0</v>
      </c>
      <c r="C1545" s="6">
        <v>326.89</v>
      </c>
      <c r="D1545" s="13">
        <f>+3.39</f>
        <v>3.39</v>
      </c>
      <c r="E1545" s="14">
        <f>+1.05%</f>
        <v>0.0105</v>
      </c>
      <c r="F1545" s="6">
        <v>325.06</v>
      </c>
      <c r="G1545" s="6">
        <v>323.6</v>
      </c>
      <c r="H1545" s="6">
        <v>327.85</v>
      </c>
      <c r="I1545" s="9">
        <v>6.3833953E7</v>
      </c>
      <c r="J1545" s="6">
        <v>2.084450288135E10</v>
      </c>
    </row>
    <row r="1546">
      <c r="A1546" s="4" t="s">
        <v>10</v>
      </c>
      <c r="B1546" s="5">
        <v>43859.0</v>
      </c>
      <c r="C1546" s="6">
        <v>326.62</v>
      </c>
      <c r="D1546" s="11">
        <v>-0.27</v>
      </c>
      <c r="E1546" s="12">
        <v>-8.0E-4</v>
      </c>
      <c r="F1546" s="6">
        <v>328.38</v>
      </c>
      <c r="G1546" s="6">
        <v>326.4</v>
      </c>
      <c r="H1546" s="6">
        <v>328.63</v>
      </c>
      <c r="I1546" s="9">
        <v>5.4040889E7</v>
      </c>
      <c r="J1546" s="6">
        <v>1.768970650353E10</v>
      </c>
    </row>
    <row r="1547">
      <c r="A1547" s="4" t="s">
        <v>10</v>
      </c>
      <c r="B1547" s="5">
        <v>43860.0</v>
      </c>
      <c r="C1547" s="6">
        <v>327.68</v>
      </c>
      <c r="D1547" s="13">
        <f>+1.06</f>
        <v>1.06</v>
      </c>
      <c r="E1547" s="14">
        <f>+0.32%</f>
        <v>0.0032</v>
      </c>
      <c r="F1547" s="6">
        <v>324.36</v>
      </c>
      <c r="G1547" s="6">
        <v>323.54</v>
      </c>
      <c r="H1547" s="6">
        <v>327.91</v>
      </c>
      <c r="I1547" s="9">
        <v>7.5491844E7</v>
      </c>
      <c r="J1547" s="6">
        <v>2.457934619595E10</v>
      </c>
    </row>
    <row r="1548">
      <c r="A1548" s="4" t="s">
        <v>10</v>
      </c>
      <c r="B1548" s="5">
        <v>43861.0</v>
      </c>
      <c r="C1548" s="6">
        <v>321.73</v>
      </c>
      <c r="D1548" s="11">
        <v>-5.95</v>
      </c>
      <c r="E1548" s="12">
        <v>-0.0182</v>
      </c>
      <c r="F1548" s="6">
        <v>327.0</v>
      </c>
      <c r="G1548" s="6">
        <v>320.73</v>
      </c>
      <c r="H1548" s="6">
        <v>327.17</v>
      </c>
      <c r="I1548" s="9">
        <v>1.13845576E8</v>
      </c>
      <c r="J1548" s="6">
        <v>3.677327271389E10</v>
      </c>
    </row>
    <row r="1549">
      <c r="A1549" s="4" t="s">
        <v>10</v>
      </c>
      <c r="B1549" s="5">
        <v>43864.0</v>
      </c>
      <c r="C1549" s="6">
        <v>324.12</v>
      </c>
      <c r="D1549" s="13">
        <f>+2.39</f>
        <v>2.39</v>
      </c>
      <c r="E1549" s="14">
        <f>+0.74%</f>
        <v>0.0074</v>
      </c>
      <c r="F1549" s="6">
        <v>323.35</v>
      </c>
      <c r="G1549" s="6">
        <v>323.22</v>
      </c>
      <c r="H1549" s="6">
        <v>326.16</v>
      </c>
      <c r="I1549" s="9">
        <v>6.9242293E7</v>
      </c>
      <c r="J1549" s="6">
        <v>2.246199336827E10</v>
      </c>
    </row>
    <row r="1550">
      <c r="A1550" s="4" t="s">
        <v>10</v>
      </c>
      <c r="B1550" s="5">
        <v>43865.0</v>
      </c>
      <c r="C1550" s="6">
        <v>329.06</v>
      </c>
      <c r="D1550" s="13">
        <f>+4.94</f>
        <v>4.94</v>
      </c>
      <c r="E1550" s="14">
        <f>+1.52%</f>
        <v>0.0152</v>
      </c>
      <c r="F1550" s="6">
        <v>328.07</v>
      </c>
      <c r="G1550" s="6">
        <v>327.72</v>
      </c>
      <c r="H1550" s="6">
        <v>330.01</v>
      </c>
      <c r="I1550" s="9">
        <v>6.257319E7</v>
      </c>
      <c r="J1550" s="6">
        <v>2.05623486937E10</v>
      </c>
    </row>
    <row r="1551">
      <c r="A1551" s="4" t="s">
        <v>10</v>
      </c>
      <c r="B1551" s="5">
        <v>43866.0</v>
      </c>
      <c r="C1551" s="6">
        <v>332.86</v>
      </c>
      <c r="D1551" s="13">
        <f>+3.8</f>
        <v>3.8</v>
      </c>
      <c r="E1551" s="14">
        <f>+1.15%</f>
        <v>0.0115</v>
      </c>
      <c r="F1551" s="6">
        <v>332.27</v>
      </c>
      <c r="G1551" s="6">
        <v>330.67</v>
      </c>
      <c r="H1551" s="6">
        <v>333.09</v>
      </c>
      <c r="I1551" s="9">
        <v>6.5951146E7</v>
      </c>
      <c r="J1551" s="6">
        <v>2.189590053948E10</v>
      </c>
    </row>
    <row r="1552">
      <c r="A1552" s="4" t="s">
        <v>10</v>
      </c>
      <c r="B1552" s="5">
        <v>43867.0</v>
      </c>
      <c r="C1552" s="6">
        <v>333.98</v>
      </c>
      <c r="D1552" s="13">
        <f>+1.12</f>
        <v>1.12</v>
      </c>
      <c r="E1552" s="14">
        <f>+0.34%</f>
        <v>0.0034</v>
      </c>
      <c r="F1552" s="6">
        <v>333.91</v>
      </c>
      <c r="G1552" s="6">
        <v>332.8</v>
      </c>
      <c r="H1552" s="6">
        <v>334.19</v>
      </c>
      <c r="I1552" s="9">
        <v>5.0359688E7</v>
      </c>
      <c r="J1552" s="6">
        <v>1.680136667114E10</v>
      </c>
    </row>
    <row r="1553">
      <c r="A1553" s="4" t="s">
        <v>10</v>
      </c>
      <c r="B1553" s="5">
        <v>43868.0</v>
      </c>
      <c r="C1553" s="6">
        <v>332.2</v>
      </c>
      <c r="D1553" s="11">
        <v>-1.78</v>
      </c>
      <c r="E1553" s="12">
        <v>-0.0053</v>
      </c>
      <c r="F1553" s="6">
        <v>332.82</v>
      </c>
      <c r="G1553" s="6">
        <v>331.6</v>
      </c>
      <c r="H1553" s="6">
        <v>333.99</v>
      </c>
      <c r="I1553" s="9">
        <v>6.4139443E7</v>
      </c>
      <c r="J1553" s="6">
        <v>2.133770202835E10</v>
      </c>
    </row>
    <row r="1554">
      <c r="A1554" s="4" t="s">
        <v>10</v>
      </c>
      <c r="B1554" s="5">
        <v>43871.0</v>
      </c>
      <c r="C1554" s="6">
        <v>334.68</v>
      </c>
      <c r="D1554" s="13">
        <f>+2.48</f>
        <v>2.48</v>
      </c>
      <c r="E1554" s="14">
        <f>+0.75%</f>
        <v>0.0075</v>
      </c>
      <c r="F1554" s="6">
        <v>331.23</v>
      </c>
      <c r="G1554" s="6">
        <v>331.19</v>
      </c>
      <c r="H1554" s="6">
        <v>334.75</v>
      </c>
      <c r="I1554" s="9">
        <v>4.2070006E7</v>
      </c>
      <c r="J1554" s="6">
        <v>1.402946496562E10</v>
      </c>
    </row>
    <row r="1555">
      <c r="A1555" s="4" t="s">
        <v>10</v>
      </c>
      <c r="B1555" s="5">
        <v>43872.0</v>
      </c>
      <c r="C1555" s="6">
        <v>335.26</v>
      </c>
      <c r="D1555" s="13">
        <f>+0.58</f>
        <v>0.58</v>
      </c>
      <c r="E1555" s="14">
        <f>+0.17%</f>
        <v>0.0017</v>
      </c>
      <c r="F1555" s="6">
        <v>336.16</v>
      </c>
      <c r="G1555" s="6">
        <v>334.68</v>
      </c>
      <c r="H1555" s="6">
        <v>337.02</v>
      </c>
      <c r="I1555" s="9">
        <v>5.4864533E7</v>
      </c>
      <c r="J1555" s="6">
        <v>1.842098128316E10</v>
      </c>
    </row>
    <row r="1556">
      <c r="A1556" s="4" t="s">
        <v>10</v>
      </c>
      <c r="B1556" s="5">
        <v>43873.0</v>
      </c>
      <c r="C1556" s="6">
        <v>337.42</v>
      </c>
      <c r="D1556" s="13">
        <f>+2.16</f>
        <v>2.16</v>
      </c>
      <c r="E1556" s="14">
        <f>+0.64%</f>
        <v>0.0064</v>
      </c>
      <c r="F1556" s="6">
        <v>336.83</v>
      </c>
      <c r="G1556" s="6">
        <v>336.43</v>
      </c>
      <c r="H1556" s="6">
        <v>337.65</v>
      </c>
      <c r="I1556" s="9">
        <v>4.3992662E7</v>
      </c>
      <c r="J1556" s="6">
        <v>1.482342339153E10</v>
      </c>
    </row>
    <row r="1557">
      <c r="A1557" s="4" t="s">
        <v>10</v>
      </c>
      <c r="B1557" s="5">
        <v>43874.0</v>
      </c>
      <c r="C1557" s="6">
        <v>337.06</v>
      </c>
      <c r="D1557" s="11">
        <v>-0.36</v>
      </c>
      <c r="E1557" s="12">
        <v>-0.0011</v>
      </c>
      <c r="F1557" s="6">
        <v>335.86</v>
      </c>
      <c r="G1557" s="6">
        <v>335.56</v>
      </c>
      <c r="H1557" s="6">
        <v>338.12</v>
      </c>
      <c r="I1557" s="9">
        <v>5.4501922E7</v>
      </c>
      <c r="J1557" s="6">
        <v>1.837003391716E10</v>
      </c>
    </row>
    <row r="1558">
      <c r="A1558" s="4" t="s">
        <v>10</v>
      </c>
      <c r="B1558" s="5">
        <v>43875.0</v>
      </c>
      <c r="C1558" s="6">
        <v>337.6</v>
      </c>
      <c r="D1558" s="13">
        <f>+0.54</f>
        <v>0.54</v>
      </c>
      <c r="E1558" s="14">
        <f>+0.16%</f>
        <v>0.0016</v>
      </c>
      <c r="F1558" s="6">
        <v>337.51</v>
      </c>
      <c r="G1558" s="6">
        <v>336.2</v>
      </c>
      <c r="H1558" s="6">
        <v>337.73</v>
      </c>
      <c r="I1558" s="9">
        <v>6.458221E7</v>
      </c>
      <c r="J1558" s="6">
        <v>2.177385807169E10</v>
      </c>
    </row>
    <row r="1559">
      <c r="A1559" s="4" t="s">
        <v>10</v>
      </c>
      <c r="B1559" s="5">
        <v>43878.0</v>
      </c>
      <c r="C1559" s="10"/>
      <c r="D1559" s="7"/>
      <c r="E1559" s="8"/>
      <c r="F1559" s="10"/>
      <c r="G1559" s="10"/>
      <c r="H1559" s="10"/>
      <c r="I1559" s="15"/>
      <c r="J1559" s="10"/>
    </row>
    <row r="1560">
      <c r="A1560" s="4" t="s">
        <v>10</v>
      </c>
      <c r="B1560" s="5">
        <v>43879.0</v>
      </c>
      <c r="C1560" s="6">
        <v>336.73</v>
      </c>
      <c r="D1560" s="11">
        <v>-0.87</v>
      </c>
      <c r="E1560" s="12">
        <v>-0.0026</v>
      </c>
      <c r="F1560" s="6">
        <v>336.51</v>
      </c>
      <c r="G1560" s="6">
        <v>335.21</v>
      </c>
      <c r="H1560" s="6">
        <v>337.67</v>
      </c>
      <c r="I1560" s="9">
        <v>5.7342526E7</v>
      </c>
      <c r="J1560" s="6">
        <v>1.929897474063E10</v>
      </c>
    </row>
    <row r="1561">
      <c r="A1561" s="4" t="s">
        <v>10</v>
      </c>
      <c r="B1561" s="5">
        <v>43880.0</v>
      </c>
      <c r="C1561" s="6">
        <v>338.34</v>
      </c>
      <c r="D1561" s="13">
        <f>+1.61</f>
        <v>1.61</v>
      </c>
      <c r="E1561" s="14">
        <f>+0.48%</f>
        <v>0.0048</v>
      </c>
      <c r="F1561" s="6">
        <v>337.79</v>
      </c>
      <c r="G1561" s="6">
        <v>337.48</v>
      </c>
      <c r="H1561" s="6">
        <v>339.08</v>
      </c>
      <c r="I1561" s="9">
        <v>4.8814692E7</v>
      </c>
      <c r="J1561" s="6">
        <v>1.651192181467E10</v>
      </c>
    </row>
    <row r="1562">
      <c r="A1562" s="4" t="s">
        <v>10</v>
      </c>
      <c r="B1562" s="5">
        <v>43881.0</v>
      </c>
      <c r="C1562" s="6">
        <v>336.95</v>
      </c>
      <c r="D1562" s="11">
        <v>-1.39</v>
      </c>
      <c r="E1562" s="12">
        <v>-0.0041</v>
      </c>
      <c r="F1562" s="6">
        <v>337.74</v>
      </c>
      <c r="G1562" s="6">
        <v>333.68</v>
      </c>
      <c r="H1562" s="6">
        <v>338.64</v>
      </c>
      <c r="I1562" s="9">
        <v>7.4163362E7</v>
      </c>
      <c r="J1562" s="6">
        <v>2.494691494663E10</v>
      </c>
    </row>
    <row r="1563">
      <c r="A1563" s="4" t="s">
        <v>10</v>
      </c>
      <c r="B1563" s="5">
        <v>43882.0</v>
      </c>
      <c r="C1563" s="6">
        <v>333.48</v>
      </c>
      <c r="D1563" s="11">
        <v>-3.47</v>
      </c>
      <c r="E1563" s="12">
        <v>-0.0103</v>
      </c>
      <c r="F1563" s="6">
        <v>335.47</v>
      </c>
      <c r="G1563" s="6">
        <v>332.58</v>
      </c>
      <c r="H1563" s="6">
        <v>335.81</v>
      </c>
      <c r="I1563" s="9">
        <v>1.13788208E8</v>
      </c>
      <c r="J1563" s="6">
        <v>3.801481079426E10</v>
      </c>
    </row>
    <row r="1564">
      <c r="A1564" s="4" t="s">
        <v>10</v>
      </c>
      <c r="B1564" s="5">
        <v>43885.0</v>
      </c>
      <c r="C1564" s="6">
        <v>322.42</v>
      </c>
      <c r="D1564" s="11">
        <v>-11.06</v>
      </c>
      <c r="E1564" s="12">
        <v>-0.0332</v>
      </c>
      <c r="F1564" s="6">
        <v>323.14</v>
      </c>
      <c r="G1564" s="6">
        <v>321.24</v>
      </c>
      <c r="H1564" s="6">
        <v>333.56</v>
      </c>
      <c r="I1564" s="9">
        <v>1.61088409E8</v>
      </c>
      <c r="J1564" s="6">
        <v>5.224353062726E10</v>
      </c>
    </row>
    <row r="1565">
      <c r="A1565" s="4" t="s">
        <v>10</v>
      </c>
      <c r="B1565" s="5">
        <v>43886.0</v>
      </c>
      <c r="C1565" s="6">
        <v>312.65</v>
      </c>
      <c r="D1565" s="11">
        <v>-9.77</v>
      </c>
      <c r="E1565" s="12">
        <v>-0.0303</v>
      </c>
      <c r="F1565" s="6">
        <v>323.94</v>
      </c>
      <c r="G1565" s="6">
        <v>311.69</v>
      </c>
      <c r="H1565" s="6">
        <v>324.61</v>
      </c>
      <c r="I1565" s="9">
        <v>2.18913168E8</v>
      </c>
      <c r="J1565" s="6">
        <v>6.92846801293E10</v>
      </c>
    </row>
    <row r="1566">
      <c r="A1566" s="4" t="s">
        <v>10</v>
      </c>
      <c r="B1566" s="5">
        <v>43887.0</v>
      </c>
      <c r="C1566" s="6">
        <v>311.5</v>
      </c>
      <c r="D1566" s="11">
        <v>-1.15</v>
      </c>
      <c r="E1566" s="12">
        <v>-0.0037</v>
      </c>
      <c r="F1566" s="6">
        <v>314.18</v>
      </c>
      <c r="G1566" s="6">
        <v>310.7</v>
      </c>
      <c r="H1566" s="6">
        <v>318.11</v>
      </c>
      <c r="I1566" s="9">
        <v>1.94773819E8</v>
      </c>
      <c r="J1566" s="6">
        <v>6.10827690385E10</v>
      </c>
    </row>
    <row r="1567">
      <c r="A1567" s="4" t="s">
        <v>10</v>
      </c>
      <c r="B1567" s="5">
        <v>43888.0</v>
      </c>
      <c r="C1567" s="6">
        <v>297.51</v>
      </c>
      <c r="D1567" s="11">
        <v>-13.99</v>
      </c>
      <c r="E1567" s="12">
        <v>-0.0449</v>
      </c>
      <c r="F1567" s="6">
        <v>305.46</v>
      </c>
      <c r="G1567" s="6">
        <v>297.51</v>
      </c>
      <c r="H1567" s="6">
        <v>311.56</v>
      </c>
      <c r="I1567" s="9">
        <v>2.84353459E8</v>
      </c>
      <c r="J1567" s="6">
        <v>8.652610751242E10</v>
      </c>
    </row>
    <row r="1568">
      <c r="A1568" s="4" t="s">
        <v>10</v>
      </c>
      <c r="B1568" s="5">
        <v>43889.0</v>
      </c>
      <c r="C1568" s="6">
        <v>296.26</v>
      </c>
      <c r="D1568" s="11">
        <v>-1.25</v>
      </c>
      <c r="E1568" s="12">
        <v>-0.0042</v>
      </c>
      <c r="F1568" s="6">
        <v>288.7</v>
      </c>
      <c r="G1568" s="6">
        <v>285.54</v>
      </c>
      <c r="H1568" s="6">
        <v>297.89</v>
      </c>
      <c r="I1568" s="9">
        <v>3.8576402E8</v>
      </c>
      <c r="J1568" s="6">
        <v>1.1274704741781E11</v>
      </c>
    </row>
    <row r="1569">
      <c r="A1569" s="4" t="s">
        <v>10</v>
      </c>
      <c r="B1569" s="5">
        <v>43892.0</v>
      </c>
      <c r="C1569" s="6">
        <v>309.09</v>
      </c>
      <c r="D1569" s="13">
        <f>+12.83</f>
        <v>12.83</v>
      </c>
      <c r="E1569" s="14">
        <f>+4.33%</f>
        <v>0.0433</v>
      </c>
      <c r="F1569" s="6">
        <v>298.21</v>
      </c>
      <c r="G1569" s="6">
        <v>294.46</v>
      </c>
      <c r="H1569" s="6">
        <v>309.16</v>
      </c>
      <c r="I1569" s="9">
        <v>2.38703625E8</v>
      </c>
      <c r="J1569" s="6">
        <v>7.195500836984E10</v>
      </c>
    </row>
    <row r="1570">
      <c r="A1570" s="4" t="s">
        <v>10</v>
      </c>
      <c r="B1570" s="5">
        <v>43893.0</v>
      </c>
      <c r="C1570" s="6">
        <v>300.24</v>
      </c>
      <c r="D1570" s="11">
        <v>-8.85</v>
      </c>
      <c r="E1570" s="12">
        <v>-0.0286</v>
      </c>
      <c r="F1570" s="6">
        <v>309.5</v>
      </c>
      <c r="G1570" s="6">
        <v>297.57</v>
      </c>
      <c r="H1570" s="6">
        <v>313.84</v>
      </c>
      <c r="I1570" s="9">
        <v>3.00139149E8</v>
      </c>
      <c r="J1570" s="6">
        <v>9.141791904199E10</v>
      </c>
    </row>
    <row r="1571">
      <c r="A1571" s="4" t="s">
        <v>10</v>
      </c>
      <c r="B1571" s="5">
        <v>43894.0</v>
      </c>
      <c r="C1571" s="6">
        <v>312.86</v>
      </c>
      <c r="D1571" s="13">
        <f>+12.62</f>
        <v>12.62</v>
      </c>
      <c r="E1571" s="14">
        <f>+4.2%</f>
        <v>0.042</v>
      </c>
      <c r="F1571" s="6">
        <v>306.12</v>
      </c>
      <c r="G1571" s="6">
        <v>303.33</v>
      </c>
      <c r="H1571" s="6">
        <v>313.1</v>
      </c>
      <c r="I1571" s="9">
        <v>1.76613448E8</v>
      </c>
      <c r="J1571" s="6">
        <v>5.43958730921E10</v>
      </c>
    </row>
    <row r="1572">
      <c r="A1572" s="4" t="s">
        <v>10</v>
      </c>
      <c r="B1572" s="5">
        <v>43895.0</v>
      </c>
      <c r="C1572" s="6">
        <v>302.46</v>
      </c>
      <c r="D1572" s="11">
        <v>-10.4</v>
      </c>
      <c r="E1572" s="12">
        <v>-0.0332</v>
      </c>
      <c r="F1572" s="6">
        <v>304.98</v>
      </c>
      <c r="G1572" s="6">
        <v>300.01</v>
      </c>
      <c r="H1572" s="6">
        <v>308.47</v>
      </c>
      <c r="I1572" s="9">
        <v>1.86366809E8</v>
      </c>
      <c r="J1572" s="6">
        <v>5.673553552316E10</v>
      </c>
    </row>
    <row r="1573">
      <c r="A1573" s="4" t="s">
        <v>10</v>
      </c>
      <c r="B1573" s="5">
        <v>43896.0</v>
      </c>
      <c r="C1573" s="6">
        <v>297.46</v>
      </c>
      <c r="D1573" s="11">
        <v>-5.0</v>
      </c>
      <c r="E1573" s="12">
        <v>-0.0165</v>
      </c>
      <c r="F1573" s="6">
        <v>293.15</v>
      </c>
      <c r="G1573" s="6">
        <v>290.23</v>
      </c>
      <c r="H1573" s="6">
        <v>298.78</v>
      </c>
      <c r="I1573" s="9">
        <v>2.28667168E8</v>
      </c>
      <c r="J1573" s="6">
        <v>6.751385680363E10</v>
      </c>
    </row>
    <row r="1574">
      <c r="A1574" s="4" t="s">
        <v>10</v>
      </c>
      <c r="B1574" s="5">
        <v>43899.0</v>
      </c>
      <c r="C1574" s="6">
        <v>274.23</v>
      </c>
      <c r="D1574" s="11">
        <v>-23.23</v>
      </c>
      <c r="E1574" s="12">
        <v>-0.0781</v>
      </c>
      <c r="F1574" s="6">
        <v>275.3</v>
      </c>
      <c r="G1574" s="6">
        <v>273.45</v>
      </c>
      <c r="H1574" s="6">
        <v>284.19</v>
      </c>
      <c r="I1574" s="9">
        <v>3.09417349E8</v>
      </c>
      <c r="J1574" s="6">
        <v>8.673549738956E10</v>
      </c>
    </row>
    <row r="1575">
      <c r="A1575" s="4" t="s">
        <v>10</v>
      </c>
      <c r="B1575" s="5">
        <v>43900.0</v>
      </c>
      <c r="C1575" s="6">
        <v>288.42</v>
      </c>
      <c r="D1575" s="13">
        <f>+14.19</f>
        <v>14.19</v>
      </c>
      <c r="E1575" s="14">
        <f>+5.17%</f>
        <v>0.0517</v>
      </c>
      <c r="F1575" s="6">
        <v>284.64</v>
      </c>
      <c r="G1575" s="6">
        <v>273.5</v>
      </c>
      <c r="H1575" s="6">
        <v>288.52</v>
      </c>
      <c r="I1575" s="9">
        <v>2.76444058E8</v>
      </c>
      <c r="J1575" s="6">
        <v>7.771708759056E10</v>
      </c>
    </row>
    <row r="1576">
      <c r="A1576" s="4" t="s">
        <v>10</v>
      </c>
      <c r="B1576" s="5">
        <v>43901.0</v>
      </c>
      <c r="C1576" s="6">
        <v>274.36</v>
      </c>
      <c r="D1576" s="11">
        <v>-14.06</v>
      </c>
      <c r="E1576" s="12">
        <v>-0.0487</v>
      </c>
      <c r="F1576" s="6">
        <v>280.7</v>
      </c>
      <c r="G1576" s="6">
        <v>270.88</v>
      </c>
      <c r="H1576" s="6">
        <v>281.94</v>
      </c>
      <c r="I1576" s="9">
        <v>2.56416563E8</v>
      </c>
      <c r="J1576" s="6">
        <v>7.118557455613E10</v>
      </c>
    </row>
    <row r="1577">
      <c r="A1577" s="4" t="s">
        <v>10</v>
      </c>
      <c r="B1577" s="5">
        <v>43902.0</v>
      </c>
      <c r="C1577" s="6">
        <v>248.11</v>
      </c>
      <c r="D1577" s="11">
        <v>-26.25</v>
      </c>
      <c r="E1577" s="12">
        <v>-0.0957</v>
      </c>
      <c r="F1577" s="6">
        <v>256.0</v>
      </c>
      <c r="G1577" s="6">
        <v>247.68</v>
      </c>
      <c r="H1577" s="6">
        <v>266.66</v>
      </c>
      <c r="I1577" s="9">
        <v>3.92220669E8</v>
      </c>
      <c r="J1577" s="6">
        <v>1.0028933146714E11</v>
      </c>
    </row>
    <row r="1578">
      <c r="A1578" s="4" t="s">
        <v>10</v>
      </c>
      <c r="B1578" s="5">
        <v>43903.0</v>
      </c>
      <c r="C1578" s="6">
        <v>269.32</v>
      </c>
      <c r="D1578" s="13">
        <f>+21.21</f>
        <v>21.21</v>
      </c>
      <c r="E1578" s="14">
        <f>+8.55%</f>
        <v>0.0855</v>
      </c>
      <c r="F1578" s="6">
        <v>263.09</v>
      </c>
      <c r="G1578" s="6">
        <v>248.52</v>
      </c>
      <c r="H1578" s="6">
        <v>271.48</v>
      </c>
      <c r="I1578" s="9">
        <v>3.295661E8</v>
      </c>
      <c r="J1578" s="6">
        <v>8.526545811248E10</v>
      </c>
    </row>
    <row r="1579">
      <c r="A1579" s="4" t="s">
        <v>10</v>
      </c>
      <c r="B1579" s="5">
        <v>43906.0</v>
      </c>
      <c r="C1579" s="6">
        <v>239.85</v>
      </c>
      <c r="D1579" s="11">
        <v>-29.47</v>
      </c>
      <c r="E1579" s="12">
        <v>-0.1094</v>
      </c>
      <c r="F1579" s="6">
        <v>241.18</v>
      </c>
      <c r="G1579" s="6">
        <v>237.36</v>
      </c>
      <c r="H1579" s="6">
        <v>256.9</v>
      </c>
      <c r="I1579" s="9">
        <v>2.97240027E8</v>
      </c>
      <c r="J1579" s="6">
        <v>7.394531165517E10</v>
      </c>
    </row>
    <row r="1580">
      <c r="A1580" s="4" t="s">
        <v>10</v>
      </c>
      <c r="B1580" s="5">
        <v>43907.0</v>
      </c>
      <c r="C1580" s="6">
        <v>252.8</v>
      </c>
      <c r="D1580" s="13">
        <f>+12.95</f>
        <v>12.95</v>
      </c>
      <c r="E1580" s="14">
        <f>+5.4%</f>
        <v>0.054</v>
      </c>
      <c r="F1580" s="6">
        <v>245.04</v>
      </c>
      <c r="G1580" s="6">
        <v>237.07</v>
      </c>
      <c r="H1580" s="6">
        <v>256.17</v>
      </c>
      <c r="I1580" s="9">
        <v>2.62070471E8</v>
      </c>
      <c r="J1580" s="6">
        <v>6.492826364076E10</v>
      </c>
    </row>
    <row r="1581">
      <c r="A1581" s="4" t="s">
        <v>10</v>
      </c>
      <c r="B1581" s="5">
        <v>43908.0</v>
      </c>
      <c r="C1581" s="6">
        <v>240.0</v>
      </c>
      <c r="D1581" s="11">
        <v>-12.8</v>
      </c>
      <c r="E1581" s="12">
        <v>-0.0506</v>
      </c>
      <c r="F1581" s="6">
        <v>236.25</v>
      </c>
      <c r="G1581" s="6">
        <v>228.02</v>
      </c>
      <c r="H1581" s="6">
        <v>248.37</v>
      </c>
      <c r="I1581" s="9">
        <v>3.27597131E8</v>
      </c>
      <c r="J1581" s="6">
        <v>7.791413952566E10</v>
      </c>
    </row>
    <row r="1582">
      <c r="A1582" s="4" t="s">
        <v>10</v>
      </c>
      <c r="B1582" s="5">
        <v>43909.0</v>
      </c>
      <c r="C1582" s="6">
        <v>240.51</v>
      </c>
      <c r="D1582" s="13">
        <f>+0.51</f>
        <v>0.51</v>
      </c>
      <c r="E1582" s="14">
        <f>+0.21%</f>
        <v>0.0021</v>
      </c>
      <c r="F1582" s="6">
        <v>239.25</v>
      </c>
      <c r="G1582" s="6">
        <v>232.22</v>
      </c>
      <c r="H1582" s="6">
        <v>247.38</v>
      </c>
      <c r="I1582" s="9">
        <v>2.89322037E8</v>
      </c>
      <c r="J1582" s="6">
        <v>6.982798486302E10</v>
      </c>
    </row>
    <row r="1583">
      <c r="A1583" s="4" t="s">
        <v>10</v>
      </c>
      <c r="B1583" s="5">
        <v>43910.0</v>
      </c>
      <c r="C1583" s="6">
        <v>228.8</v>
      </c>
      <c r="D1583" s="11">
        <v>-11.71</v>
      </c>
      <c r="E1583" s="12">
        <v>-0.0487</v>
      </c>
      <c r="F1583" s="6">
        <v>242.53</v>
      </c>
      <c r="G1583" s="6">
        <v>228.5</v>
      </c>
      <c r="H1583" s="6">
        <v>244.47</v>
      </c>
      <c r="I1583" s="9">
        <v>3.47158794E8</v>
      </c>
      <c r="J1583" s="6">
        <v>8.219259352428E10</v>
      </c>
    </row>
    <row r="1584">
      <c r="A1584" s="4" t="s">
        <v>10</v>
      </c>
      <c r="B1584" s="5">
        <v>43913.0</v>
      </c>
      <c r="C1584" s="6">
        <v>222.95</v>
      </c>
      <c r="D1584" s="11">
        <v>-5.85</v>
      </c>
      <c r="E1584" s="12">
        <v>-0.0256</v>
      </c>
      <c r="F1584" s="6">
        <v>228.19</v>
      </c>
      <c r="G1584" s="6">
        <v>218.26</v>
      </c>
      <c r="H1584" s="6">
        <v>229.68</v>
      </c>
      <c r="I1584" s="9">
        <v>3.26025169E8</v>
      </c>
      <c r="J1584" s="6">
        <v>7.324990033924E10</v>
      </c>
    </row>
    <row r="1585">
      <c r="A1585" s="4" t="s">
        <v>10</v>
      </c>
      <c r="B1585" s="5">
        <v>43914.0</v>
      </c>
      <c r="C1585" s="6">
        <v>243.15</v>
      </c>
      <c r="D1585" s="13">
        <f>+20.2</f>
        <v>20.2</v>
      </c>
      <c r="E1585" s="14">
        <f>+9.06%</f>
        <v>0.0906</v>
      </c>
      <c r="F1585" s="6">
        <v>234.42</v>
      </c>
      <c r="G1585" s="6">
        <v>233.8</v>
      </c>
      <c r="H1585" s="6">
        <v>244.1</v>
      </c>
      <c r="I1585" s="9">
        <v>2.35494475E8</v>
      </c>
      <c r="J1585" s="6">
        <v>5.598695288411E10</v>
      </c>
    </row>
    <row r="1586">
      <c r="A1586" s="4" t="s">
        <v>10</v>
      </c>
      <c r="B1586" s="5">
        <v>43915.0</v>
      </c>
      <c r="C1586" s="6">
        <v>246.79</v>
      </c>
      <c r="D1586" s="13">
        <f>+3.64</f>
        <v>3.64</v>
      </c>
      <c r="E1586" s="14">
        <f>+1.5%</f>
        <v>0.015</v>
      </c>
      <c r="F1586" s="6">
        <v>244.87</v>
      </c>
      <c r="G1586" s="6">
        <v>239.75</v>
      </c>
      <c r="H1586" s="6">
        <v>256.35</v>
      </c>
      <c r="I1586" s="9">
        <v>2.99430255E8</v>
      </c>
      <c r="J1586" s="6">
        <v>7.42367678434E10</v>
      </c>
    </row>
    <row r="1587">
      <c r="A1587" s="4" t="s">
        <v>10</v>
      </c>
      <c r="B1587" s="5">
        <v>43916.0</v>
      </c>
      <c r="C1587" s="6">
        <v>261.2</v>
      </c>
      <c r="D1587" s="13">
        <f>+14.41</f>
        <v>14.41</v>
      </c>
      <c r="E1587" s="14">
        <f>+5.84%</f>
        <v>0.0584</v>
      </c>
      <c r="F1587" s="6">
        <v>249.52</v>
      </c>
      <c r="G1587" s="6">
        <v>249.05</v>
      </c>
      <c r="H1587" s="6">
        <v>262.8</v>
      </c>
      <c r="I1587" s="9">
        <v>2.57632816E8</v>
      </c>
      <c r="J1587" s="6">
        <v>6.589530323869E10</v>
      </c>
    </row>
    <row r="1588">
      <c r="A1588" s="4" t="s">
        <v>10</v>
      </c>
      <c r="B1588" s="5">
        <v>43917.0</v>
      </c>
      <c r="C1588" s="6">
        <v>253.42</v>
      </c>
      <c r="D1588" s="11">
        <v>-7.78</v>
      </c>
      <c r="E1588" s="12">
        <v>-0.0298</v>
      </c>
      <c r="F1588" s="6">
        <v>253.27</v>
      </c>
      <c r="G1588" s="6">
        <v>251.05</v>
      </c>
      <c r="H1588" s="6">
        <v>260.81</v>
      </c>
      <c r="I1588" s="9">
        <v>2.24341217E8</v>
      </c>
      <c r="J1588" s="6">
        <v>5.728875712681E10</v>
      </c>
    </row>
    <row r="1589">
      <c r="A1589" s="4" t="s">
        <v>10</v>
      </c>
      <c r="B1589" s="5">
        <v>43920.0</v>
      </c>
      <c r="C1589" s="6">
        <v>261.65</v>
      </c>
      <c r="D1589" s="13">
        <f>+8.23</f>
        <v>8.23</v>
      </c>
      <c r="E1589" s="14">
        <f>+3.25%</f>
        <v>0.0325</v>
      </c>
      <c r="F1589" s="6">
        <v>255.7</v>
      </c>
      <c r="G1589" s="6">
        <v>253.53</v>
      </c>
      <c r="H1589" s="6">
        <v>262.43</v>
      </c>
      <c r="I1589" s="9">
        <v>1.70961866E8</v>
      </c>
      <c r="J1589" s="6">
        <v>4.425168794724E10</v>
      </c>
    </row>
    <row r="1590">
      <c r="A1590" s="4" t="s">
        <v>10</v>
      </c>
      <c r="B1590" s="5">
        <v>43921.0</v>
      </c>
      <c r="C1590" s="6">
        <v>257.75</v>
      </c>
      <c r="D1590" s="11">
        <v>-3.9</v>
      </c>
      <c r="E1590" s="12">
        <v>-0.0149</v>
      </c>
      <c r="F1590" s="6">
        <v>260.56</v>
      </c>
      <c r="G1590" s="6">
        <v>256.22</v>
      </c>
      <c r="H1590" s="6">
        <v>263.33</v>
      </c>
      <c r="I1590" s="9">
        <v>1.9488106E8</v>
      </c>
      <c r="J1590" s="6">
        <v>5.062914926001E10</v>
      </c>
    </row>
    <row r="1591">
      <c r="A1591" s="4" t="s">
        <v>10</v>
      </c>
      <c r="B1591" s="5">
        <v>43922.0</v>
      </c>
      <c r="C1591" s="6">
        <v>246.15</v>
      </c>
      <c r="D1591" s="11">
        <v>-11.6</v>
      </c>
      <c r="E1591" s="12">
        <v>-0.045</v>
      </c>
      <c r="F1591" s="6">
        <v>247.98</v>
      </c>
      <c r="G1591" s="6">
        <v>243.9</v>
      </c>
      <c r="H1591" s="6">
        <v>257.66</v>
      </c>
      <c r="I1591" s="9">
        <v>1.89554623E8</v>
      </c>
      <c r="J1591" s="6">
        <v>4.731834245119E10</v>
      </c>
    </row>
    <row r="1592">
      <c r="A1592" s="4" t="s">
        <v>10</v>
      </c>
      <c r="B1592" s="5">
        <v>43923.0</v>
      </c>
      <c r="C1592" s="6">
        <v>251.83</v>
      </c>
      <c r="D1592" s="13">
        <f>+5.68</f>
        <v>5.68</v>
      </c>
      <c r="E1592" s="14">
        <f>+2.31%</f>
        <v>0.0231</v>
      </c>
      <c r="F1592" s="6">
        <v>245.19</v>
      </c>
      <c r="G1592" s="6">
        <v>244.59</v>
      </c>
      <c r="H1592" s="6">
        <v>252.68</v>
      </c>
      <c r="I1592" s="9">
        <v>1.7766043E8</v>
      </c>
      <c r="J1592" s="6">
        <v>4.427985759297E10</v>
      </c>
    </row>
    <row r="1593">
      <c r="A1593" s="4" t="s">
        <v>10</v>
      </c>
      <c r="B1593" s="5">
        <v>43924.0</v>
      </c>
      <c r="C1593" s="6">
        <v>248.19</v>
      </c>
      <c r="D1593" s="11">
        <v>-3.64</v>
      </c>
      <c r="E1593" s="12">
        <v>-0.0145</v>
      </c>
      <c r="F1593" s="6">
        <v>250.76</v>
      </c>
      <c r="G1593" s="6">
        <v>245.22</v>
      </c>
      <c r="H1593" s="6">
        <v>253.32</v>
      </c>
      <c r="I1593" s="9">
        <v>1.35561171E8</v>
      </c>
      <c r="J1593" s="6">
        <v>3.369553882281E10</v>
      </c>
    </row>
    <row r="1594">
      <c r="A1594" s="4" t="s">
        <v>10</v>
      </c>
      <c r="B1594" s="5">
        <v>43927.0</v>
      </c>
      <c r="C1594" s="6">
        <v>264.86</v>
      </c>
      <c r="D1594" s="13">
        <f>+16.67</f>
        <v>16.67</v>
      </c>
      <c r="E1594" s="14">
        <f>+6.72%</f>
        <v>0.0672</v>
      </c>
      <c r="F1594" s="6">
        <v>257.84</v>
      </c>
      <c r="G1594" s="6">
        <v>248.17</v>
      </c>
      <c r="H1594" s="6">
        <v>267.0</v>
      </c>
      <c r="I1594" s="9">
        <v>1.88061238E8</v>
      </c>
      <c r="J1594" s="6">
        <v>4.904166448818E10</v>
      </c>
    </row>
    <row r="1595">
      <c r="A1595" s="4" t="s">
        <v>10</v>
      </c>
      <c r="B1595" s="5">
        <v>43928.0</v>
      </c>
      <c r="C1595" s="6">
        <v>265.13</v>
      </c>
      <c r="D1595" s="13">
        <f>+0.27</f>
        <v>0.27</v>
      </c>
      <c r="E1595" s="14">
        <f>+0.1%</f>
        <v>0.001</v>
      </c>
      <c r="F1595" s="6">
        <v>274.21</v>
      </c>
      <c r="G1595" s="6">
        <v>264.89</v>
      </c>
      <c r="H1595" s="6">
        <v>275.03</v>
      </c>
      <c r="I1595" s="9">
        <v>2.01427189E8</v>
      </c>
      <c r="J1595" s="6">
        <v>5.430884651015E10</v>
      </c>
    </row>
    <row r="1596">
      <c r="A1596" s="4" t="s">
        <v>10</v>
      </c>
      <c r="B1596" s="5">
        <v>43929.0</v>
      </c>
      <c r="C1596" s="6">
        <v>274.03</v>
      </c>
      <c r="D1596" s="13">
        <f>+8.9</f>
        <v>8.9</v>
      </c>
      <c r="E1596" s="14">
        <f>+3.36%</f>
        <v>0.0336</v>
      </c>
      <c r="F1596" s="6">
        <v>267.96</v>
      </c>
      <c r="G1596" s="6">
        <v>265.25</v>
      </c>
      <c r="H1596" s="6">
        <v>276.0</v>
      </c>
      <c r="I1596" s="9">
        <v>1.53774487E8</v>
      </c>
      <c r="J1596" s="6">
        <v>4.168079833938E10</v>
      </c>
    </row>
    <row r="1597">
      <c r="A1597" s="4" t="s">
        <v>10</v>
      </c>
      <c r="B1597" s="5">
        <v>43930.0</v>
      </c>
      <c r="C1597" s="6">
        <v>278.2</v>
      </c>
      <c r="D1597" s="13">
        <f>+4.17</f>
        <v>4.17</v>
      </c>
      <c r="E1597" s="14">
        <f>+1.52%</f>
        <v>0.0152</v>
      </c>
      <c r="F1597" s="6">
        <v>277.58</v>
      </c>
      <c r="G1597" s="6">
        <v>275.47</v>
      </c>
      <c r="H1597" s="6">
        <v>281.2</v>
      </c>
      <c r="I1597" s="9">
        <v>1.90282705E8</v>
      </c>
      <c r="J1597" s="6">
        <v>5.294596501341E10</v>
      </c>
    </row>
    <row r="1598">
      <c r="A1598" s="4" t="s">
        <v>10</v>
      </c>
      <c r="B1598" s="5">
        <v>43931.0</v>
      </c>
      <c r="C1598" s="10"/>
      <c r="D1598" s="7"/>
      <c r="E1598" s="8"/>
      <c r="F1598" s="10"/>
      <c r="G1598" s="10"/>
      <c r="H1598" s="10"/>
      <c r="I1598" s="15"/>
      <c r="J1598" s="10"/>
    </row>
    <row r="1599">
      <c r="A1599" s="4" t="s">
        <v>10</v>
      </c>
      <c r="B1599" s="5">
        <v>43934.0</v>
      </c>
      <c r="C1599" s="6">
        <v>275.66</v>
      </c>
      <c r="D1599" s="11">
        <v>-2.54</v>
      </c>
      <c r="E1599" s="12">
        <v>-0.0091</v>
      </c>
      <c r="F1599" s="6">
        <v>277.14</v>
      </c>
      <c r="G1599" s="6">
        <v>271.41</v>
      </c>
      <c r="H1599" s="6">
        <v>277.51</v>
      </c>
      <c r="I1599" s="9">
        <v>1.14839053E8</v>
      </c>
      <c r="J1599" s="6">
        <v>3.152484990187E10</v>
      </c>
    </row>
    <row r="1600">
      <c r="A1600" s="4" t="s">
        <v>10</v>
      </c>
      <c r="B1600" s="5">
        <v>43935.0</v>
      </c>
      <c r="C1600" s="6">
        <v>283.79</v>
      </c>
      <c r="D1600" s="13">
        <f>+8.13</f>
        <v>8.13</v>
      </c>
      <c r="E1600" s="14">
        <f>+2.95%</f>
        <v>0.0295</v>
      </c>
      <c r="F1600" s="6">
        <v>280.98</v>
      </c>
      <c r="G1600" s="6">
        <v>275.51</v>
      </c>
      <c r="H1600" s="6">
        <v>284.9</v>
      </c>
      <c r="I1600" s="9">
        <v>1.3414335E8</v>
      </c>
      <c r="J1600" s="6">
        <v>3.784044722097E10</v>
      </c>
    </row>
    <row r="1601">
      <c r="A1601" s="4" t="s">
        <v>10</v>
      </c>
      <c r="B1601" s="5">
        <v>43936.0</v>
      </c>
      <c r="C1601" s="6">
        <v>277.76</v>
      </c>
      <c r="D1601" s="11">
        <v>-6.03</v>
      </c>
      <c r="E1601" s="12">
        <v>-0.0212</v>
      </c>
      <c r="F1601" s="6">
        <v>277.57</v>
      </c>
      <c r="G1601" s="6">
        <v>275.46</v>
      </c>
      <c r="H1601" s="6">
        <v>283.94</v>
      </c>
      <c r="I1601" s="9">
        <v>1.21775006E8</v>
      </c>
      <c r="J1601" s="6">
        <v>3.383226763733E10</v>
      </c>
    </row>
    <row r="1602">
      <c r="A1602" s="4" t="s">
        <v>10</v>
      </c>
      <c r="B1602" s="5">
        <v>43937.0</v>
      </c>
      <c r="C1602" s="6">
        <v>279.1</v>
      </c>
      <c r="D1602" s="13">
        <f>+1.34</f>
        <v>1.34</v>
      </c>
      <c r="E1602" s="14">
        <f>+0.48%</f>
        <v>0.0048</v>
      </c>
      <c r="F1602" s="6">
        <v>279.15</v>
      </c>
      <c r="G1602" s="6">
        <v>275.76</v>
      </c>
      <c r="H1602" s="6">
        <v>280.03</v>
      </c>
      <c r="I1602" s="9">
        <v>1.31798325E8</v>
      </c>
      <c r="J1602" s="6">
        <v>3.675184764183E10</v>
      </c>
    </row>
    <row r="1603">
      <c r="A1603" s="4" t="s">
        <v>10</v>
      </c>
      <c r="B1603" s="5">
        <v>43938.0</v>
      </c>
      <c r="C1603" s="6">
        <v>286.64</v>
      </c>
      <c r="D1603" s="13">
        <f>+7.54</f>
        <v>7.54</v>
      </c>
      <c r="E1603" s="14">
        <f>+2.7%</f>
        <v>0.027</v>
      </c>
      <c r="F1603" s="6">
        <v>285.38</v>
      </c>
      <c r="G1603" s="6">
        <v>282.4</v>
      </c>
      <c r="H1603" s="6">
        <v>287.3</v>
      </c>
      <c r="I1603" s="9">
        <v>1.46684784E8</v>
      </c>
      <c r="J1603" s="6">
        <v>4.170375397461E10</v>
      </c>
    </row>
    <row r="1604">
      <c r="A1604" s="4" t="s">
        <v>10</v>
      </c>
      <c r="B1604" s="5">
        <v>43941.0</v>
      </c>
      <c r="C1604" s="6">
        <v>281.59</v>
      </c>
      <c r="D1604" s="11">
        <v>-5.05</v>
      </c>
      <c r="E1604" s="12">
        <v>-0.0176</v>
      </c>
      <c r="F1604" s="6">
        <v>282.61</v>
      </c>
      <c r="G1604" s="6">
        <v>281.35</v>
      </c>
      <c r="H1604" s="6">
        <v>286.79</v>
      </c>
      <c r="I1604" s="9">
        <v>1.00109285E8</v>
      </c>
      <c r="J1604" s="6">
        <v>2.84041320073E10</v>
      </c>
    </row>
    <row r="1605">
      <c r="A1605" s="4" t="s">
        <v>10</v>
      </c>
      <c r="B1605" s="5">
        <v>43942.0</v>
      </c>
      <c r="C1605" s="6">
        <v>273.04</v>
      </c>
      <c r="D1605" s="11">
        <v>-8.55</v>
      </c>
      <c r="E1605" s="12">
        <v>-0.0304</v>
      </c>
      <c r="F1605" s="6">
        <v>276.73</v>
      </c>
      <c r="G1605" s="6">
        <v>272.02</v>
      </c>
      <c r="H1605" s="6">
        <v>278.04</v>
      </c>
      <c r="I1605" s="9">
        <v>1.26385698E8</v>
      </c>
      <c r="J1605" s="6">
        <v>3.472513770429E10</v>
      </c>
    </row>
    <row r="1606">
      <c r="A1606" s="4" t="s">
        <v>10</v>
      </c>
      <c r="B1606" s="5">
        <v>43943.0</v>
      </c>
      <c r="C1606" s="6">
        <v>279.1</v>
      </c>
      <c r="D1606" s="13">
        <f>+6.06</f>
        <v>6.06</v>
      </c>
      <c r="E1606" s="14">
        <f>+2.22%</f>
        <v>0.0222</v>
      </c>
      <c r="F1606" s="6">
        <v>278.35</v>
      </c>
      <c r="G1606" s="6">
        <v>276.91</v>
      </c>
      <c r="H1606" s="6">
        <v>281.0</v>
      </c>
      <c r="I1606" s="9">
        <v>9.3524584E7</v>
      </c>
      <c r="J1606" s="6">
        <v>2.604496114369E10</v>
      </c>
    </row>
    <row r="1607">
      <c r="A1607" s="4" t="s">
        <v>10</v>
      </c>
      <c r="B1607" s="5">
        <v>43944.0</v>
      </c>
      <c r="C1607" s="6">
        <v>279.08</v>
      </c>
      <c r="D1607" s="11">
        <v>-0.02</v>
      </c>
      <c r="E1607" s="12">
        <v>-1.0E-4</v>
      </c>
      <c r="F1607" s="6">
        <v>280.49</v>
      </c>
      <c r="G1607" s="6">
        <v>278.75</v>
      </c>
      <c r="H1607" s="6">
        <v>283.94</v>
      </c>
      <c r="I1607" s="9">
        <v>1.04709693E8</v>
      </c>
      <c r="J1607" s="6">
        <v>2.941992394579E10</v>
      </c>
    </row>
    <row r="1608">
      <c r="A1608" s="4" t="s">
        <v>10</v>
      </c>
      <c r="B1608" s="5">
        <v>43945.0</v>
      </c>
      <c r="C1608" s="6">
        <v>282.97</v>
      </c>
      <c r="D1608" s="13">
        <f>+3.89</f>
        <v>3.89</v>
      </c>
      <c r="E1608" s="14">
        <f>+1.39%</f>
        <v>0.0139</v>
      </c>
      <c r="F1608" s="6">
        <v>280.73</v>
      </c>
      <c r="G1608" s="6">
        <v>278.5</v>
      </c>
      <c r="H1608" s="6">
        <v>283.7</v>
      </c>
      <c r="I1608" s="9">
        <v>8.5165953E7</v>
      </c>
      <c r="J1608" s="6">
        <v>2.393438176037E10</v>
      </c>
    </row>
    <row r="1609">
      <c r="A1609" s="4" t="s">
        <v>10</v>
      </c>
      <c r="B1609" s="5">
        <v>43948.0</v>
      </c>
      <c r="C1609" s="6">
        <v>287.05</v>
      </c>
      <c r="D1609" s="13">
        <f>+4.08</f>
        <v>4.08</v>
      </c>
      <c r="E1609" s="14">
        <f>+1.44%</f>
        <v>0.0144</v>
      </c>
      <c r="F1609" s="6">
        <v>285.12</v>
      </c>
      <c r="G1609" s="6">
        <v>284.62</v>
      </c>
      <c r="H1609" s="6">
        <v>288.27</v>
      </c>
      <c r="I1609" s="9">
        <v>7.7896608E7</v>
      </c>
      <c r="J1609" s="6">
        <v>2.231913828342E10</v>
      </c>
    </row>
    <row r="1610">
      <c r="A1610" s="4" t="s">
        <v>10</v>
      </c>
      <c r="B1610" s="5">
        <v>43949.0</v>
      </c>
      <c r="C1610" s="6">
        <v>285.73</v>
      </c>
      <c r="D1610" s="11">
        <v>-1.32</v>
      </c>
      <c r="E1610" s="12">
        <v>-0.0046</v>
      </c>
      <c r="F1610" s="6">
        <v>291.02</v>
      </c>
      <c r="G1610" s="6">
        <v>285.4</v>
      </c>
      <c r="H1610" s="6">
        <v>291.4</v>
      </c>
      <c r="I1610" s="9">
        <v>1.05269985E8</v>
      </c>
      <c r="J1610" s="6">
        <v>3.029243466145E10</v>
      </c>
    </row>
    <row r="1611">
      <c r="A1611" s="4" t="s">
        <v>10</v>
      </c>
      <c r="B1611" s="5">
        <v>43950.0</v>
      </c>
      <c r="C1611" s="6">
        <v>293.21</v>
      </c>
      <c r="D1611" s="13">
        <f>+7.48</f>
        <v>7.48</v>
      </c>
      <c r="E1611" s="14">
        <f>+2.62%</f>
        <v>0.0262</v>
      </c>
      <c r="F1611" s="6">
        <v>291.53</v>
      </c>
      <c r="G1611" s="6">
        <v>290.41</v>
      </c>
      <c r="H1611" s="6">
        <v>294.88</v>
      </c>
      <c r="I1611" s="9">
        <v>1.18745579E8</v>
      </c>
      <c r="J1611" s="6">
        <v>3.475664181149E10</v>
      </c>
    </row>
    <row r="1612">
      <c r="A1612" s="4" t="s">
        <v>10</v>
      </c>
      <c r="B1612" s="5">
        <v>43951.0</v>
      </c>
      <c r="C1612" s="6">
        <v>290.48</v>
      </c>
      <c r="D1612" s="11">
        <v>-2.73</v>
      </c>
      <c r="E1612" s="12">
        <v>-0.0093</v>
      </c>
      <c r="F1612" s="6">
        <v>291.71</v>
      </c>
      <c r="G1612" s="6">
        <v>288.59</v>
      </c>
      <c r="H1612" s="6">
        <v>293.32</v>
      </c>
      <c r="I1612" s="9">
        <v>1.22901701E8</v>
      </c>
      <c r="J1612" s="6">
        <v>3.571338689733E10</v>
      </c>
    </row>
    <row r="1613">
      <c r="A1613" s="4" t="s">
        <v>10</v>
      </c>
      <c r="B1613" s="5">
        <v>43952.0</v>
      </c>
      <c r="C1613" s="6">
        <v>282.79</v>
      </c>
      <c r="D1613" s="11">
        <v>-7.69</v>
      </c>
      <c r="E1613" s="12">
        <v>-0.0265</v>
      </c>
      <c r="F1613" s="6">
        <v>285.31</v>
      </c>
      <c r="G1613" s="6">
        <v>281.52</v>
      </c>
      <c r="H1613" s="6">
        <v>290.66</v>
      </c>
      <c r="I1613" s="9">
        <v>1.25180028E8</v>
      </c>
      <c r="J1613" s="6">
        <v>3.556274861937E10</v>
      </c>
    </row>
    <row r="1614">
      <c r="A1614" s="4" t="s">
        <v>10</v>
      </c>
      <c r="B1614" s="5">
        <v>43955.0</v>
      </c>
      <c r="C1614" s="6">
        <v>283.57</v>
      </c>
      <c r="D1614" s="13">
        <f>+0.78</f>
        <v>0.78</v>
      </c>
      <c r="E1614" s="14">
        <f>+0.28%</f>
        <v>0.0028</v>
      </c>
      <c r="F1614" s="6">
        <v>280.74</v>
      </c>
      <c r="G1614" s="6">
        <v>279.13</v>
      </c>
      <c r="H1614" s="6">
        <v>283.9</v>
      </c>
      <c r="I1614" s="9">
        <v>8.0873213E7</v>
      </c>
      <c r="J1614" s="6">
        <v>2.27872740272E10</v>
      </c>
    </row>
    <row r="1615">
      <c r="A1615" s="4" t="s">
        <v>10</v>
      </c>
      <c r="B1615" s="5">
        <v>43956.0</v>
      </c>
      <c r="C1615" s="6">
        <v>286.19</v>
      </c>
      <c r="D1615" s="13">
        <f>+2.62</f>
        <v>2.62</v>
      </c>
      <c r="E1615" s="14">
        <f>+0.92%</f>
        <v>0.0092</v>
      </c>
      <c r="F1615" s="6">
        <v>286.64</v>
      </c>
      <c r="G1615" s="6">
        <v>283.71</v>
      </c>
      <c r="H1615" s="6">
        <v>289.25</v>
      </c>
      <c r="I1615" s="9">
        <v>7.9569938E7</v>
      </c>
      <c r="J1615" s="6">
        <v>2.286841620176E10</v>
      </c>
    </row>
    <row r="1616">
      <c r="A1616" s="4" t="s">
        <v>10</v>
      </c>
      <c r="B1616" s="5">
        <v>43957.0</v>
      </c>
      <c r="C1616" s="6">
        <v>284.25</v>
      </c>
      <c r="D1616" s="11">
        <v>-1.94</v>
      </c>
      <c r="E1616" s="12">
        <v>-0.0068</v>
      </c>
      <c r="F1616" s="6">
        <v>288.04</v>
      </c>
      <c r="G1616" s="6">
        <v>283.78</v>
      </c>
      <c r="H1616" s="6">
        <v>288.46</v>
      </c>
      <c r="I1616" s="9">
        <v>7.3632628E7</v>
      </c>
      <c r="J1616" s="6">
        <v>2.106600045086E10</v>
      </c>
    </row>
    <row r="1617">
      <c r="A1617" s="4" t="s">
        <v>10</v>
      </c>
      <c r="B1617" s="5">
        <v>43958.0</v>
      </c>
      <c r="C1617" s="6">
        <v>287.68</v>
      </c>
      <c r="D1617" s="13">
        <f>+3.43</f>
        <v>3.43</v>
      </c>
      <c r="E1617" s="14">
        <f>+1.21%</f>
        <v>0.0121</v>
      </c>
      <c r="F1617" s="6">
        <v>287.75</v>
      </c>
      <c r="G1617" s="6">
        <v>287.13</v>
      </c>
      <c r="H1617" s="6">
        <v>289.78</v>
      </c>
      <c r="I1617" s="9">
        <v>7.5250412E7</v>
      </c>
      <c r="J1617" s="6">
        <v>2.167136284138E10</v>
      </c>
    </row>
    <row r="1618">
      <c r="A1618" s="4" t="s">
        <v>10</v>
      </c>
      <c r="B1618" s="5">
        <v>43959.0</v>
      </c>
      <c r="C1618" s="6">
        <v>292.44</v>
      </c>
      <c r="D1618" s="13">
        <f>+4.76</f>
        <v>4.76</v>
      </c>
      <c r="E1618" s="14">
        <f>+1.65%</f>
        <v>0.0165</v>
      </c>
      <c r="F1618" s="6">
        <v>291.09</v>
      </c>
      <c r="G1618" s="6">
        <v>289.86</v>
      </c>
      <c r="H1618" s="6">
        <v>292.95</v>
      </c>
      <c r="I1618" s="9">
        <v>7.6622128E7</v>
      </c>
      <c r="J1618" s="6">
        <v>2.233249962556E10</v>
      </c>
    </row>
    <row r="1619">
      <c r="A1619" s="4" t="s">
        <v>10</v>
      </c>
      <c r="B1619" s="5">
        <v>43962.0</v>
      </c>
      <c r="C1619" s="6">
        <v>292.5</v>
      </c>
      <c r="D1619" s="13">
        <f>+0.06</f>
        <v>0.06</v>
      </c>
      <c r="E1619" s="14">
        <f>+0.02%</f>
        <v>0.0002</v>
      </c>
      <c r="F1619" s="6">
        <v>290.34</v>
      </c>
      <c r="G1619" s="6">
        <v>289.88</v>
      </c>
      <c r="H1619" s="6">
        <v>294.0</v>
      </c>
      <c r="I1619" s="9">
        <v>7.9514231E7</v>
      </c>
      <c r="J1619" s="6">
        <v>2.324027634616E10</v>
      </c>
    </row>
    <row r="1620">
      <c r="A1620" s="4" t="s">
        <v>10</v>
      </c>
      <c r="B1620" s="5">
        <v>43963.0</v>
      </c>
      <c r="C1620" s="6">
        <v>286.67</v>
      </c>
      <c r="D1620" s="11">
        <v>-5.83</v>
      </c>
      <c r="E1620" s="12">
        <v>-0.0199</v>
      </c>
      <c r="F1620" s="6">
        <v>293.79</v>
      </c>
      <c r="G1620" s="6">
        <v>286.52</v>
      </c>
      <c r="H1620" s="6">
        <v>294.24</v>
      </c>
      <c r="I1620" s="9">
        <v>9.5870786E7</v>
      </c>
      <c r="J1620" s="6">
        <v>2.781904250066E10</v>
      </c>
    </row>
    <row r="1621">
      <c r="A1621" s="4" t="s">
        <v>10</v>
      </c>
      <c r="B1621" s="5">
        <v>43964.0</v>
      </c>
      <c r="C1621" s="6">
        <v>281.6</v>
      </c>
      <c r="D1621" s="11">
        <v>-5.07</v>
      </c>
      <c r="E1621" s="12">
        <v>-0.0177</v>
      </c>
      <c r="F1621" s="6">
        <v>286.06</v>
      </c>
      <c r="G1621" s="6">
        <v>278.97</v>
      </c>
      <c r="H1621" s="6">
        <v>287.19</v>
      </c>
      <c r="I1621" s="9">
        <v>1.44721099E8</v>
      </c>
      <c r="J1621" s="6">
        <v>4.08970842172E10</v>
      </c>
    </row>
    <row r="1622">
      <c r="A1622" s="4" t="s">
        <v>10</v>
      </c>
      <c r="B1622" s="5">
        <v>43965.0</v>
      </c>
      <c r="C1622" s="6">
        <v>284.97</v>
      </c>
      <c r="D1622" s="13">
        <f>+3.37</f>
        <v>3.37</v>
      </c>
      <c r="E1622" s="14">
        <f>+1.2%</f>
        <v>0.012</v>
      </c>
      <c r="F1622" s="6">
        <v>278.95</v>
      </c>
      <c r="G1622" s="6">
        <v>272.99</v>
      </c>
      <c r="H1622" s="6">
        <v>285.11</v>
      </c>
      <c r="I1622" s="9">
        <v>1.2197789E8</v>
      </c>
      <c r="J1622" s="6">
        <v>3.427673877787E10</v>
      </c>
    </row>
    <row r="1623">
      <c r="A1623" s="4" t="s">
        <v>10</v>
      </c>
      <c r="B1623" s="5">
        <v>43966.0</v>
      </c>
      <c r="C1623" s="6">
        <v>286.28</v>
      </c>
      <c r="D1623" s="13">
        <f>+1.31</f>
        <v>1.31</v>
      </c>
      <c r="E1623" s="14">
        <f>+0.46%</f>
        <v>0.0046</v>
      </c>
      <c r="F1623" s="6">
        <v>282.37</v>
      </c>
      <c r="G1623" s="6">
        <v>281.34</v>
      </c>
      <c r="H1623" s="6">
        <v>286.33</v>
      </c>
      <c r="I1623" s="9">
        <v>1.11146276E8</v>
      </c>
      <c r="J1623" s="6">
        <v>3.161298406079E10</v>
      </c>
    </row>
    <row r="1624">
      <c r="A1624" s="4" t="s">
        <v>10</v>
      </c>
      <c r="B1624" s="5">
        <v>43969.0</v>
      </c>
      <c r="C1624" s="6">
        <v>295.0</v>
      </c>
      <c r="D1624" s="13">
        <f>+8.72</f>
        <v>8.72</v>
      </c>
      <c r="E1624" s="14">
        <f>+3.05%</f>
        <v>0.0305</v>
      </c>
      <c r="F1624" s="6">
        <v>293.05</v>
      </c>
      <c r="G1624" s="6">
        <v>292.7</v>
      </c>
      <c r="H1624" s="6">
        <v>296.75</v>
      </c>
      <c r="I1624" s="9">
        <v>1.20320229E8</v>
      </c>
      <c r="J1624" s="6">
        <v>3.535827166376E10</v>
      </c>
    </row>
    <row r="1625">
      <c r="A1625" s="4" t="s">
        <v>10</v>
      </c>
      <c r="B1625" s="5">
        <v>43970.0</v>
      </c>
      <c r="C1625" s="6">
        <v>291.97</v>
      </c>
      <c r="D1625" s="11">
        <v>-3.03</v>
      </c>
      <c r="E1625" s="12">
        <v>-0.0103</v>
      </c>
      <c r="F1625" s="6">
        <v>294.35</v>
      </c>
      <c r="G1625" s="6">
        <v>291.95</v>
      </c>
      <c r="H1625" s="6">
        <v>296.21</v>
      </c>
      <c r="I1625" s="9">
        <v>9.5189316E7</v>
      </c>
      <c r="J1625" s="6">
        <v>2.801275333808E10</v>
      </c>
    </row>
    <row r="1626">
      <c r="A1626" s="4" t="s">
        <v>10</v>
      </c>
      <c r="B1626" s="5">
        <v>43971.0</v>
      </c>
      <c r="C1626" s="6">
        <v>296.93</v>
      </c>
      <c r="D1626" s="13">
        <f>+4.96</f>
        <v>4.96</v>
      </c>
      <c r="E1626" s="14">
        <f>+1.7%</f>
        <v>0.017</v>
      </c>
      <c r="F1626" s="6">
        <v>295.82</v>
      </c>
      <c r="G1626" s="6">
        <v>295.57</v>
      </c>
      <c r="H1626" s="6">
        <v>297.87</v>
      </c>
      <c r="I1626" s="9">
        <v>8.5861691E7</v>
      </c>
      <c r="J1626" s="6">
        <v>2.547280332921E10</v>
      </c>
    </row>
    <row r="1627">
      <c r="A1627" s="4" t="s">
        <v>10</v>
      </c>
      <c r="B1627" s="5">
        <v>43972.0</v>
      </c>
      <c r="C1627" s="6">
        <v>294.88</v>
      </c>
      <c r="D1627" s="11">
        <v>-2.05</v>
      </c>
      <c r="E1627" s="12">
        <v>-0.0069</v>
      </c>
      <c r="F1627" s="6">
        <v>296.79</v>
      </c>
      <c r="G1627" s="6">
        <v>293.69</v>
      </c>
      <c r="H1627" s="6">
        <v>297.67</v>
      </c>
      <c r="I1627" s="9">
        <v>7.8293925E7</v>
      </c>
      <c r="J1627" s="6">
        <v>2.313601145833E10</v>
      </c>
    </row>
    <row r="1628">
      <c r="A1628" s="4" t="s">
        <v>10</v>
      </c>
      <c r="B1628" s="5">
        <v>43973.0</v>
      </c>
      <c r="C1628" s="6">
        <v>295.44</v>
      </c>
      <c r="D1628" s="13">
        <f>+0.56</f>
        <v>0.56</v>
      </c>
      <c r="E1628" s="14">
        <f>+0.19%</f>
        <v>0.0019</v>
      </c>
      <c r="F1628" s="6">
        <v>294.57</v>
      </c>
      <c r="G1628" s="6">
        <v>293.22</v>
      </c>
      <c r="H1628" s="6">
        <v>295.63</v>
      </c>
      <c r="I1628" s="9">
        <v>6.39582E7</v>
      </c>
      <c r="J1628" s="6">
        <v>1.884266506614E10</v>
      </c>
    </row>
    <row r="1629">
      <c r="A1629" s="4" t="s">
        <v>10</v>
      </c>
      <c r="B1629" s="5">
        <v>43976.0</v>
      </c>
      <c r="C1629" s="10"/>
      <c r="D1629" s="7"/>
      <c r="E1629" s="8"/>
      <c r="F1629" s="10"/>
      <c r="G1629" s="10"/>
      <c r="H1629" s="10"/>
      <c r="I1629" s="15"/>
      <c r="J1629" s="10"/>
    </row>
    <row r="1630">
      <c r="A1630" s="4" t="s">
        <v>10</v>
      </c>
      <c r="B1630" s="5">
        <v>43977.0</v>
      </c>
      <c r="C1630" s="6">
        <v>299.08</v>
      </c>
      <c r="D1630" s="13">
        <f>+3.64</f>
        <v>3.64</v>
      </c>
      <c r="E1630" s="14">
        <f>+1.23%</f>
        <v>0.0123</v>
      </c>
      <c r="F1630" s="6">
        <v>301.93</v>
      </c>
      <c r="G1630" s="6">
        <v>295.46</v>
      </c>
      <c r="H1630" s="6">
        <v>302.19</v>
      </c>
      <c r="I1630" s="9">
        <v>8.8951442E7</v>
      </c>
      <c r="J1630" s="6">
        <v>2.667278987037E10</v>
      </c>
    </row>
    <row r="1631">
      <c r="A1631" s="4" t="s">
        <v>10</v>
      </c>
      <c r="B1631" s="5">
        <v>43978.0</v>
      </c>
      <c r="C1631" s="6">
        <v>303.53</v>
      </c>
      <c r="D1631" s="13">
        <f>+4.45</f>
        <v>4.45</v>
      </c>
      <c r="E1631" s="14">
        <f>+1.49%</f>
        <v>0.0149</v>
      </c>
      <c r="F1631" s="6">
        <v>302.12</v>
      </c>
      <c r="G1631" s="6">
        <v>296.87</v>
      </c>
      <c r="H1631" s="6">
        <v>303.57</v>
      </c>
      <c r="I1631" s="9">
        <v>1.04817449E8</v>
      </c>
      <c r="J1631" s="6">
        <v>3.152273154676E10</v>
      </c>
    </row>
    <row r="1632">
      <c r="A1632" s="4" t="s">
        <v>10</v>
      </c>
      <c r="B1632" s="5">
        <v>43979.0</v>
      </c>
      <c r="C1632" s="6">
        <v>302.97</v>
      </c>
      <c r="D1632" s="11">
        <v>-0.56</v>
      </c>
      <c r="E1632" s="12">
        <v>-0.0018</v>
      </c>
      <c r="F1632" s="6">
        <v>304.65</v>
      </c>
      <c r="G1632" s="6">
        <v>302.24</v>
      </c>
      <c r="H1632" s="6">
        <v>306.84</v>
      </c>
      <c r="I1632" s="9">
        <v>9.0767807E7</v>
      </c>
      <c r="J1632" s="6">
        <v>2.764191923747E10</v>
      </c>
    </row>
    <row r="1633">
      <c r="A1633" s="4" t="s">
        <v>10</v>
      </c>
      <c r="B1633" s="5">
        <v>43980.0</v>
      </c>
      <c r="C1633" s="6">
        <v>304.32</v>
      </c>
      <c r="D1633" s="13">
        <f>+1.35</f>
        <v>1.35</v>
      </c>
      <c r="E1633" s="14">
        <f>+0.45%</f>
        <v>0.0045</v>
      </c>
      <c r="F1633" s="6">
        <v>302.46</v>
      </c>
      <c r="G1633" s="6">
        <v>299.47</v>
      </c>
      <c r="H1633" s="6">
        <v>304.96</v>
      </c>
      <c r="I1633" s="9">
        <v>1.19265702E8</v>
      </c>
      <c r="J1633" s="6">
        <v>3.610812853395E10</v>
      </c>
    </row>
    <row r="1634">
      <c r="A1634" s="4" t="s">
        <v>10</v>
      </c>
      <c r="B1634" s="5">
        <v>43983.0</v>
      </c>
      <c r="C1634" s="6">
        <v>305.55</v>
      </c>
      <c r="D1634" s="13">
        <f>+1.23</f>
        <v>1.23</v>
      </c>
      <c r="E1634" s="14">
        <f>+0.4%</f>
        <v>0.004</v>
      </c>
      <c r="F1634" s="6">
        <v>303.62</v>
      </c>
      <c r="G1634" s="6">
        <v>303.06</v>
      </c>
      <c r="H1634" s="6">
        <v>306.21</v>
      </c>
      <c r="I1634" s="9">
        <v>5.6779836E7</v>
      </c>
      <c r="J1634" s="6">
        <v>1.732000463668E10</v>
      </c>
    </row>
    <row r="1635">
      <c r="A1635" s="4" t="s">
        <v>10</v>
      </c>
      <c r="B1635" s="5">
        <v>43984.0</v>
      </c>
      <c r="C1635" s="6">
        <v>308.08</v>
      </c>
      <c r="D1635" s="13">
        <f>+2.53</f>
        <v>2.53</v>
      </c>
      <c r="E1635" s="14">
        <f>+0.83%</f>
        <v>0.0083</v>
      </c>
      <c r="F1635" s="6">
        <v>306.55</v>
      </c>
      <c r="G1635" s="6">
        <v>305.1</v>
      </c>
      <c r="H1635" s="6">
        <v>308.13</v>
      </c>
      <c r="I1635" s="9">
        <v>7.4267162E7</v>
      </c>
      <c r="J1635" s="6">
        <v>2.277620644755E10</v>
      </c>
    </row>
    <row r="1636">
      <c r="A1636" s="4" t="s">
        <v>10</v>
      </c>
      <c r="B1636" s="5">
        <v>43985.0</v>
      </c>
      <c r="C1636" s="6">
        <v>312.18</v>
      </c>
      <c r="D1636" s="13">
        <f>+4.1</f>
        <v>4.1</v>
      </c>
      <c r="E1636" s="14">
        <f>+1.33%</f>
        <v>0.0133</v>
      </c>
      <c r="F1636" s="6">
        <v>310.24</v>
      </c>
      <c r="G1636" s="6">
        <v>309.94</v>
      </c>
      <c r="H1636" s="6">
        <v>313.22</v>
      </c>
      <c r="I1636" s="9">
        <v>9.2567574E7</v>
      </c>
      <c r="J1636" s="6">
        <v>2.883379503658E10</v>
      </c>
    </row>
    <row r="1637">
      <c r="A1637" s="4" t="s">
        <v>10</v>
      </c>
      <c r="B1637" s="5">
        <v>43986.0</v>
      </c>
      <c r="C1637" s="6">
        <v>311.36</v>
      </c>
      <c r="D1637" s="11">
        <v>-0.82</v>
      </c>
      <c r="E1637" s="12">
        <v>-0.0026</v>
      </c>
      <c r="F1637" s="6">
        <v>311.11</v>
      </c>
      <c r="G1637" s="6">
        <v>309.08</v>
      </c>
      <c r="H1637" s="6">
        <v>313.0</v>
      </c>
      <c r="I1637" s="9">
        <v>7.5794363E7</v>
      </c>
      <c r="J1637" s="6">
        <v>2.359268647235E10</v>
      </c>
    </row>
    <row r="1638">
      <c r="A1638" s="4" t="s">
        <v>10</v>
      </c>
      <c r="B1638" s="5">
        <v>43987.0</v>
      </c>
      <c r="C1638" s="6">
        <v>319.34</v>
      </c>
      <c r="D1638" s="13">
        <f>+7.98</f>
        <v>7.98</v>
      </c>
      <c r="E1638" s="14">
        <f>+2.56%</f>
        <v>0.0256</v>
      </c>
      <c r="F1638" s="6">
        <v>317.23</v>
      </c>
      <c r="G1638" s="6">
        <v>317.16</v>
      </c>
      <c r="H1638" s="6">
        <v>321.28</v>
      </c>
      <c r="I1638" s="9">
        <v>1.50524674E8</v>
      </c>
      <c r="J1638" s="6">
        <v>4.789287471198E10</v>
      </c>
    </row>
    <row r="1639">
      <c r="A1639" s="4" t="s">
        <v>10</v>
      </c>
      <c r="B1639" s="5">
        <v>43990.0</v>
      </c>
      <c r="C1639" s="6">
        <v>323.2</v>
      </c>
      <c r="D1639" s="13">
        <f>+3.86</f>
        <v>3.86</v>
      </c>
      <c r="E1639" s="14">
        <f>+1.21%</f>
        <v>0.0121</v>
      </c>
      <c r="F1639" s="6">
        <v>320.22</v>
      </c>
      <c r="G1639" s="6">
        <v>319.63</v>
      </c>
      <c r="H1639" s="6">
        <v>323.41</v>
      </c>
      <c r="I1639" s="9">
        <v>7.3641217E7</v>
      </c>
      <c r="J1639" s="6">
        <v>2.367099237856E10</v>
      </c>
    </row>
    <row r="1640">
      <c r="A1640" s="4" t="s">
        <v>10</v>
      </c>
      <c r="B1640" s="5">
        <v>43991.0</v>
      </c>
      <c r="C1640" s="6">
        <v>320.79</v>
      </c>
      <c r="D1640" s="11">
        <v>-2.41</v>
      </c>
      <c r="E1640" s="12">
        <v>-0.0075</v>
      </c>
      <c r="F1640" s="6">
        <v>320.3</v>
      </c>
      <c r="G1640" s="6">
        <v>319.36</v>
      </c>
      <c r="H1640" s="6">
        <v>323.28</v>
      </c>
      <c r="I1640" s="9">
        <v>7.7479228E7</v>
      </c>
      <c r="J1640" s="6">
        <v>2.488534587292E10</v>
      </c>
    </row>
    <row r="1641">
      <c r="A1641" s="4" t="s">
        <v>10</v>
      </c>
      <c r="B1641" s="5">
        <v>43992.0</v>
      </c>
      <c r="C1641" s="6">
        <v>319.0</v>
      </c>
      <c r="D1641" s="11">
        <v>-1.79</v>
      </c>
      <c r="E1641" s="12">
        <v>-0.0056</v>
      </c>
      <c r="F1641" s="6">
        <v>321.42</v>
      </c>
      <c r="G1641" s="6">
        <v>318.22</v>
      </c>
      <c r="H1641" s="6">
        <v>322.39</v>
      </c>
      <c r="I1641" s="9">
        <v>9.5000766E7</v>
      </c>
      <c r="J1641" s="6">
        <v>3.041119148492E10</v>
      </c>
    </row>
    <row r="1642">
      <c r="A1642" s="4" t="s">
        <v>10</v>
      </c>
      <c r="B1642" s="5">
        <v>43993.0</v>
      </c>
      <c r="C1642" s="6">
        <v>300.61</v>
      </c>
      <c r="D1642" s="11">
        <v>-18.39</v>
      </c>
      <c r="E1642" s="12">
        <v>-0.0576</v>
      </c>
      <c r="F1642" s="6">
        <v>311.46</v>
      </c>
      <c r="G1642" s="6">
        <v>300.01</v>
      </c>
      <c r="H1642" s="6">
        <v>312.15</v>
      </c>
      <c r="I1642" s="9">
        <v>2.0924356E8</v>
      </c>
      <c r="J1642" s="6">
        <v>6.39811028798E10</v>
      </c>
    </row>
    <row r="1643">
      <c r="A1643" s="4" t="s">
        <v>10</v>
      </c>
      <c r="B1643" s="5">
        <v>43994.0</v>
      </c>
      <c r="C1643" s="6">
        <v>304.21</v>
      </c>
      <c r="D1643" s="13">
        <f>+3.6</f>
        <v>3.6</v>
      </c>
      <c r="E1643" s="14">
        <f>+1.2%</f>
        <v>0.012</v>
      </c>
      <c r="F1643" s="6">
        <v>308.24</v>
      </c>
      <c r="G1643" s="6">
        <v>298.6</v>
      </c>
      <c r="H1643" s="6">
        <v>309.08</v>
      </c>
      <c r="I1643" s="9">
        <v>1.94678879E8</v>
      </c>
      <c r="J1643" s="6">
        <v>5.907002725231E10</v>
      </c>
    </row>
    <row r="1644">
      <c r="A1644" s="4" t="s">
        <v>10</v>
      </c>
      <c r="B1644" s="5">
        <v>43997.0</v>
      </c>
      <c r="C1644" s="6">
        <v>307.05</v>
      </c>
      <c r="D1644" s="13">
        <f>+2.84</f>
        <v>2.84</v>
      </c>
      <c r="E1644" s="14">
        <f>+0.93%</f>
        <v>0.0093</v>
      </c>
      <c r="F1644" s="6">
        <v>298.02</v>
      </c>
      <c r="G1644" s="6">
        <v>296.74</v>
      </c>
      <c r="H1644" s="6">
        <v>308.28</v>
      </c>
      <c r="I1644" s="9">
        <v>1.35782724E8</v>
      </c>
      <c r="J1644" s="6">
        <v>4.125862558473E10</v>
      </c>
    </row>
    <row r="1645">
      <c r="A1645" s="4" t="s">
        <v>10</v>
      </c>
      <c r="B1645" s="5">
        <v>43998.0</v>
      </c>
      <c r="C1645" s="6">
        <v>312.96</v>
      </c>
      <c r="D1645" s="13">
        <f>+5.91</f>
        <v>5.91</v>
      </c>
      <c r="E1645" s="14">
        <f>+1.92%</f>
        <v>0.0192</v>
      </c>
      <c r="F1645" s="6">
        <v>315.48</v>
      </c>
      <c r="G1645" s="6">
        <v>307.67</v>
      </c>
      <c r="H1645" s="6">
        <v>315.64</v>
      </c>
      <c r="I1645" s="9">
        <v>1.37627502E8</v>
      </c>
      <c r="J1645" s="6">
        <v>4.302103814786E10</v>
      </c>
    </row>
    <row r="1646">
      <c r="A1646" s="4" t="s">
        <v>10</v>
      </c>
      <c r="B1646" s="5">
        <v>43999.0</v>
      </c>
      <c r="C1646" s="6">
        <v>311.66</v>
      </c>
      <c r="D1646" s="11">
        <v>-1.3</v>
      </c>
      <c r="E1646" s="12">
        <v>-0.0042</v>
      </c>
      <c r="F1646" s="6">
        <v>314.07</v>
      </c>
      <c r="G1646" s="6">
        <v>310.86</v>
      </c>
      <c r="H1646" s="6">
        <v>314.39</v>
      </c>
      <c r="I1646" s="9">
        <v>8.3398944E7</v>
      </c>
      <c r="J1646" s="6">
        <v>2.607339578157E10</v>
      </c>
    </row>
    <row r="1647">
      <c r="A1647" s="4" t="s">
        <v>10</v>
      </c>
      <c r="B1647" s="5">
        <v>44000.0</v>
      </c>
      <c r="C1647" s="6">
        <v>311.78</v>
      </c>
      <c r="D1647" s="13">
        <f>+0.12</f>
        <v>0.12</v>
      </c>
      <c r="E1647" s="14">
        <f>+0.04%</f>
        <v>0.0004</v>
      </c>
      <c r="F1647" s="6">
        <v>310.01</v>
      </c>
      <c r="G1647" s="6">
        <v>309.51</v>
      </c>
      <c r="H1647" s="6">
        <v>312.3</v>
      </c>
      <c r="I1647" s="9">
        <v>8.0828658E7</v>
      </c>
      <c r="J1647" s="6">
        <v>2.51546747136E10</v>
      </c>
    </row>
    <row r="1648">
      <c r="A1648" s="4" t="s">
        <v>10</v>
      </c>
      <c r="B1648" s="5">
        <v>44001.0</v>
      </c>
      <c r="C1648" s="6">
        <v>308.64</v>
      </c>
      <c r="D1648" s="11">
        <v>-3.14</v>
      </c>
      <c r="E1648" s="12">
        <v>-0.0101</v>
      </c>
      <c r="F1648" s="6">
        <v>314.17</v>
      </c>
      <c r="G1648" s="6">
        <v>306.53</v>
      </c>
      <c r="H1648" s="6">
        <v>314.38</v>
      </c>
      <c r="I1648" s="9">
        <v>1.35549624E8</v>
      </c>
      <c r="J1648" s="6">
        <v>4.206556269565E10</v>
      </c>
    </row>
    <row r="1649">
      <c r="A1649" s="4" t="s">
        <v>10</v>
      </c>
      <c r="B1649" s="5">
        <v>44004.0</v>
      </c>
      <c r="C1649" s="6">
        <v>310.62</v>
      </c>
      <c r="D1649" s="13">
        <f>+1.98</f>
        <v>1.98</v>
      </c>
      <c r="E1649" s="14">
        <f>+0.64%</f>
        <v>0.0064</v>
      </c>
      <c r="F1649" s="6">
        <v>307.99</v>
      </c>
      <c r="G1649" s="6">
        <v>306.75</v>
      </c>
      <c r="H1649" s="6">
        <v>311.05</v>
      </c>
      <c r="I1649" s="9">
        <v>7.4649389E7</v>
      </c>
      <c r="J1649" s="6">
        <v>2.310916148958E10</v>
      </c>
    </row>
    <row r="1650">
      <c r="A1650" s="4" t="s">
        <v>10</v>
      </c>
      <c r="B1650" s="5">
        <v>44005.0</v>
      </c>
      <c r="C1650" s="6">
        <v>312.05</v>
      </c>
      <c r="D1650" s="13">
        <f>+1.43</f>
        <v>1.43</v>
      </c>
      <c r="E1650" s="14">
        <f>+0.46%</f>
        <v>0.0046</v>
      </c>
      <c r="F1650" s="6">
        <v>313.49</v>
      </c>
      <c r="G1650" s="6">
        <v>311.61</v>
      </c>
      <c r="H1650" s="6">
        <v>314.5</v>
      </c>
      <c r="I1650" s="9">
        <v>6.8471246E7</v>
      </c>
      <c r="J1650" s="6">
        <v>2.142201695523E10</v>
      </c>
    </row>
    <row r="1651">
      <c r="A1651" s="4" t="s">
        <v>10</v>
      </c>
      <c r="B1651" s="5">
        <v>44006.0</v>
      </c>
      <c r="C1651" s="6">
        <v>304.09</v>
      </c>
      <c r="D1651" s="11">
        <v>-7.96</v>
      </c>
      <c r="E1651" s="12">
        <v>-0.0255</v>
      </c>
      <c r="F1651" s="6">
        <v>309.84</v>
      </c>
      <c r="G1651" s="6">
        <v>302.1</v>
      </c>
      <c r="H1651" s="6">
        <v>310.51</v>
      </c>
      <c r="I1651" s="9">
        <v>1.32813492E8</v>
      </c>
      <c r="J1651" s="6">
        <v>4.053195204008E10</v>
      </c>
    </row>
    <row r="1652">
      <c r="A1652" s="4" t="s">
        <v>10</v>
      </c>
      <c r="B1652" s="5">
        <v>44007.0</v>
      </c>
      <c r="C1652" s="6">
        <v>307.35</v>
      </c>
      <c r="D1652" s="13">
        <f>+3.26</f>
        <v>3.26</v>
      </c>
      <c r="E1652" s="14">
        <f>+1.07%</f>
        <v>0.0107</v>
      </c>
      <c r="F1652" s="6">
        <v>303.47</v>
      </c>
      <c r="G1652" s="6">
        <v>301.28</v>
      </c>
      <c r="H1652" s="6">
        <v>307.64</v>
      </c>
      <c r="I1652" s="9">
        <v>8.9467968E7</v>
      </c>
      <c r="J1652" s="6">
        <v>2.725811320822E10</v>
      </c>
    </row>
    <row r="1653">
      <c r="A1653" s="4" t="s">
        <v>10</v>
      </c>
      <c r="B1653" s="5">
        <v>44008.0</v>
      </c>
      <c r="C1653" s="6">
        <v>300.05</v>
      </c>
      <c r="D1653" s="11">
        <v>-7.3</v>
      </c>
      <c r="E1653" s="12">
        <v>-0.0238</v>
      </c>
      <c r="F1653" s="6">
        <v>306.16</v>
      </c>
      <c r="G1653" s="6">
        <v>299.42</v>
      </c>
      <c r="H1653" s="6">
        <v>306.39</v>
      </c>
      <c r="I1653" s="9">
        <v>1.27961017E8</v>
      </c>
      <c r="J1653" s="6">
        <v>3.864450736315E10</v>
      </c>
    </row>
    <row r="1654">
      <c r="A1654" s="4" t="s">
        <v>10</v>
      </c>
      <c r="B1654" s="5">
        <v>44011.0</v>
      </c>
      <c r="C1654" s="6">
        <v>304.46</v>
      </c>
      <c r="D1654" s="13">
        <f>+4.41</f>
        <v>4.41</v>
      </c>
      <c r="E1654" s="14">
        <f>+1.47%</f>
        <v>0.0147</v>
      </c>
      <c r="F1654" s="6">
        <v>301.41</v>
      </c>
      <c r="G1654" s="6">
        <v>298.93</v>
      </c>
      <c r="H1654" s="6">
        <v>304.61</v>
      </c>
      <c r="I1654" s="9">
        <v>7.977326E7</v>
      </c>
      <c r="J1654" s="6">
        <v>2.412586152402E10</v>
      </c>
    </row>
    <row r="1655">
      <c r="A1655" s="4" t="s">
        <v>10</v>
      </c>
      <c r="B1655" s="5">
        <v>44012.0</v>
      </c>
      <c r="C1655" s="6">
        <v>308.36</v>
      </c>
      <c r="D1655" s="13">
        <f>+3.9</f>
        <v>3.9</v>
      </c>
      <c r="E1655" s="14">
        <f>+1.28%</f>
        <v>0.0128</v>
      </c>
      <c r="F1655" s="6">
        <v>303.99</v>
      </c>
      <c r="G1655" s="6">
        <v>303.82</v>
      </c>
      <c r="H1655" s="6">
        <v>310.2</v>
      </c>
      <c r="I1655" s="9">
        <v>1.13394772E8</v>
      </c>
      <c r="J1655" s="6">
        <v>3.486464089951E10</v>
      </c>
    </row>
    <row r="1656">
      <c r="A1656" s="4" t="s">
        <v>10</v>
      </c>
      <c r="B1656" s="5">
        <v>44013.0</v>
      </c>
      <c r="C1656" s="6">
        <v>310.52</v>
      </c>
      <c r="D1656" s="13">
        <f>+2.16</f>
        <v>2.16</v>
      </c>
      <c r="E1656" s="14">
        <f>+0.7%</f>
        <v>0.007</v>
      </c>
      <c r="F1656" s="6">
        <v>309.57</v>
      </c>
      <c r="G1656" s="6">
        <v>309.07</v>
      </c>
      <c r="H1656" s="6">
        <v>311.89</v>
      </c>
      <c r="I1656" s="9">
        <v>7.2396542E7</v>
      </c>
      <c r="J1656" s="6">
        <v>2.247819308046E10</v>
      </c>
    </row>
    <row r="1657">
      <c r="A1657" s="4" t="s">
        <v>10</v>
      </c>
      <c r="B1657" s="5">
        <v>44014.0</v>
      </c>
      <c r="C1657" s="6">
        <v>312.23</v>
      </c>
      <c r="D1657" s="13">
        <f>+1.71</f>
        <v>1.71</v>
      </c>
      <c r="E1657" s="14">
        <f>+0.55%</f>
        <v>0.0055</v>
      </c>
      <c r="F1657" s="6">
        <v>314.24</v>
      </c>
      <c r="G1657" s="6">
        <v>311.51</v>
      </c>
      <c r="H1657" s="6">
        <v>315.7</v>
      </c>
      <c r="I1657" s="9">
        <v>6.9344217E7</v>
      </c>
      <c r="J1657" s="6">
        <v>2.172662917265E10</v>
      </c>
    </row>
    <row r="1658">
      <c r="A1658" s="4" t="s">
        <v>10</v>
      </c>
      <c r="B1658" s="5">
        <v>44015.0</v>
      </c>
      <c r="C1658" s="10"/>
      <c r="D1658" s="7"/>
      <c r="E1658" s="8"/>
      <c r="F1658" s="10"/>
      <c r="G1658" s="10"/>
      <c r="H1658" s="10"/>
      <c r="I1658" s="15"/>
      <c r="J1658" s="10"/>
    </row>
    <row r="1659">
      <c r="A1659" s="4" t="s">
        <v>10</v>
      </c>
      <c r="B1659" s="5">
        <v>44018.0</v>
      </c>
      <c r="C1659" s="6">
        <v>317.05</v>
      </c>
      <c r="D1659" s="13">
        <f>+4.82</f>
        <v>4.82</v>
      </c>
      <c r="E1659" s="14">
        <f>+1.54%</f>
        <v>0.0154</v>
      </c>
      <c r="F1659" s="6">
        <v>316.37</v>
      </c>
      <c r="G1659" s="6">
        <v>315.56</v>
      </c>
      <c r="H1659" s="6">
        <v>317.68</v>
      </c>
      <c r="I1659" s="9">
        <v>6.1713828E7</v>
      </c>
      <c r="J1659" s="6">
        <v>1.951084764756E10</v>
      </c>
    </row>
    <row r="1660">
      <c r="A1660" s="4" t="s">
        <v>10</v>
      </c>
      <c r="B1660" s="5">
        <v>44019.0</v>
      </c>
      <c r="C1660" s="6">
        <v>313.78</v>
      </c>
      <c r="D1660" s="11">
        <v>-3.27</v>
      </c>
      <c r="E1660" s="12">
        <v>-0.0103</v>
      </c>
      <c r="F1660" s="6">
        <v>315.38</v>
      </c>
      <c r="G1660" s="6">
        <v>313.37</v>
      </c>
      <c r="H1660" s="6">
        <v>317.52</v>
      </c>
      <c r="I1660" s="9">
        <v>8.2909963E7</v>
      </c>
      <c r="J1660" s="6">
        <v>2.615287133299E10</v>
      </c>
    </row>
    <row r="1661">
      <c r="A1661" s="4" t="s">
        <v>10</v>
      </c>
      <c r="B1661" s="5">
        <v>44020.0</v>
      </c>
      <c r="C1661" s="6">
        <v>316.18</v>
      </c>
      <c r="D1661" s="13">
        <f>+2.4</f>
        <v>2.4</v>
      </c>
      <c r="E1661" s="14">
        <f>+0.76%</f>
        <v>0.0076</v>
      </c>
      <c r="F1661" s="6">
        <v>314.61</v>
      </c>
      <c r="G1661" s="6">
        <v>312.7</v>
      </c>
      <c r="H1661" s="6">
        <v>316.3</v>
      </c>
      <c r="I1661" s="9">
        <v>5.4638596E7</v>
      </c>
      <c r="J1661" s="6">
        <v>1.720529587784E10</v>
      </c>
    </row>
    <row r="1662">
      <c r="A1662" s="4" t="s">
        <v>10</v>
      </c>
      <c r="B1662" s="5">
        <v>44021.0</v>
      </c>
      <c r="C1662" s="6">
        <v>314.38</v>
      </c>
      <c r="D1662" s="11">
        <v>-1.8</v>
      </c>
      <c r="E1662" s="12">
        <v>-0.0057</v>
      </c>
      <c r="F1662" s="6">
        <v>316.84</v>
      </c>
      <c r="G1662" s="6">
        <v>310.68</v>
      </c>
      <c r="H1662" s="6">
        <v>317.1</v>
      </c>
      <c r="I1662" s="9">
        <v>8.3354158E7</v>
      </c>
      <c r="J1662" s="6">
        <v>2.616981489674E10</v>
      </c>
    </row>
    <row r="1663">
      <c r="A1663" s="4" t="s">
        <v>10</v>
      </c>
      <c r="B1663" s="5">
        <v>44022.0</v>
      </c>
      <c r="C1663" s="6">
        <v>317.59</v>
      </c>
      <c r="D1663" s="13">
        <f>+3.21</f>
        <v>3.21</v>
      </c>
      <c r="E1663" s="14">
        <f>+1.02%</f>
        <v>0.0102</v>
      </c>
      <c r="F1663" s="6">
        <v>314.31</v>
      </c>
      <c r="G1663" s="6">
        <v>312.76</v>
      </c>
      <c r="H1663" s="6">
        <v>317.88</v>
      </c>
      <c r="I1663" s="9">
        <v>5.7550365E7</v>
      </c>
      <c r="J1663" s="6">
        <v>1.817459968592E10</v>
      </c>
    </row>
    <row r="1664">
      <c r="A1664" s="4" t="s">
        <v>10</v>
      </c>
      <c r="B1664" s="5">
        <v>44025.0</v>
      </c>
      <c r="C1664" s="6">
        <v>314.84</v>
      </c>
      <c r="D1664" s="11">
        <v>-2.75</v>
      </c>
      <c r="E1664" s="12">
        <v>-0.0087</v>
      </c>
      <c r="F1664" s="6">
        <v>320.13</v>
      </c>
      <c r="G1664" s="6">
        <v>314.13</v>
      </c>
      <c r="H1664" s="6">
        <v>322.71</v>
      </c>
      <c r="I1664" s="9">
        <v>1.02997484E8</v>
      </c>
      <c r="J1664" s="6">
        <v>3.280904382236E10</v>
      </c>
    </row>
    <row r="1665">
      <c r="A1665" s="4" t="s">
        <v>10</v>
      </c>
      <c r="B1665" s="5">
        <v>44026.0</v>
      </c>
      <c r="C1665" s="6">
        <v>318.92</v>
      </c>
      <c r="D1665" s="13">
        <f>+4.08</f>
        <v>4.08</v>
      </c>
      <c r="E1665" s="14">
        <f>+1.3%</f>
        <v>0.013</v>
      </c>
      <c r="F1665" s="6">
        <v>313.3</v>
      </c>
      <c r="G1665" s="6">
        <v>312.0</v>
      </c>
      <c r="H1665" s="6">
        <v>319.76</v>
      </c>
      <c r="I1665" s="9">
        <v>9.3656951E7</v>
      </c>
      <c r="J1665" s="6">
        <v>2.961744129306E10</v>
      </c>
    </row>
    <row r="1666">
      <c r="A1666" s="4" t="s">
        <v>10</v>
      </c>
      <c r="B1666" s="5">
        <v>44027.0</v>
      </c>
      <c r="C1666" s="6">
        <v>321.85</v>
      </c>
      <c r="D1666" s="13">
        <f>+2.93</f>
        <v>2.93</v>
      </c>
      <c r="E1666" s="14">
        <f>+0.92%</f>
        <v>0.0092</v>
      </c>
      <c r="F1666" s="6">
        <v>322.41</v>
      </c>
      <c r="G1666" s="6">
        <v>319.27</v>
      </c>
      <c r="H1666" s="6">
        <v>323.04</v>
      </c>
      <c r="I1666" s="9">
        <v>8.7196524E7</v>
      </c>
      <c r="J1666" s="6">
        <v>2.802351535132E10</v>
      </c>
    </row>
    <row r="1667">
      <c r="A1667" s="4" t="s">
        <v>10</v>
      </c>
      <c r="B1667" s="5">
        <v>44028.0</v>
      </c>
      <c r="C1667" s="6">
        <v>320.79</v>
      </c>
      <c r="D1667" s="11">
        <v>-1.06</v>
      </c>
      <c r="E1667" s="12">
        <v>-0.0033</v>
      </c>
      <c r="F1667" s="6">
        <v>319.79</v>
      </c>
      <c r="G1667" s="6">
        <v>319.09</v>
      </c>
      <c r="H1667" s="6">
        <v>321.28</v>
      </c>
      <c r="I1667" s="9">
        <v>5.462252E7</v>
      </c>
      <c r="J1667" s="6">
        <v>1.748782266216E10</v>
      </c>
    </row>
    <row r="1668">
      <c r="A1668" s="4" t="s">
        <v>10</v>
      </c>
      <c r="B1668" s="5">
        <v>44029.0</v>
      </c>
      <c r="C1668" s="6">
        <v>321.72</v>
      </c>
      <c r="D1668" s="13">
        <f>+0.93</f>
        <v>0.93</v>
      </c>
      <c r="E1668" s="14">
        <f>+0.29%</f>
        <v>0.0029</v>
      </c>
      <c r="F1668" s="6">
        <v>321.88</v>
      </c>
      <c r="G1668" s="6">
        <v>319.74</v>
      </c>
      <c r="H1668" s="6">
        <v>322.57</v>
      </c>
      <c r="I1668" s="9">
        <v>6.2774911E7</v>
      </c>
      <c r="J1668" s="6">
        <v>2.018439397936E10</v>
      </c>
    </row>
    <row r="1669">
      <c r="A1669" s="4" t="s">
        <v>10</v>
      </c>
      <c r="B1669" s="5">
        <v>44032.0</v>
      </c>
      <c r="C1669" s="6">
        <v>324.32</v>
      </c>
      <c r="D1669" s="13">
        <f>+2.6</f>
        <v>2.6</v>
      </c>
      <c r="E1669" s="14">
        <f>+0.81%</f>
        <v>0.0081</v>
      </c>
      <c r="F1669" s="6">
        <v>321.43</v>
      </c>
      <c r="G1669" s="6">
        <v>320.62</v>
      </c>
      <c r="H1669" s="6">
        <v>325.13</v>
      </c>
      <c r="I1669" s="9">
        <v>5.6308849E7</v>
      </c>
      <c r="J1669" s="6">
        <v>1.819654370965E10</v>
      </c>
    </row>
    <row r="1670">
      <c r="A1670" s="4" t="s">
        <v>10</v>
      </c>
      <c r="B1670" s="5">
        <v>44033.0</v>
      </c>
      <c r="C1670" s="6">
        <v>325.01</v>
      </c>
      <c r="D1670" s="13">
        <f>+0.69</f>
        <v>0.69</v>
      </c>
      <c r="E1670" s="14">
        <f>+0.21%</f>
        <v>0.0021</v>
      </c>
      <c r="F1670" s="6">
        <v>326.45</v>
      </c>
      <c r="G1670" s="6">
        <v>323.94</v>
      </c>
      <c r="H1670" s="6">
        <v>326.93</v>
      </c>
      <c r="I1670" s="9">
        <v>5.7498967E7</v>
      </c>
      <c r="J1670" s="6">
        <v>1.8722975575E10</v>
      </c>
    </row>
    <row r="1671">
      <c r="A1671" s="4" t="s">
        <v>10</v>
      </c>
      <c r="B1671" s="5">
        <v>44034.0</v>
      </c>
      <c r="C1671" s="6">
        <v>326.86</v>
      </c>
      <c r="D1671" s="13">
        <f>+1.85</f>
        <v>1.85</v>
      </c>
      <c r="E1671" s="14">
        <f>+0.57%</f>
        <v>0.0057</v>
      </c>
      <c r="F1671" s="6">
        <v>324.62</v>
      </c>
      <c r="G1671" s="6">
        <v>324.5</v>
      </c>
      <c r="H1671" s="6">
        <v>327.2</v>
      </c>
      <c r="I1671" s="9">
        <v>5.7792915E7</v>
      </c>
      <c r="J1671" s="6">
        <v>1.883315704684E10</v>
      </c>
    </row>
    <row r="1672">
      <c r="A1672" s="4" t="s">
        <v>10</v>
      </c>
      <c r="B1672" s="5">
        <v>44035.0</v>
      </c>
      <c r="C1672" s="6">
        <v>322.96</v>
      </c>
      <c r="D1672" s="11">
        <v>-3.9</v>
      </c>
      <c r="E1672" s="12">
        <v>-0.0119</v>
      </c>
      <c r="F1672" s="6">
        <v>326.47</v>
      </c>
      <c r="G1672" s="6">
        <v>321.48</v>
      </c>
      <c r="H1672" s="6">
        <v>327.23</v>
      </c>
      <c r="I1672" s="9">
        <v>7.5737989E7</v>
      </c>
      <c r="J1672" s="6">
        <v>2.456470129884E10</v>
      </c>
    </row>
    <row r="1673">
      <c r="A1673" s="4" t="s">
        <v>10</v>
      </c>
      <c r="B1673" s="5">
        <v>44036.0</v>
      </c>
      <c r="C1673" s="6">
        <v>320.88</v>
      </c>
      <c r="D1673" s="11">
        <v>-2.08</v>
      </c>
      <c r="E1673" s="12">
        <v>-0.0064</v>
      </c>
      <c r="F1673" s="6">
        <v>320.95</v>
      </c>
      <c r="G1673" s="6">
        <v>319.25</v>
      </c>
      <c r="H1673" s="6">
        <v>321.99</v>
      </c>
      <c r="I1673" s="9">
        <v>7.3766597E7</v>
      </c>
      <c r="J1673" s="6">
        <v>2.366753929962E10</v>
      </c>
    </row>
    <row r="1674">
      <c r="A1674" s="4" t="s">
        <v>10</v>
      </c>
      <c r="B1674" s="5">
        <v>44039.0</v>
      </c>
      <c r="C1674" s="6">
        <v>323.22</v>
      </c>
      <c r="D1674" s="13">
        <f>+2.34</f>
        <v>2.34</v>
      </c>
      <c r="E1674" s="14">
        <f>+0.73%</f>
        <v>0.0073</v>
      </c>
      <c r="F1674" s="6">
        <v>321.63</v>
      </c>
      <c r="G1674" s="6">
        <v>320.78</v>
      </c>
      <c r="H1674" s="6">
        <v>323.41</v>
      </c>
      <c r="I1674" s="9">
        <v>4.829297E7</v>
      </c>
      <c r="J1674" s="6">
        <v>1.556884895642E10</v>
      </c>
    </row>
    <row r="1675">
      <c r="A1675" s="4" t="s">
        <v>10</v>
      </c>
      <c r="B1675" s="5">
        <v>44040.0</v>
      </c>
      <c r="C1675" s="6">
        <v>321.17</v>
      </c>
      <c r="D1675" s="11">
        <v>-2.05</v>
      </c>
      <c r="E1675" s="12">
        <v>-0.0063</v>
      </c>
      <c r="F1675" s="6">
        <v>322.43</v>
      </c>
      <c r="G1675" s="6">
        <v>320.85</v>
      </c>
      <c r="H1675" s="6">
        <v>323.64</v>
      </c>
      <c r="I1675" s="9">
        <v>5.7494979E7</v>
      </c>
      <c r="J1675" s="6">
        <v>1.853894796839E10</v>
      </c>
    </row>
    <row r="1676">
      <c r="A1676" s="4" t="s">
        <v>10</v>
      </c>
      <c r="B1676" s="5">
        <v>44041.0</v>
      </c>
      <c r="C1676" s="6">
        <v>325.12</v>
      </c>
      <c r="D1676" s="13">
        <f>+3.95</f>
        <v>3.95</v>
      </c>
      <c r="E1676" s="14">
        <f>+1.23%</f>
        <v>0.0123</v>
      </c>
      <c r="F1676" s="6">
        <v>322.12</v>
      </c>
      <c r="G1676" s="6">
        <v>322.08</v>
      </c>
      <c r="H1676" s="6">
        <v>325.73</v>
      </c>
      <c r="I1676" s="9">
        <v>4.8454159E7</v>
      </c>
      <c r="J1676" s="6">
        <v>1.569610978784E10</v>
      </c>
    </row>
    <row r="1677">
      <c r="A1677" s="4" t="s">
        <v>10</v>
      </c>
      <c r="B1677" s="5">
        <v>44042.0</v>
      </c>
      <c r="C1677" s="6">
        <v>323.96</v>
      </c>
      <c r="D1677" s="11">
        <v>-1.16</v>
      </c>
      <c r="E1677" s="12">
        <v>-0.0036</v>
      </c>
      <c r="F1677" s="6">
        <v>321.9</v>
      </c>
      <c r="G1677" s="6">
        <v>319.64</v>
      </c>
      <c r="H1677" s="6">
        <v>324.41</v>
      </c>
      <c r="I1677" s="9">
        <v>6.1861714E7</v>
      </c>
      <c r="J1677" s="6">
        <v>1.997174921059E10</v>
      </c>
    </row>
    <row r="1678">
      <c r="A1678" s="4" t="s">
        <v>10</v>
      </c>
      <c r="B1678" s="5">
        <v>44043.0</v>
      </c>
      <c r="C1678" s="6">
        <v>326.52</v>
      </c>
      <c r="D1678" s="13">
        <f>+2.56</f>
        <v>2.56</v>
      </c>
      <c r="E1678" s="14">
        <f>+0.79%</f>
        <v>0.0079</v>
      </c>
      <c r="F1678" s="6">
        <v>325.9</v>
      </c>
      <c r="G1678" s="6">
        <v>321.33</v>
      </c>
      <c r="H1678" s="6">
        <v>326.63</v>
      </c>
      <c r="I1678" s="9">
        <v>8.5210755E7</v>
      </c>
      <c r="J1678" s="6">
        <v>2.765042862756E10</v>
      </c>
    </row>
    <row r="1679">
      <c r="A1679" s="4" t="s">
        <v>10</v>
      </c>
      <c r="B1679" s="5">
        <v>44046.0</v>
      </c>
      <c r="C1679" s="6">
        <v>328.79</v>
      </c>
      <c r="D1679" s="13">
        <f>+2.27</f>
        <v>2.27</v>
      </c>
      <c r="E1679" s="14">
        <f>+0.7%</f>
        <v>0.007</v>
      </c>
      <c r="F1679" s="6">
        <v>328.32</v>
      </c>
      <c r="G1679" s="6">
        <v>327.73</v>
      </c>
      <c r="H1679" s="6">
        <v>329.62</v>
      </c>
      <c r="I1679" s="9">
        <v>5.3077948E7</v>
      </c>
      <c r="J1679" s="6">
        <v>1.744455432805E10</v>
      </c>
    </row>
    <row r="1680">
      <c r="A1680" s="4" t="s">
        <v>10</v>
      </c>
      <c r="B1680" s="5">
        <v>44047.0</v>
      </c>
      <c r="C1680" s="6">
        <v>330.06</v>
      </c>
      <c r="D1680" s="13">
        <f>+1.27</f>
        <v>1.27</v>
      </c>
      <c r="E1680" s="14">
        <f>+0.39%</f>
        <v>0.0039</v>
      </c>
      <c r="F1680" s="6">
        <v>327.86</v>
      </c>
      <c r="G1680" s="6">
        <v>327.86</v>
      </c>
      <c r="H1680" s="6">
        <v>330.06</v>
      </c>
      <c r="I1680" s="9">
        <v>4.1917893E7</v>
      </c>
      <c r="J1680" s="6">
        <v>1.379340093951E10</v>
      </c>
    </row>
    <row r="1681">
      <c r="A1681" s="4" t="s">
        <v>10</v>
      </c>
      <c r="B1681" s="5">
        <v>44048.0</v>
      </c>
      <c r="C1681" s="6">
        <v>332.11</v>
      </c>
      <c r="D1681" s="13">
        <f>+2.05</f>
        <v>2.05</v>
      </c>
      <c r="E1681" s="14">
        <f>+0.62%</f>
        <v>0.0062</v>
      </c>
      <c r="F1681" s="6">
        <v>331.47</v>
      </c>
      <c r="G1681" s="6">
        <v>331.18</v>
      </c>
      <c r="H1681" s="6">
        <v>332.39</v>
      </c>
      <c r="I1681" s="9">
        <v>4.2866354E7</v>
      </c>
      <c r="J1681" s="6">
        <v>1.422269869121E10</v>
      </c>
    </row>
    <row r="1682">
      <c r="A1682" s="4" t="s">
        <v>10</v>
      </c>
      <c r="B1682" s="5">
        <v>44049.0</v>
      </c>
      <c r="C1682" s="6">
        <v>334.33</v>
      </c>
      <c r="D1682" s="13">
        <f>+2.22</f>
        <v>2.22</v>
      </c>
      <c r="E1682" s="14">
        <f>+0.67%</f>
        <v>0.0067</v>
      </c>
      <c r="F1682" s="6">
        <v>331.48</v>
      </c>
      <c r="G1682" s="6">
        <v>331.13</v>
      </c>
      <c r="H1682" s="6">
        <v>334.46</v>
      </c>
      <c r="I1682" s="9">
        <v>4.3679447E7</v>
      </c>
      <c r="J1682" s="6">
        <v>1.454267700903E10</v>
      </c>
    </row>
    <row r="1683">
      <c r="A1683" s="4" t="s">
        <v>10</v>
      </c>
      <c r="B1683" s="5">
        <v>44050.0</v>
      </c>
      <c r="C1683" s="6">
        <v>334.57</v>
      </c>
      <c r="D1683" s="13">
        <f>+0.24</f>
        <v>0.24</v>
      </c>
      <c r="E1683" s="14">
        <f>+0.07%</f>
        <v>0.0007</v>
      </c>
      <c r="F1683" s="6">
        <v>333.28</v>
      </c>
      <c r="G1683" s="6">
        <v>332.3</v>
      </c>
      <c r="H1683" s="6">
        <v>334.88</v>
      </c>
      <c r="I1683" s="9">
        <v>5.730827E7</v>
      </c>
      <c r="J1683" s="6">
        <v>1.912933428915E10</v>
      </c>
    </row>
    <row r="1684">
      <c r="A1684" s="4" t="s">
        <v>10</v>
      </c>
      <c r="B1684" s="5">
        <v>44053.0</v>
      </c>
      <c r="C1684" s="6">
        <v>335.57</v>
      </c>
      <c r="D1684" s="13">
        <f>+1</f>
        <v>1</v>
      </c>
      <c r="E1684" s="14">
        <f>+0.3%</f>
        <v>0.003</v>
      </c>
      <c r="F1684" s="6">
        <v>335.06</v>
      </c>
      <c r="G1684" s="6">
        <v>332.96</v>
      </c>
      <c r="H1684" s="6">
        <v>335.77</v>
      </c>
      <c r="I1684" s="9">
        <v>4.4282089E7</v>
      </c>
      <c r="J1684" s="6">
        <v>1.483378991179E10</v>
      </c>
    </row>
    <row r="1685">
      <c r="A1685" s="4" t="s">
        <v>10</v>
      </c>
      <c r="B1685" s="5">
        <v>44054.0</v>
      </c>
      <c r="C1685" s="6">
        <v>332.8</v>
      </c>
      <c r="D1685" s="11">
        <v>-2.77</v>
      </c>
      <c r="E1685" s="12">
        <v>-0.0083</v>
      </c>
      <c r="F1685" s="6">
        <v>336.85</v>
      </c>
      <c r="G1685" s="6">
        <v>332.01</v>
      </c>
      <c r="H1685" s="6">
        <v>337.54</v>
      </c>
      <c r="I1685" s="9">
        <v>6.9601087E7</v>
      </c>
      <c r="J1685" s="6">
        <v>2.333113263766E10</v>
      </c>
    </row>
    <row r="1686">
      <c r="A1686" s="4" t="s">
        <v>10</v>
      </c>
      <c r="B1686" s="5">
        <v>44055.0</v>
      </c>
      <c r="C1686" s="6">
        <v>337.44</v>
      </c>
      <c r="D1686" s="13">
        <f>+4.64</f>
        <v>4.64</v>
      </c>
      <c r="E1686" s="14">
        <f>+1.39%</f>
        <v>0.0139</v>
      </c>
      <c r="F1686" s="6">
        <v>335.44</v>
      </c>
      <c r="G1686" s="6">
        <v>332.84</v>
      </c>
      <c r="H1686" s="6">
        <v>338.28</v>
      </c>
      <c r="I1686" s="9">
        <v>5.3826128E7</v>
      </c>
      <c r="J1686" s="6">
        <v>1.812529177358E10</v>
      </c>
    </row>
    <row r="1687">
      <c r="A1687" s="4" t="s">
        <v>10</v>
      </c>
      <c r="B1687" s="5">
        <v>44056.0</v>
      </c>
      <c r="C1687" s="6">
        <v>336.83</v>
      </c>
      <c r="D1687" s="11">
        <v>-0.61</v>
      </c>
      <c r="E1687" s="12">
        <v>-0.0018</v>
      </c>
      <c r="F1687" s="6">
        <v>336.61</v>
      </c>
      <c r="G1687" s="6">
        <v>335.83</v>
      </c>
      <c r="H1687" s="6">
        <v>338.25</v>
      </c>
      <c r="I1687" s="9">
        <v>4.1816146E7</v>
      </c>
      <c r="J1687" s="6">
        <v>1.410075223686E10</v>
      </c>
    </row>
    <row r="1688">
      <c r="A1688" s="4" t="s">
        <v>10</v>
      </c>
      <c r="B1688" s="5">
        <v>44057.0</v>
      </c>
      <c r="C1688" s="6">
        <v>336.84</v>
      </c>
      <c r="D1688" s="13">
        <f>+0.01</f>
        <v>0.01</v>
      </c>
      <c r="E1688" s="14">
        <f>+0%</f>
        <v>0</v>
      </c>
      <c r="F1688" s="6">
        <v>336.41</v>
      </c>
      <c r="G1688" s="6">
        <v>335.62</v>
      </c>
      <c r="H1688" s="6">
        <v>337.42</v>
      </c>
      <c r="I1688" s="9">
        <v>4.726039E7</v>
      </c>
      <c r="J1688" s="6">
        <v>1.59110685986E10</v>
      </c>
    </row>
    <row r="1689">
      <c r="A1689" s="4" t="s">
        <v>10</v>
      </c>
      <c r="B1689" s="5">
        <v>44060.0</v>
      </c>
      <c r="C1689" s="6">
        <v>337.91</v>
      </c>
      <c r="D1689" s="13">
        <f>+1.07</f>
        <v>1.07</v>
      </c>
      <c r="E1689" s="14">
        <f>+0.32%</f>
        <v>0.0032</v>
      </c>
      <c r="F1689" s="6">
        <v>337.94</v>
      </c>
      <c r="G1689" s="6">
        <v>336.85</v>
      </c>
      <c r="H1689" s="6">
        <v>338.34</v>
      </c>
      <c r="I1689" s="9">
        <v>3.5480974E7</v>
      </c>
      <c r="J1689" s="6">
        <v>1.198715672107E10</v>
      </c>
    </row>
    <row r="1690">
      <c r="A1690" s="4" t="s">
        <v>10</v>
      </c>
      <c r="B1690" s="5">
        <v>44061.0</v>
      </c>
      <c r="C1690" s="6">
        <v>338.64</v>
      </c>
      <c r="D1690" s="13">
        <f>+0.73</f>
        <v>0.73</v>
      </c>
      <c r="E1690" s="14">
        <f>+0.22%</f>
        <v>0.0022</v>
      </c>
      <c r="F1690" s="6">
        <v>338.34</v>
      </c>
      <c r="G1690" s="6">
        <v>336.61</v>
      </c>
      <c r="H1690" s="6">
        <v>339.1</v>
      </c>
      <c r="I1690" s="9">
        <v>3.8733908E7</v>
      </c>
      <c r="J1690" s="6">
        <v>1.310455410229E10</v>
      </c>
    </row>
    <row r="1691">
      <c r="A1691" s="4" t="s">
        <v>10</v>
      </c>
      <c r="B1691" s="5">
        <v>44062.0</v>
      </c>
      <c r="C1691" s="6">
        <v>337.23</v>
      </c>
      <c r="D1691" s="11">
        <v>-1.41</v>
      </c>
      <c r="E1691" s="12">
        <v>-0.0042</v>
      </c>
      <c r="F1691" s="6">
        <v>339.05</v>
      </c>
      <c r="G1691" s="6">
        <v>336.62</v>
      </c>
      <c r="H1691" s="6">
        <v>339.61</v>
      </c>
      <c r="I1691" s="9">
        <v>6.8054244E7</v>
      </c>
      <c r="J1691" s="6">
        <v>2.301647340961E10</v>
      </c>
    </row>
    <row r="1692">
      <c r="A1692" s="4" t="s">
        <v>10</v>
      </c>
      <c r="B1692" s="5">
        <v>44063.0</v>
      </c>
      <c r="C1692" s="6">
        <v>338.28</v>
      </c>
      <c r="D1692" s="13">
        <f>+1.05</f>
        <v>1.05</v>
      </c>
      <c r="E1692" s="14">
        <f>+0.31%</f>
        <v>0.0031</v>
      </c>
      <c r="F1692" s="6">
        <v>335.36</v>
      </c>
      <c r="G1692" s="6">
        <v>335.22</v>
      </c>
      <c r="H1692" s="6">
        <v>338.8</v>
      </c>
      <c r="I1692" s="9">
        <v>4.2207826E7</v>
      </c>
      <c r="J1692" s="6">
        <v>1.424442939188E10</v>
      </c>
    </row>
    <row r="1693">
      <c r="A1693" s="4" t="s">
        <v>10</v>
      </c>
      <c r="B1693" s="5">
        <v>44064.0</v>
      </c>
      <c r="C1693" s="6">
        <v>339.48</v>
      </c>
      <c r="D1693" s="13">
        <f>+1.2</f>
        <v>1.2</v>
      </c>
      <c r="E1693" s="14">
        <f>+0.35%</f>
        <v>0.0035</v>
      </c>
      <c r="F1693" s="6">
        <v>337.92</v>
      </c>
      <c r="G1693" s="6">
        <v>337.55</v>
      </c>
      <c r="H1693" s="6">
        <v>339.72</v>
      </c>
      <c r="I1693" s="9">
        <v>5.5106628E7</v>
      </c>
      <c r="J1693" s="6">
        <v>1.866864224688E10</v>
      </c>
    </row>
    <row r="1694">
      <c r="A1694" s="4" t="s">
        <v>10</v>
      </c>
      <c r="B1694" s="5">
        <v>44067.0</v>
      </c>
      <c r="C1694" s="6">
        <v>342.92</v>
      </c>
      <c r="D1694" s="13">
        <f>+3.44</f>
        <v>3.44</v>
      </c>
      <c r="E1694" s="14">
        <f>+1.01%</f>
        <v>0.0101</v>
      </c>
      <c r="F1694" s="6">
        <v>342.12</v>
      </c>
      <c r="G1694" s="6">
        <v>339.45</v>
      </c>
      <c r="H1694" s="6">
        <v>343.0</v>
      </c>
      <c r="I1694" s="9">
        <v>4.8588662E7</v>
      </c>
      <c r="J1694" s="6">
        <v>1.661419881024E10</v>
      </c>
    </row>
    <row r="1695">
      <c r="A1695" s="4" t="s">
        <v>10</v>
      </c>
      <c r="B1695" s="5">
        <v>44068.0</v>
      </c>
      <c r="C1695" s="6">
        <v>344.12</v>
      </c>
      <c r="D1695" s="13">
        <f>+1.2</f>
        <v>1.2</v>
      </c>
      <c r="E1695" s="14">
        <f>+0.35%</f>
        <v>0.0035</v>
      </c>
      <c r="F1695" s="6">
        <v>343.53</v>
      </c>
      <c r="G1695" s="6">
        <v>342.27</v>
      </c>
      <c r="H1695" s="6">
        <v>344.21</v>
      </c>
      <c r="I1695" s="9">
        <v>3.8463381E7</v>
      </c>
      <c r="J1695" s="6">
        <v>1.32080881657E10</v>
      </c>
    </row>
    <row r="1696">
      <c r="A1696" s="4" t="s">
        <v>10</v>
      </c>
      <c r="B1696" s="5">
        <v>44069.0</v>
      </c>
      <c r="C1696" s="6">
        <v>347.57</v>
      </c>
      <c r="D1696" s="13">
        <f>+3.45</f>
        <v>3.45</v>
      </c>
      <c r="E1696" s="14">
        <f>+1%</f>
        <v>0.01</v>
      </c>
      <c r="F1696" s="6">
        <v>344.76</v>
      </c>
      <c r="G1696" s="6">
        <v>344.17</v>
      </c>
      <c r="H1696" s="6">
        <v>347.86</v>
      </c>
      <c r="I1696" s="9">
        <v>5.0790237E7</v>
      </c>
      <c r="J1696" s="6">
        <v>1.759546294691E10</v>
      </c>
    </row>
    <row r="1697">
      <c r="A1697" s="4" t="s">
        <v>10</v>
      </c>
      <c r="B1697" s="5">
        <v>44070.0</v>
      </c>
      <c r="C1697" s="6">
        <v>348.33</v>
      </c>
      <c r="D1697" s="13">
        <f>+0.76</f>
        <v>0.76</v>
      </c>
      <c r="E1697" s="14">
        <f>+0.22%</f>
        <v>0.0022</v>
      </c>
      <c r="F1697" s="6">
        <v>348.51</v>
      </c>
      <c r="G1697" s="6">
        <v>346.53</v>
      </c>
      <c r="H1697" s="6">
        <v>349.9</v>
      </c>
      <c r="I1697" s="9">
        <v>5.8034142E7</v>
      </c>
      <c r="J1697" s="6">
        <v>2.022961637524E10</v>
      </c>
    </row>
    <row r="1698">
      <c r="A1698" s="4" t="s">
        <v>10</v>
      </c>
      <c r="B1698" s="5">
        <v>44071.0</v>
      </c>
      <c r="C1698" s="6">
        <v>350.58</v>
      </c>
      <c r="D1698" s="13">
        <f>+2.25</f>
        <v>2.25</v>
      </c>
      <c r="E1698" s="14">
        <f>+0.65%</f>
        <v>0.0065</v>
      </c>
      <c r="F1698" s="6">
        <v>349.44</v>
      </c>
      <c r="G1698" s="6">
        <v>348.15</v>
      </c>
      <c r="H1698" s="6">
        <v>350.72</v>
      </c>
      <c r="I1698" s="9">
        <v>4.858894E7</v>
      </c>
      <c r="J1698" s="6">
        <v>1.698278230915E10</v>
      </c>
    </row>
    <row r="1699">
      <c r="A1699" s="4" t="s">
        <v>10</v>
      </c>
      <c r="B1699" s="5">
        <v>44074.0</v>
      </c>
      <c r="C1699" s="6">
        <v>349.31</v>
      </c>
      <c r="D1699" s="11">
        <v>-1.27</v>
      </c>
      <c r="E1699" s="12">
        <v>-0.0036</v>
      </c>
      <c r="F1699" s="6">
        <v>350.35</v>
      </c>
      <c r="G1699" s="6">
        <v>349.06</v>
      </c>
      <c r="H1699" s="6">
        <v>351.3</v>
      </c>
      <c r="I1699" s="9">
        <v>6.6099183E7</v>
      </c>
      <c r="J1699" s="6">
        <v>2.315168545067E10</v>
      </c>
    </row>
    <row r="1700">
      <c r="A1700" s="4" t="s">
        <v>10</v>
      </c>
      <c r="B1700" s="5">
        <v>44075.0</v>
      </c>
      <c r="C1700" s="6">
        <v>352.6</v>
      </c>
      <c r="D1700" s="13">
        <f>+3.29</f>
        <v>3.29</v>
      </c>
      <c r="E1700" s="14">
        <f>+0.94%</f>
        <v>0.0094</v>
      </c>
      <c r="F1700" s="6">
        <v>350.21</v>
      </c>
      <c r="G1700" s="6">
        <v>349.24</v>
      </c>
      <c r="H1700" s="6">
        <v>352.71</v>
      </c>
      <c r="I1700" s="9">
        <v>5.4999325E7</v>
      </c>
      <c r="J1700" s="6">
        <v>1.930953284693E10</v>
      </c>
    </row>
    <row r="1701">
      <c r="A1701" s="4" t="s">
        <v>10</v>
      </c>
      <c r="B1701" s="5">
        <v>44076.0</v>
      </c>
      <c r="C1701" s="6">
        <v>357.7</v>
      </c>
      <c r="D1701" s="13">
        <f>+5.1</f>
        <v>5.1</v>
      </c>
      <c r="E1701" s="14">
        <f>+1.45%</f>
        <v>0.0145</v>
      </c>
      <c r="F1701" s="6">
        <v>354.67</v>
      </c>
      <c r="G1701" s="6">
        <v>353.43</v>
      </c>
      <c r="H1701" s="6">
        <v>358.75</v>
      </c>
      <c r="I1701" s="9">
        <v>6.9540035E7</v>
      </c>
      <c r="J1701" s="6">
        <v>2.475598783811E10</v>
      </c>
    </row>
    <row r="1702">
      <c r="A1702" s="4" t="s">
        <v>10</v>
      </c>
      <c r="B1702" s="5">
        <v>44077.0</v>
      </c>
      <c r="C1702" s="6">
        <v>345.39</v>
      </c>
      <c r="D1702" s="11">
        <v>-12.31</v>
      </c>
      <c r="E1702" s="12">
        <v>-0.0344</v>
      </c>
      <c r="F1702" s="6">
        <v>355.87</v>
      </c>
      <c r="G1702" s="6">
        <v>342.59</v>
      </c>
      <c r="H1702" s="6">
        <v>356.38</v>
      </c>
      <c r="I1702" s="9">
        <v>1.48011129E8</v>
      </c>
      <c r="J1702" s="6">
        <v>5.153534444336E10</v>
      </c>
    </row>
    <row r="1703">
      <c r="A1703" s="4" t="s">
        <v>10</v>
      </c>
      <c r="B1703" s="5">
        <v>44078.0</v>
      </c>
      <c r="C1703" s="6">
        <v>342.57</v>
      </c>
      <c r="D1703" s="11">
        <v>-2.82</v>
      </c>
      <c r="E1703" s="12">
        <v>-0.0082</v>
      </c>
      <c r="F1703" s="6">
        <v>346.13</v>
      </c>
      <c r="G1703" s="6">
        <v>334.87</v>
      </c>
      <c r="H1703" s="6">
        <v>347.83</v>
      </c>
      <c r="I1703" s="9">
        <v>1.39156281E8</v>
      </c>
      <c r="J1703" s="6">
        <v>4.755590317929E10</v>
      </c>
    </row>
    <row r="1704">
      <c r="A1704" s="4" t="s">
        <v>10</v>
      </c>
      <c r="B1704" s="5">
        <v>44081.0</v>
      </c>
      <c r="C1704" s="10"/>
      <c r="D1704" s="7"/>
      <c r="E1704" s="8"/>
      <c r="F1704" s="10"/>
      <c r="G1704" s="10"/>
      <c r="H1704" s="10"/>
      <c r="I1704" s="15"/>
      <c r="J1704" s="10"/>
    </row>
    <row r="1705">
      <c r="A1705" s="4" t="s">
        <v>10</v>
      </c>
      <c r="B1705" s="5">
        <v>44082.0</v>
      </c>
      <c r="C1705" s="6">
        <v>333.21</v>
      </c>
      <c r="D1705" s="11">
        <v>-9.36</v>
      </c>
      <c r="E1705" s="12">
        <v>-0.0273</v>
      </c>
      <c r="F1705" s="6">
        <v>336.71</v>
      </c>
      <c r="G1705" s="6">
        <v>332.88</v>
      </c>
      <c r="H1705" s="6">
        <v>342.64</v>
      </c>
      <c r="I1705" s="9">
        <v>1.14465322E8</v>
      </c>
      <c r="J1705" s="6">
        <v>3.845310765407E10</v>
      </c>
    </row>
    <row r="1706">
      <c r="A1706" s="4" t="s">
        <v>10</v>
      </c>
      <c r="B1706" s="5">
        <v>44083.0</v>
      </c>
      <c r="C1706" s="6">
        <v>339.79</v>
      </c>
      <c r="D1706" s="13">
        <f>+6.58</f>
        <v>6.58</v>
      </c>
      <c r="E1706" s="14">
        <f>+1.97%</f>
        <v>0.0197</v>
      </c>
      <c r="F1706" s="6">
        <v>337.55</v>
      </c>
      <c r="G1706" s="6">
        <v>336.61</v>
      </c>
      <c r="H1706" s="6">
        <v>342.46</v>
      </c>
      <c r="I1706" s="9">
        <v>9.146229E7</v>
      </c>
      <c r="J1706" s="6">
        <v>3.103607342454E10</v>
      </c>
    </row>
    <row r="1707">
      <c r="A1707" s="4" t="s">
        <v>10</v>
      </c>
      <c r="B1707" s="5">
        <v>44084.0</v>
      </c>
      <c r="C1707" s="6">
        <v>333.89</v>
      </c>
      <c r="D1707" s="11">
        <v>-5.9</v>
      </c>
      <c r="E1707" s="12">
        <v>-0.0174</v>
      </c>
      <c r="F1707" s="6">
        <v>341.82</v>
      </c>
      <c r="G1707" s="6">
        <v>332.85</v>
      </c>
      <c r="H1707" s="6">
        <v>342.53</v>
      </c>
      <c r="I1707" s="9">
        <v>9.0569548E7</v>
      </c>
      <c r="J1707" s="6">
        <v>3.055606280746E10</v>
      </c>
    </row>
    <row r="1708">
      <c r="A1708" s="4" t="s">
        <v>10</v>
      </c>
      <c r="B1708" s="5">
        <v>44085.0</v>
      </c>
      <c r="C1708" s="6">
        <v>334.06</v>
      </c>
      <c r="D1708" s="13">
        <f>+0.17</f>
        <v>0.17</v>
      </c>
      <c r="E1708" s="14">
        <f>+0.05%</f>
        <v>0.0005</v>
      </c>
      <c r="F1708" s="6">
        <v>335.82</v>
      </c>
      <c r="G1708" s="6">
        <v>331.0</v>
      </c>
      <c r="H1708" s="6">
        <v>336.97</v>
      </c>
      <c r="I1708" s="9">
        <v>8.4680194E7</v>
      </c>
      <c r="J1708" s="6">
        <v>2.829831297816E10</v>
      </c>
    </row>
    <row r="1709">
      <c r="A1709" s="4" t="s">
        <v>10</v>
      </c>
      <c r="B1709" s="5">
        <v>44088.0</v>
      </c>
      <c r="C1709" s="6">
        <v>338.46</v>
      </c>
      <c r="D1709" s="13">
        <f>+4.4</f>
        <v>4.4</v>
      </c>
      <c r="E1709" s="14">
        <f>+1.32%</f>
        <v>0.0132</v>
      </c>
      <c r="F1709" s="6">
        <v>337.49</v>
      </c>
      <c r="G1709" s="6">
        <v>334.22</v>
      </c>
      <c r="H1709" s="6">
        <v>340.38</v>
      </c>
      <c r="I1709" s="9">
        <v>6.5605686E7</v>
      </c>
      <c r="J1709" s="6">
        <v>2.22034968196E10</v>
      </c>
    </row>
    <row r="1710">
      <c r="A1710" s="4" t="s">
        <v>10</v>
      </c>
      <c r="B1710" s="5">
        <v>44089.0</v>
      </c>
      <c r="C1710" s="6">
        <v>340.17</v>
      </c>
      <c r="D1710" s="13">
        <f>+1.71</f>
        <v>1.71</v>
      </c>
      <c r="E1710" s="14">
        <f>+0.51%</f>
        <v>0.0051</v>
      </c>
      <c r="F1710" s="6">
        <v>341.12</v>
      </c>
      <c r="G1710" s="6">
        <v>338.47</v>
      </c>
      <c r="H1710" s="6">
        <v>342.02</v>
      </c>
      <c r="I1710" s="9">
        <v>5.2920862E7</v>
      </c>
      <c r="J1710" s="6">
        <v>1.802921236315E10</v>
      </c>
    </row>
    <row r="1711">
      <c r="A1711" s="4" t="s">
        <v>10</v>
      </c>
      <c r="B1711" s="5">
        <v>44090.0</v>
      </c>
      <c r="C1711" s="6">
        <v>338.82</v>
      </c>
      <c r="D1711" s="11">
        <v>-1.35</v>
      </c>
      <c r="E1711" s="12">
        <v>-0.004</v>
      </c>
      <c r="F1711" s="6">
        <v>341.51</v>
      </c>
      <c r="G1711" s="6">
        <v>338.52</v>
      </c>
      <c r="H1711" s="6">
        <v>343.06</v>
      </c>
      <c r="I1711" s="9">
        <v>8.2211256E7</v>
      </c>
      <c r="J1711" s="6">
        <v>2.800055335938E10</v>
      </c>
    </row>
    <row r="1712">
      <c r="A1712" s="4" t="s">
        <v>10</v>
      </c>
      <c r="B1712" s="5">
        <v>44091.0</v>
      </c>
      <c r="C1712" s="6">
        <v>335.84</v>
      </c>
      <c r="D1712" s="11">
        <v>-2.98</v>
      </c>
      <c r="E1712" s="12">
        <v>-0.0088</v>
      </c>
      <c r="F1712" s="6">
        <v>333.56</v>
      </c>
      <c r="G1712" s="6">
        <v>332.99</v>
      </c>
      <c r="H1712" s="6">
        <v>337.7</v>
      </c>
      <c r="I1712" s="9">
        <v>9.1523339E7</v>
      </c>
      <c r="J1712" s="6">
        <v>3.07000192124E10</v>
      </c>
    </row>
    <row r="1713">
      <c r="A1713" s="4" t="s">
        <v>10</v>
      </c>
      <c r="B1713" s="5">
        <v>44092.0</v>
      </c>
      <c r="C1713" s="6">
        <v>330.65</v>
      </c>
      <c r="D1713" s="11">
        <v>-5.19</v>
      </c>
      <c r="E1713" s="12">
        <v>-0.0155</v>
      </c>
      <c r="F1713" s="6">
        <v>335.37</v>
      </c>
      <c r="G1713" s="6">
        <v>327.97</v>
      </c>
      <c r="H1713" s="6">
        <v>335.49</v>
      </c>
      <c r="I1713" s="9">
        <v>1.05877942E8</v>
      </c>
      <c r="J1713" s="6">
        <v>3.515672287792E10</v>
      </c>
    </row>
    <row r="1714">
      <c r="A1714" s="4" t="s">
        <v>10</v>
      </c>
      <c r="B1714" s="5">
        <v>44095.0</v>
      </c>
      <c r="C1714" s="6">
        <v>326.97</v>
      </c>
      <c r="D1714" s="11">
        <v>-3.68</v>
      </c>
      <c r="E1714" s="12">
        <v>-0.0111</v>
      </c>
      <c r="F1714" s="6">
        <v>325.7</v>
      </c>
      <c r="G1714" s="6">
        <v>321.73</v>
      </c>
      <c r="H1714" s="6">
        <v>327.13</v>
      </c>
      <c r="I1714" s="9">
        <v>9.9450829E7</v>
      </c>
      <c r="J1714" s="6">
        <v>3.228020678876E10</v>
      </c>
    </row>
    <row r="1715">
      <c r="A1715" s="4" t="s">
        <v>10</v>
      </c>
      <c r="B1715" s="5">
        <v>44096.0</v>
      </c>
      <c r="C1715" s="6">
        <v>330.3</v>
      </c>
      <c r="D1715" s="13">
        <f>+3.33</f>
        <v>3.33</v>
      </c>
      <c r="E1715" s="14">
        <f>+1.02%</f>
        <v>0.0102</v>
      </c>
      <c r="F1715" s="6">
        <v>328.57</v>
      </c>
      <c r="G1715" s="6">
        <v>325.86</v>
      </c>
      <c r="H1715" s="6">
        <v>330.9</v>
      </c>
      <c r="I1715" s="9">
        <v>6.3612107E7</v>
      </c>
      <c r="J1715" s="6">
        <v>2.090215745635E10</v>
      </c>
    </row>
    <row r="1716">
      <c r="A1716" s="4" t="s">
        <v>10</v>
      </c>
      <c r="B1716" s="5">
        <v>44097.0</v>
      </c>
      <c r="C1716" s="6">
        <v>322.64</v>
      </c>
      <c r="D1716" s="11">
        <v>-7.66</v>
      </c>
      <c r="E1716" s="12">
        <v>-0.0232</v>
      </c>
      <c r="F1716" s="6">
        <v>330.9</v>
      </c>
      <c r="G1716" s="6">
        <v>322.1</v>
      </c>
      <c r="H1716" s="6">
        <v>331.2</v>
      </c>
      <c r="I1716" s="9">
        <v>9.311224E7</v>
      </c>
      <c r="J1716" s="6">
        <v>3.034219592529E10</v>
      </c>
    </row>
    <row r="1717">
      <c r="A1717" s="4" t="s">
        <v>10</v>
      </c>
      <c r="B1717" s="5">
        <v>44098.0</v>
      </c>
      <c r="C1717" s="6">
        <v>323.5</v>
      </c>
      <c r="D1717" s="13">
        <f>+0.86</f>
        <v>0.86</v>
      </c>
      <c r="E1717" s="14">
        <f>+0.27%</f>
        <v>0.0027</v>
      </c>
      <c r="F1717" s="6">
        <v>321.22</v>
      </c>
      <c r="G1717" s="6">
        <v>319.8</v>
      </c>
      <c r="H1717" s="6">
        <v>326.8</v>
      </c>
      <c r="I1717" s="9">
        <v>7.6681332E7</v>
      </c>
      <c r="J1717" s="6">
        <v>2.479828223088E10</v>
      </c>
    </row>
    <row r="1718">
      <c r="A1718" s="4" t="s">
        <v>10</v>
      </c>
      <c r="B1718" s="5">
        <v>44099.0</v>
      </c>
      <c r="C1718" s="6">
        <v>328.73</v>
      </c>
      <c r="D1718" s="13">
        <f>+5.23</f>
        <v>5.23</v>
      </c>
      <c r="E1718" s="14">
        <f>+1.62%</f>
        <v>0.0162</v>
      </c>
      <c r="F1718" s="6">
        <v>322.58</v>
      </c>
      <c r="G1718" s="6">
        <v>321.64</v>
      </c>
      <c r="H1718" s="6">
        <v>329.58</v>
      </c>
      <c r="I1718" s="9">
        <v>7.1069426E7</v>
      </c>
      <c r="J1718" s="6">
        <v>2.318112619215E10</v>
      </c>
    </row>
    <row r="1719">
      <c r="A1719" s="4" t="s">
        <v>10</v>
      </c>
      <c r="B1719" s="5">
        <v>44102.0</v>
      </c>
      <c r="C1719" s="6">
        <v>334.19</v>
      </c>
      <c r="D1719" s="13">
        <f>+5.46</f>
        <v>5.46</v>
      </c>
      <c r="E1719" s="14">
        <f>+1.66%</f>
        <v>0.0166</v>
      </c>
      <c r="F1719" s="6">
        <v>333.22</v>
      </c>
      <c r="G1719" s="6">
        <v>332.15</v>
      </c>
      <c r="H1719" s="6">
        <v>334.96</v>
      </c>
      <c r="I1719" s="9">
        <v>6.4584614E7</v>
      </c>
      <c r="J1719" s="6">
        <v>2.153404760701E10</v>
      </c>
    </row>
    <row r="1720">
      <c r="A1720" s="4" t="s">
        <v>10</v>
      </c>
      <c r="B1720" s="5">
        <v>44103.0</v>
      </c>
      <c r="C1720" s="6">
        <v>332.37</v>
      </c>
      <c r="D1720" s="11">
        <v>-1.82</v>
      </c>
      <c r="E1720" s="12">
        <v>-0.0054</v>
      </c>
      <c r="F1720" s="6">
        <v>333.97</v>
      </c>
      <c r="G1720" s="6">
        <v>331.62</v>
      </c>
      <c r="H1720" s="6">
        <v>334.77</v>
      </c>
      <c r="I1720" s="9">
        <v>5.1531594E7</v>
      </c>
      <c r="J1720" s="6">
        <v>1.716262736318E10</v>
      </c>
    </row>
    <row r="1721">
      <c r="A1721" s="4" t="s">
        <v>10</v>
      </c>
      <c r="B1721" s="5">
        <v>44104.0</v>
      </c>
      <c r="C1721" s="6">
        <v>334.89</v>
      </c>
      <c r="D1721" s="13">
        <f>+2.52</f>
        <v>2.52</v>
      </c>
      <c r="E1721" s="14">
        <f>+0.76%</f>
        <v>0.0076</v>
      </c>
      <c r="F1721" s="6">
        <v>333.09</v>
      </c>
      <c r="G1721" s="6">
        <v>332.88</v>
      </c>
      <c r="H1721" s="6">
        <v>338.29</v>
      </c>
      <c r="I1721" s="9">
        <v>1.04081136E8</v>
      </c>
      <c r="J1721" s="6">
        <v>3.489221272154E10</v>
      </c>
    </row>
    <row r="1722">
      <c r="A1722" s="4" t="s">
        <v>10</v>
      </c>
      <c r="B1722" s="5">
        <v>44105.0</v>
      </c>
      <c r="C1722" s="6">
        <v>337.04</v>
      </c>
      <c r="D1722" s="13">
        <f>+2.15</f>
        <v>2.15</v>
      </c>
      <c r="E1722" s="14">
        <f>+0.64%</f>
        <v>0.0064</v>
      </c>
      <c r="F1722" s="6">
        <v>337.69</v>
      </c>
      <c r="G1722" s="6">
        <v>335.01</v>
      </c>
      <c r="H1722" s="6">
        <v>338.74</v>
      </c>
      <c r="I1722" s="9">
        <v>8.8698745E7</v>
      </c>
      <c r="J1722" s="6">
        <v>2.984385470762E10</v>
      </c>
    </row>
    <row r="1723">
      <c r="A1723" s="4" t="s">
        <v>10</v>
      </c>
      <c r="B1723" s="5">
        <v>44106.0</v>
      </c>
      <c r="C1723" s="6">
        <v>333.84</v>
      </c>
      <c r="D1723" s="11">
        <v>-3.2</v>
      </c>
      <c r="E1723" s="12">
        <v>-0.0095</v>
      </c>
      <c r="F1723" s="6">
        <v>331.7</v>
      </c>
      <c r="G1723" s="6">
        <v>331.19</v>
      </c>
      <c r="H1723" s="6">
        <v>337.01</v>
      </c>
      <c r="I1723" s="9">
        <v>8.9431112E7</v>
      </c>
      <c r="J1723" s="6">
        <v>2.990531154956E10</v>
      </c>
    </row>
    <row r="1724">
      <c r="A1724" s="4" t="s">
        <v>10</v>
      </c>
      <c r="B1724" s="5">
        <v>44109.0</v>
      </c>
      <c r="C1724" s="6">
        <v>339.76</v>
      </c>
      <c r="D1724" s="13">
        <f>+5.92</f>
        <v>5.92</v>
      </c>
      <c r="E1724" s="14">
        <f>+1.77%</f>
        <v>0.0177</v>
      </c>
      <c r="F1724" s="6">
        <v>336.06</v>
      </c>
      <c r="G1724" s="6">
        <v>336.01</v>
      </c>
      <c r="H1724" s="6">
        <v>339.96</v>
      </c>
      <c r="I1724" s="9">
        <v>4.5713108E7</v>
      </c>
      <c r="J1724" s="6">
        <v>1.546603457597E10</v>
      </c>
    </row>
    <row r="1725">
      <c r="A1725" s="4" t="s">
        <v>10</v>
      </c>
      <c r="B1725" s="5">
        <v>44110.0</v>
      </c>
      <c r="C1725" s="6">
        <v>334.93</v>
      </c>
      <c r="D1725" s="11">
        <v>-4.83</v>
      </c>
      <c r="E1725" s="12">
        <v>-0.0142</v>
      </c>
      <c r="F1725" s="6">
        <v>339.91</v>
      </c>
      <c r="G1725" s="6">
        <v>334.38</v>
      </c>
      <c r="H1725" s="6">
        <v>342.17</v>
      </c>
      <c r="I1725" s="9">
        <v>9.0128883E7</v>
      </c>
      <c r="J1725" s="6">
        <v>3.044007426104E10</v>
      </c>
    </row>
    <row r="1726">
      <c r="A1726" s="4" t="s">
        <v>10</v>
      </c>
      <c r="B1726" s="5">
        <v>44111.0</v>
      </c>
      <c r="C1726" s="6">
        <v>340.76</v>
      </c>
      <c r="D1726" s="13">
        <f>+5.83</f>
        <v>5.83</v>
      </c>
      <c r="E1726" s="14">
        <f>+1.74%</f>
        <v>0.0174</v>
      </c>
      <c r="F1726" s="6">
        <v>338.12</v>
      </c>
      <c r="G1726" s="6">
        <v>338.09</v>
      </c>
      <c r="H1726" s="6">
        <v>341.63</v>
      </c>
      <c r="I1726" s="9">
        <v>5.6999597E7</v>
      </c>
      <c r="J1726" s="6">
        <v>1.938061844284E10</v>
      </c>
    </row>
    <row r="1727">
      <c r="A1727" s="4" t="s">
        <v>10</v>
      </c>
      <c r="B1727" s="5">
        <v>44112.0</v>
      </c>
      <c r="C1727" s="6">
        <v>343.78</v>
      </c>
      <c r="D1727" s="13">
        <f>+3.02</f>
        <v>3.02</v>
      </c>
      <c r="E1727" s="14">
        <f t="shared" ref="E1727:E1728" si="2">+0.89%</f>
        <v>0.0089</v>
      </c>
      <c r="F1727" s="6">
        <v>342.85</v>
      </c>
      <c r="G1727" s="6">
        <v>341.86</v>
      </c>
      <c r="H1727" s="6">
        <v>343.85</v>
      </c>
      <c r="I1727" s="9">
        <v>4.5242476E7</v>
      </c>
      <c r="J1727" s="6">
        <v>1.552704062191E10</v>
      </c>
    </row>
    <row r="1728">
      <c r="A1728" s="4" t="s">
        <v>10</v>
      </c>
      <c r="B1728" s="5">
        <v>44113.0</v>
      </c>
      <c r="C1728" s="6">
        <v>346.85</v>
      </c>
      <c r="D1728" s="13">
        <f>+3.07</f>
        <v>3.07</v>
      </c>
      <c r="E1728" s="14">
        <f t="shared" si="2"/>
        <v>0.0089</v>
      </c>
      <c r="F1728" s="6">
        <v>345.56</v>
      </c>
      <c r="G1728" s="6">
        <v>344.89</v>
      </c>
      <c r="H1728" s="6">
        <v>347.35</v>
      </c>
      <c r="I1728" s="9">
        <v>5.9528606E7</v>
      </c>
      <c r="J1728" s="6">
        <v>2.0603318105E10</v>
      </c>
    </row>
    <row r="1729">
      <c r="A1729" s="4" t="s">
        <v>10</v>
      </c>
      <c r="B1729" s="5">
        <v>44116.0</v>
      </c>
      <c r="C1729" s="6">
        <v>352.43</v>
      </c>
      <c r="D1729" s="13">
        <f>+5.58</f>
        <v>5.58</v>
      </c>
      <c r="E1729" s="14">
        <f>+1.61%</f>
        <v>0.0161</v>
      </c>
      <c r="F1729" s="6">
        <v>349.59</v>
      </c>
      <c r="G1729" s="6">
        <v>349.06</v>
      </c>
      <c r="H1729" s="6">
        <v>354.02</v>
      </c>
      <c r="I1729" s="9">
        <v>8.0388533E7</v>
      </c>
      <c r="J1729" s="6">
        <v>2.82569878024E10</v>
      </c>
    </row>
    <row r="1730">
      <c r="A1730" s="4" t="s">
        <v>10</v>
      </c>
      <c r="B1730" s="5">
        <v>44117.0</v>
      </c>
      <c r="C1730" s="6">
        <v>350.13</v>
      </c>
      <c r="D1730" s="11">
        <v>-2.3</v>
      </c>
      <c r="E1730" s="12">
        <v>-0.0065</v>
      </c>
      <c r="F1730" s="6">
        <v>352.28</v>
      </c>
      <c r="G1730" s="6">
        <v>349.09</v>
      </c>
      <c r="H1730" s="6">
        <v>352.47</v>
      </c>
      <c r="I1730" s="9">
        <v>7.3255513E7</v>
      </c>
      <c r="J1730" s="6">
        <v>2.573042499539E10</v>
      </c>
    </row>
    <row r="1731">
      <c r="A1731" s="4" t="s">
        <v>10</v>
      </c>
      <c r="B1731" s="5">
        <v>44118.0</v>
      </c>
      <c r="C1731" s="6">
        <v>347.93</v>
      </c>
      <c r="D1731" s="11">
        <v>-2.2</v>
      </c>
      <c r="E1731" s="12">
        <v>-0.0063</v>
      </c>
      <c r="F1731" s="6">
        <v>350.75</v>
      </c>
      <c r="G1731" s="6">
        <v>347.14</v>
      </c>
      <c r="H1731" s="6">
        <v>351.93</v>
      </c>
      <c r="I1731" s="9">
        <v>5.7958749E7</v>
      </c>
      <c r="J1731" s="6">
        <v>2.02221982937E10</v>
      </c>
    </row>
    <row r="1732">
      <c r="A1732" s="4" t="s">
        <v>10</v>
      </c>
      <c r="B1732" s="5">
        <v>44119.0</v>
      </c>
      <c r="C1732" s="6">
        <v>347.5</v>
      </c>
      <c r="D1732" s="11">
        <v>-0.43</v>
      </c>
      <c r="E1732" s="12">
        <v>-0.0012</v>
      </c>
      <c r="F1732" s="6">
        <v>343.71</v>
      </c>
      <c r="G1732" s="6">
        <v>343.13</v>
      </c>
      <c r="H1732" s="6">
        <v>348.02</v>
      </c>
      <c r="I1732" s="9">
        <v>6.0357659E7</v>
      </c>
      <c r="J1732" s="6">
        <v>2.088862814968E10</v>
      </c>
    </row>
    <row r="1733">
      <c r="A1733" s="4" t="s">
        <v>10</v>
      </c>
      <c r="B1733" s="5">
        <v>44120.0</v>
      </c>
      <c r="C1733" s="6">
        <v>347.29</v>
      </c>
      <c r="D1733" s="11">
        <v>-0.21</v>
      </c>
      <c r="E1733" s="12">
        <v>-6.0E-4</v>
      </c>
      <c r="F1733" s="6">
        <v>348.96</v>
      </c>
      <c r="G1733" s="6">
        <v>347.1</v>
      </c>
      <c r="H1733" s="6">
        <v>350.75</v>
      </c>
      <c r="I1733" s="9">
        <v>8.9501868E7</v>
      </c>
      <c r="J1733" s="6">
        <v>3.118249836761E10</v>
      </c>
    </row>
    <row r="1734">
      <c r="A1734" s="4" t="s">
        <v>10</v>
      </c>
      <c r="B1734" s="5">
        <v>44123.0</v>
      </c>
      <c r="C1734" s="6">
        <v>342.01</v>
      </c>
      <c r="D1734" s="11">
        <v>-5.28</v>
      </c>
      <c r="E1734" s="12">
        <v>-0.0152</v>
      </c>
      <c r="F1734" s="6">
        <v>348.65</v>
      </c>
      <c r="G1734" s="6">
        <v>341.04</v>
      </c>
      <c r="H1734" s="6">
        <v>349.33</v>
      </c>
      <c r="I1734" s="9">
        <v>6.8425614E7</v>
      </c>
      <c r="J1734" s="6">
        <v>2.35648596935E10</v>
      </c>
    </row>
    <row r="1735">
      <c r="A1735" s="4" t="s">
        <v>10</v>
      </c>
      <c r="B1735" s="5">
        <v>44124.0</v>
      </c>
      <c r="C1735" s="6">
        <v>343.38</v>
      </c>
      <c r="D1735" s="13">
        <f>+1.37</f>
        <v>1.37</v>
      </c>
      <c r="E1735" s="14">
        <f>+0.4%</f>
        <v>0.004</v>
      </c>
      <c r="F1735" s="6">
        <v>343.46</v>
      </c>
      <c r="G1735" s="6">
        <v>342.64</v>
      </c>
      <c r="H1735" s="6">
        <v>346.88</v>
      </c>
      <c r="I1735" s="9">
        <v>6.005188E7</v>
      </c>
      <c r="J1735" s="6">
        <v>2.067619864949E10</v>
      </c>
    </row>
    <row r="1736">
      <c r="A1736" s="4" t="s">
        <v>10</v>
      </c>
      <c r="B1736" s="5">
        <v>44125.0</v>
      </c>
      <c r="C1736" s="6">
        <v>342.73</v>
      </c>
      <c r="D1736" s="11">
        <v>-0.65</v>
      </c>
      <c r="E1736" s="12">
        <v>-0.0019</v>
      </c>
      <c r="F1736" s="6">
        <v>343.33</v>
      </c>
      <c r="G1736" s="6">
        <v>342.4</v>
      </c>
      <c r="H1736" s="6">
        <v>348.68</v>
      </c>
      <c r="I1736" s="9">
        <v>6.3574979E7</v>
      </c>
      <c r="J1736" s="6">
        <v>2.184865229011E10</v>
      </c>
    </row>
    <row r="1737">
      <c r="A1737" s="4" t="s">
        <v>10</v>
      </c>
      <c r="B1737" s="5">
        <v>44126.0</v>
      </c>
      <c r="C1737" s="6">
        <v>344.61</v>
      </c>
      <c r="D1737" s="13">
        <f>+1.88</f>
        <v>1.88</v>
      </c>
      <c r="E1737" s="14">
        <f>+0.55%</f>
        <v>0.0055</v>
      </c>
      <c r="F1737" s="6">
        <v>342.96</v>
      </c>
      <c r="G1737" s="6">
        <v>340.65</v>
      </c>
      <c r="H1737" s="6">
        <v>345.24</v>
      </c>
      <c r="I1737" s="9">
        <v>5.5399292E7</v>
      </c>
      <c r="J1737" s="6">
        <v>1.902462541858E10</v>
      </c>
    </row>
    <row r="1738">
      <c r="A1738" s="4" t="s">
        <v>10</v>
      </c>
      <c r="B1738" s="5">
        <v>44127.0</v>
      </c>
      <c r="C1738" s="6">
        <v>345.78</v>
      </c>
      <c r="D1738" s="13">
        <f>+1.17</f>
        <v>1.17</v>
      </c>
      <c r="E1738" s="14">
        <f>+0.34%</f>
        <v>0.0034</v>
      </c>
      <c r="F1738" s="6">
        <v>345.93</v>
      </c>
      <c r="G1738" s="6">
        <v>343.13</v>
      </c>
      <c r="H1738" s="6">
        <v>345.99</v>
      </c>
      <c r="I1738" s="9">
        <v>4.9143931E7</v>
      </c>
      <c r="J1738" s="6">
        <v>1.69492164395E10</v>
      </c>
    </row>
    <row r="1739">
      <c r="A1739" s="4" t="s">
        <v>10</v>
      </c>
      <c r="B1739" s="5">
        <v>44130.0</v>
      </c>
      <c r="C1739" s="6">
        <v>339.39</v>
      </c>
      <c r="D1739" s="11">
        <v>-6.39</v>
      </c>
      <c r="E1739" s="12">
        <v>-0.0185</v>
      </c>
      <c r="F1739" s="6">
        <v>342.13</v>
      </c>
      <c r="G1739" s="6">
        <v>335.62</v>
      </c>
      <c r="H1739" s="6">
        <v>342.98</v>
      </c>
      <c r="I1739" s="9">
        <v>9.1473002E7</v>
      </c>
      <c r="J1739" s="6">
        <v>3.104753795583E10</v>
      </c>
    </row>
    <row r="1740">
      <c r="A1740" s="4" t="s">
        <v>10</v>
      </c>
      <c r="B1740" s="5">
        <v>44131.0</v>
      </c>
      <c r="C1740" s="6">
        <v>338.22</v>
      </c>
      <c r="D1740" s="11">
        <v>-1.17</v>
      </c>
      <c r="E1740" s="12">
        <v>-0.0034</v>
      </c>
      <c r="F1740" s="6">
        <v>339.76</v>
      </c>
      <c r="G1740" s="6">
        <v>337.99</v>
      </c>
      <c r="H1740" s="6">
        <v>340.12</v>
      </c>
      <c r="I1740" s="9">
        <v>6.5994108E7</v>
      </c>
      <c r="J1740" s="6">
        <v>2.236627945363E10</v>
      </c>
    </row>
    <row r="1741">
      <c r="A1741" s="4" t="s">
        <v>10</v>
      </c>
      <c r="B1741" s="5">
        <v>44132.0</v>
      </c>
      <c r="C1741" s="6">
        <v>326.66</v>
      </c>
      <c r="D1741" s="11">
        <v>-11.56</v>
      </c>
      <c r="E1741" s="12">
        <v>-0.0342</v>
      </c>
      <c r="F1741" s="6">
        <v>332.1</v>
      </c>
      <c r="G1741" s="6">
        <v>326.13</v>
      </c>
      <c r="H1741" s="6">
        <v>338.25</v>
      </c>
      <c r="I1741" s="9">
        <v>1.27094307E8</v>
      </c>
      <c r="J1741" s="6">
        <v>4.187424621016E10</v>
      </c>
    </row>
    <row r="1742">
      <c r="A1742" s="4" t="s">
        <v>10</v>
      </c>
      <c r="B1742" s="5">
        <v>44133.0</v>
      </c>
      <c r="C1742" s="6">
        <v>329.98</v>
      </c>
      <c r="D1742" s="13">
        <f>+3.32</f>
        <v>3.32</v>
      </c>
      <c r="E1742" s="14">
        <f>+1.02%</f>
        <v>0.0102</v>
      </c>
      <c r="F1742" s="6">
        <v>326.91</v>
      </c>
      <c r="G1742" s="6">
        <v>325.09</v>
      </c>
      <c r="H1742" s="6">
        <v>333.4</v>
      </c>
      <c r="I1742" s="9">
        <v>9.0597689E7</v>
      </c>
      <c r="J1742" s="6">
        <v>2.985884935163E10</v>
      </c>
    </row>
    <row r="1743">
      <c r="A1743" s="4" t="s">
        <v>10</v>
      </c>
      <c r="B1743" s="5">
        <v>44134.0</v>
      </c>
      <c r="C1743" s="6">
        <v>326.54</v>
      </c>
      <c r="D1743" s="11">
        <v>-3.44</v>
      </c>
      <c r="E1743" s="12">
        <v>-0.0104</v>
      </c>
      <c r="F1743" s="6">
        <v>328.28</v>
      </c>
      <c r="G1743" s="6">
        <v>322.6</v>
      </c>
      <c r="H1743" s="6">
        <v>329.69</v>
      </c>
      <c r="I1743" s="9">
        <v>1.20448685E8</v>
      </c>
      <c r="J1743" s="6">
        <v>3.923179785185E10</v>
      </c>
    </row>
    <row r="1744">
      <c r="A1744" s="4" t="s">
        <v>10</v>
      </c>
      <c r="B1744" s="5">
        <v>44137.0</v>
      </c>
      <c r="C1744" s="6">
        <v>330.2</v>
      </c>
      <c r="D1744" s="13">
        <f>+3.66</f>
        <v>3.66</v>
      </c>
      <c r="E1744" s="14">
        <f>+1.12%</f>
        <v>0.0112</v>
      </c>
      <c r="F1744" s="6">
        <v>330.2</v>
      </c>
      <c r="G1744" s="6">
        <v>327.24</v>
      </c>
      <c r="H1744" s="6">
        <v>332.36</v>
      </c>
      <c r="I1744" s="9">
        <v>8.6068299E7</v>
      </c>
      <c r="J1744" s="6">
        <v>2.836850307729E10</v>
      </c>
    </row>
    <row r="1745">
      <c r="A1745" s="4" t="s">
        <v>10</v>
      </c>
      <c r="B1745" s="5">
        <v>44138.0</v>
      </c>
      <c r="C1745" s="6">
        <v>336.03</v>
      </c>
      <c r="D1745" s="13">
        <f>+5.83</f>
        <v>5.83</v>
      </c>
      <c r="E1745" s="14">
        <f>+1.77%</f>
        <v>0.0177</v>
      </c>
      <c r="F1745" s="6">
        <v>333.69</v>
      </c>
      <c r="G1745" s="6">
        <v>330.29</v>
      </c>
      <c r="H1745" s="6">
        <v>338.25</v>
      </c>
      <c r="I1745" s="9">
        <v>9.3294192E7</v>
      </c>
      <c r="J1745" s="6">
        <v>3.134619700026E10</v>
      </c>
    </row>
    <row r="1746">
      <c r="A1746" s="4" t="s">
        <v>10</v>
      </c>
      <c r="B1746" s="5">
        <v>44139.0</v>
      </c>
      <c r="C1746" s="6">
        <v>343.54</v>
      </c>
      <c r="D1746" s="13">
        <f>+7.51</f>
        <v>7.51</v>
      </c>
      <c r="E1746" s="14">
        <f>+2.23%</f>
        <v>0.0223</v>
      </c>
      <c r="F1746" s="6">
        <v>340.86</v>
      </c>
      <c r="G1746" s="6">
        <v>339.59</v>
      </c>
      <c r="H1746" s="6">
        <v>347.94</v>
      </c>
      <c r="I1746" s="9">
        <v>1.269597E8</v>
      </c>
      <c r="J1746" s="6">
        <v>4.362745845076E10</v>
      </c>
    </row>
    <row r="1747">
      <c r="A1747" s="4" t="s">
        <v>10</v>
      </c>
      <c r="B1747" s="5">
        <v>44140.0</v>
      </c>
      <c r="C1747" s="6">
        <v>350.24</v>
      </c>
      <c r="D1747" s="13">
        <f>+6.7</f>
        <v>6.7</v>
      </c>
      <c r="E1747" s="14">
        <f>+1.95%</f>
        <v>0.0195</v>
      </c>
      <c r="F1747" s="6">
        <v>349.24</v>
      </c>
      <c r="G1747" s="6">
        <v>348.86</v>
      </c>
      <c r="H1747" s="6">
        <v>352.19</v>
      </c>
      <c r="I1747" s="9">
        <v>8.2039749E7</v>
      </c>
      <c r="J1747" s="6">
        <v>2.871426146625E10</v>
      </c>
    </row>
    <row r="1748">
      <c r="A1748" s="4" t="s">
        <v>10</v>
      </c>
      <c r="B1748" s="5">
        <v>44141.0</v>
      </c>
      <c r="C1748" s="6">
        <v>350.16</v>
      </c>
      <c r="D1748" s="11">
        <v>-0.08</v>
      </c>
      <c r="E1748" s="12">
        <v>-2.0E-4</v>
      </c>
      <c r="F1748" s="6">
        <v>349.93</v>
      </c>
      <c r="G1748" s="6">
        <v>347.65</v>
      </c>
      <c r="H1748" s="6">
        <v>351.51</v>
      </c>
      <c r="I1748" s="9">
        <v>7.4972973E7</v>
      </c>
      <c r="J1748" s="6">
        <v>2.624376278084E10</v>
      </c>
    </row>
    <row r="1749">
      <c r="A1749" s="4" t="s">
        <v>10</v>
      </c>
      <c r="B1749" s="5">
        <v>44144.0</v>
      </c>
      <c r="C1749" s="6">
        <v>354.56</v>
      </c>
      <c r="D1749" s="13">
        <f>+4.4</f>
        <v>4.4</v>
      </c>
      <c r="E1749" s="14">
        <f>+1.26%</f>
        <v>0.0126</v>
      </c>
      <c r="F1749" s="6">
        <v>363.97</v>
      </c>
      <c r="G1749" s="6">
        <v>354.06</v>
      </c>
      <c r="H1749" s="6">
        <v>364.38</v>
      </c>
      <c r="I1749" s="9">
        <v>1.72304203E8</v>
      </c>
      <c r="J1749" s="6">
        <v>6.169090449375E10</v>
      </c>
    </row>
    <row r="1750">
      <c r="A1750" s="4" t="s">
        <v>10</v>
      </c>
      <c r="B1750" s="5">
        <v>44145.0</v>
      </c>
      <c r="C1750" s="6">
        <v>354.04</v>
      </c>
      <c r="D1750" s="11">
        <v>-0.52</v>
      </c>
      <c r="E1750" s="12">
        <v>-0.0015</v>
      </c>
      <c r="F1750" s="6">
        <v>353.49</v>
      </c>
      <c r="G1750" s="6">
        <v>350.51</v>
      </c>
      <c r="H1750" s="6">
        <v>355.18</v>
      </c>
      <c r="I1750" s="9">
        <v>8.5552022E7</v>
      </c>
      <c r="J1750" s="6">
        <v>3.025616992813E10</v>
      </c>
    </row>
    <row r="1751">
      <c r="A1751" s="4" t="s">
        <v>10</v>
      </c>
      <c r="B1751" s="5">
        <v>44146.0</v>
      </c>
      <c r="C1751" s="6">
        <v>356.67</v>
      </c>
      <c r="D1751" s="13">
        <f>+2.63</f>
        <v>2.63</v>
      </c>
      <c r="E1751" s="14">
        <f>+0.74%</f>
        <v>0.0074</v>
      </c>
      <c r="F1751" s="6">
        <v>356.4</v>
      </c>
      <c r="G1751" s="6">
        <v>355.06</v>
      </c>
      <c r="H1751" s="6">
        <v>357.56</v>
      </c>
      <c r="I1751" s="9">
        <v>5.8649048E7</v>
      </c>
      <c r="J1751" s="6">
        <v>2.089500034424E10</v>
      </c>
    </row>
    <row r="1752">
      <c r="A1752" s="4" t="s">
        <v>10</v>
      </c>
      <c r="B1752" s="5">
        <v>44147.0</v>
      </c>
      <c r="C1752" s="6">
        <v>353.21</v>
      </c>
      <c r="D1752" s="11">
        <v>-3.46</v>
      </c>
      <c r="E1752" s="12">
        <v>-0.0097</v>
      </c>
      <c r="F1752" s="6">
        <v>355.58</v>
      </c>
      <c r="G1752" s="6">
        <v>351.26</v>
      </c>
      <c r="H1752" s="6">
        <v>356.72</v>
      </c>
      <c r="I1752" s="9">
        <v>6.8118563E7</v>
      </c>
      <c r="J1752" s="6">
        <v>2.408742786188E10</v>
      </c>
    </row>
    <row r="1753">
      <c r="A1753" s="4" t="s">
        <v>10</v>
      </c>
      <c r="B1753" s="5">
        <v>44148.0</v>
      </c>
      <c r="C1753" s="6">
        <v>358.1</v>
      </c>
      <c r="D1753" s="13">
        <f>+4.89</f>
        <v>4.89</v>
      </c>
      <c r="E1753" s="14">
        <f>+1.38%</f>
        <v>0.0138</v>
      </c>
      <c r="F1753" s="6">
        <v>355.27</v>
      </c>
      <c r="G1753" s="6">
        <v>354.71</v>
      </c>
      <c r="H1753" s="6">
        <v>358.9</v>
      </c>
      <c r="I1753" s="9">
        <v>6.2959429E7</v>
      </c>
      <c r="J1753" s="6">
        <v>2.246853570978E10</v>
      </c>
    </row>
    <row r="1754">
      <c r="A1754" s="4" t="s">
        <v>10</v>
      </c>
      <c r="B1754" s="5">
        <v>44151.0</v>
      </c>
      <c r="C1754" s="6">
        <v>362.57</v>
      </c>
      <c r="D1754" s="13">
        <f>+4.47</f>
        <v>4.47</v>
      </c>
      <c r="E1754" s="14">
        <f>+1.25%</f>
        <v>0.0125</v>
      </c>
      <c r="F1754" s="6">
        <v>360.98</v>
      </c>
      <c r="G1754" s="6">
        <v>359.59</v>
      </c>
      <c r="H1754" s="6">
        <v>362.78</v>
      </c>
      <c r="I1754" s="9">
        <v>7.4541138E7</v>
      </c>
      <c r="J1754" s="6">
        <v>2.691631102905E10</v>
      </c>
    </row>
    <row r="1755">
      <c r="A1755" s="4" t="s">
        <v>10</v>
      </c>
      <c r="B1755" s="5">
        <v>44152.0</v>
      </c>
      <c r="C1755" s="6">
        <v>360.62</v>
      </c>
      <c r="D1755" s="11">
        <v>-1.95</v>
      </c>
      <c r="E1755" s="12">
        <v>-0.0054</v>
      </c>
      <c r="F1755" s="6">
        <v>359.97</v>
      </c>
      <c r="G1755" s="6">
        <v>358.34</v>
      </c>
      <c r="H1755" s="6">
        <v>361.92</v>
      </c>
      <c r="I1755" s="9">
        <v>6.6111009E7</v>
      </c>
      <c r="J1755" s="6">
        <v>2.383510071477E10</v>
      </c>
    </row>
    <row r="1756">
      <c r="A1756" s="4" t="s">
        <v>10</v>
      </c>
      <c r="B1756" s="5">
        <v>44153.0</v>
      </c>
      <c r="C1756" s="6">
        <v>356.28</v>
      </c>
      <c r="D1756" s="11">
        <v>-4.34</v>
      </c>
      <c r="E1756" s="12">
        <v>-0.012</v>
      </c>
      <c r="F1756" s="6">
        <v>360.91</v>
      </c>
      <c r="G1756" s="6">
        <v>356.24</v>
      </c>
      <c r="H1756" s="6">
        <v>361.5</v>
      </c>
      <c r="I1756" s="9">
        <v>7.0591299E7</v>
      </c>
      <c r="J1756" s="6">
        <v>2.534685740177E10</v>
      </c>
    </row>
    <row r="1757">
      <c r="A1757" s="4" t="s">
        <v>10</v>
      </c>
      <c r="B1757" s="5">
        <v>44154.0</v>
      </c>
      <c r="C1757" s="6">
        <v>357.78</v>
      </c>
      <c r="D1757" s="13">
        <f>+1.5</f>
        <v>1.5</v>
      </c>
      <c r="E1757" s="14">
        <f>+0.42%</f>
        <v>0.0042</v>
      </c>
      <c r="F1757" s="6">
        <v>355.6</v>
      </c>
      <c r="G1757" s="6">
        <v>354.15</v>
      </c>
      <c r="H1757" s="6">
        <v>358.18</v>
      </c>
      <c r="I1757" s="9">
        <v>5.9940947E7</v>
      </c>
      <c r="J1757" s="6">
        <v>2.136766890011E10</v>
      </c>
    </row>
    <row r="1758">
      <c r="A1758" s="4" t="s">
        <v>10</v>
      </c>
      <c r="B1758" s="5">
        <v>44155.0</v>
      </c>
      <c r="C1758" s="6">
        <v>355.33</v>
      </c>
      <c r="D1758" s="11">
        <v>-2.45</v>
      </c>
      <c r="E1758" s="12">
        <v>-0.0068</v>
      </c>
      <c r="F1758" s="6">
        <v>357.5</v>
      </c>
      <c r="G1758" s="6">
        <v>355.25</v>
      </c>
      <c r="H1758" s="6">
        <v>357.72</v>
      </c>
      <c r="I1758" s="9">
        <v>7.041189E7</v>
      </c>
      <c r="J1758" s="6">
        <v>2.509983115381E10</v>
      </c>
    </row>
    <row r="1759">
      <c r="A1759" s="4" t="s">
        <v>10</v>
      </c>
      <c r="B1759" s="5">
        <v>44158.0</v>
      </c>
      <c r="C1759" s="6">
        <v>357.46</v>
      </c>
      <c r="D1759" s="13">
        <f>+2.13</f>
        <v>2.13</v>
      </c>
      <c r="E1759" s="14">
        <f>+0.6%</f>
        <v>0.006</v>
      </c>
      <c r="F1759" s="6">
        <v>357.28</v>
      </c>
      <c r="G1759" s="6">
        <v>354.87</v>
      </c>
      <c r="H1759" s="6">
        <v>358.82</v>
      </c>
      <c r="I1759" s="9">
        <v>6.3230608E7</v>
      </c>
      <c r="J1759" s="6">
        <v>2.25673731357E10</v>
      </c>
    </row>
    <row r="1760">
      <c r="A1760" s="4" t="s">
        <v>10</v>
      </c>
      <c r="B1760" s="5">
        <v>44159.0</v>
      </c>
      <c r="C1760" s="6">
        <v>363.22</v>
      </c>
      <c r="D1760" s="13">
        <f>+5.76</f>
        <v>5.76</v>
      </c>
      <c r="E1760" s="14">
        <f>+1.61%</f>
        <v>0.0161</v>
      </c>
      <c r="F1760" s="6">
        <v>360.21</v>
      </c>
      <c r="G1760" s="6">
        <v>359.29</v>
      </c>
      <c r="H1760" s="6">
        <v>363.81</v>
      </c>
      <c r="I1760" s="9">
        <v>6.2415877E7</v>
      </c>
      <c r="J1760" s="6">
        <v>2.259833805135E10</v>
      </c>
    </row>
    <row r="1761">
      <c r="A1761" s="4" t="s">
        <v>10</v>
      </c>
      <c r="B1761" s="5">
        <v>44160.0</v>
      </c>
      <c r="C1761" s="6">
        <v>362.66</v>
      </c>
      <c r="D1761" s="11">
        <v>-0.56</v>
      </c>
      <c r="E1761" s="12">
        <v>-0.0015</v>
      </c>
      <c r="F1761" s="6">
        <v>363.13</v>
      </c>
      <c r="G1761" s="6">
        <v>361.48</v>
      </c>
      <c r="H1761" s="6">
        <v>363.16</v>
      </c>
      <c r="I1761" s="9">
        <v>4.533089E7</v>
      </c>
      <c r="J1761" s="6">
        <v>1.643314359352E10</v>
      </c>
    </row>
    <row r="1762">
      <c r="A1762" s="4" t="s">
        <v>10</v>
      </c>
      <c r="B1762" s="5">
        <v>44161.0</v>
      </c>
      <c r="C1762" s="10"/>
      <c r="D1762" s="7"/>
      <c r="E1762" s="8"/>
      <c r="F1762" s="10"/>
      <c r="G1762" s="10"/>
      <c r="H1762" s="10"/>
      <c r="I1762" s="15"/>
      <c r="J1762" s="10"/>
    </row>
    <row r="1763">
      <c r="A1763" s="4" t="s">
        <v>10</v>
      </c>
      <c r="B1763" s="5">
        <v>44162.0</v>
      </c>
      <c r="C1763" s="6">
        <v>363.67</v>
      </c>
      <c r="D1763" s="13">
        <f>+1.01</f>
        <v>1.01</v>
      </c>
      <c r="E1763" s="14">
        <f>+0.28%</f>
        <v>0.0028</v>
      </c>
      <c r="F1763" s="6">
        <v>363.84</v>
      </c>
      <c r="G1763" s="6">
        <v>362.58</v>
      </c>
      <c r="H1763" s="6">
        <v>364.18</v>
      </c>
      <c r="I1763" s="9">
        <v>2.8514072E7</v>
      </c>
      <c r="J1763" s="6">
        <v>1.036752994649E10</v>
      </c>
    </row>
    <row r="1764">
      <c r="A1764" s="4" t="s">
        <v>10</v>
      </c>
      <c r="B1764" s="5">
        <v>44165.0</v>
      </c>
      <c r="C1764" s="6">
        <v>362.06</v>
      </c>
      <c r="D1764" s="11">
        <v>-1.61</v>
      </c>
      <c r="E1764" s="12">
        <v>-0.0044</v>
      </c>
      <c r="F1764" s="6">
        <v>362.83</v>
      </c>
      <c r="G1764" s="6">
        <v>359.17</v>
      </c>
      <c r="H1764" s="6">
        <v>363.12</v>
      </c>
      <c r="I1764" s="9">
        <v>8.3872709E7</v>
      </c>
      <c r="J1764" s="6">
        <v>3.03370929901E10</v>
      </c>
    </row>
    <row r="1765">
      <c r="A1765" s="4" t="s">
        <v>10</v>
      </c>
      <c r="B1765" s="5">
        <v>44166.0</v>
      </c>
      <c r="C1765" s="6">
        <v>366.02</v>
      </c>
      <c r="D1765" s="13">
        <f>+3.96</f>
        <v>3.96</v>
      </c>
      <c r="E1765" s="14">
        <f>+1.09%</f>
        <v>0.0109</v>
      </c>
      <c r="F1765" s="6">
        <v>365.57</v>
      </c>
      <c r="G1765" s="6">
        <v>364.93</v>
      </c>
      <c r="H1765" s="6">
        <v>367.68</v>
      </c>
      <c r="I1765" s="9">
        <v>7.4504969E7</v>
      </c>
      <c r="J1765" s="6">
        <v>2.726645934627E10</v>
      </c>
    </row>
    <row r="1766">
      <c r="A1766" s="4" t="s">
        <v>10</v>
      </c>
      <c r="B1766" s="5">
        <v>44167.0</v>
      </c>
      <c r="C1766" s="6">
        <v>366.79</v>
      </c>
      <c r="D1766" s="13">
        <f>+0.77</f>
        <v>0.77</v>
      </c>
      <c r="E1766" s="14">
        <f>+0.21%</f>
        <v>0.0021</v>
      </c>
      <c r="F1766" s="6">
        <v>364.82</v>
      </c>
      <c r="G1766" s="6">
        <v>364.2</v>
      </c>
      <c r="H1766" s="6">
        <v>366.96</v>
      </c>
      <c r="I1766" s="9">
        <v>4.5927E7</v>
      </c>
      <c r="J1766" s="6">
        <v>1.681146346391E10</v>
      </c>
    </row>
    <row r="1767">
      <c r="A1767" s="4" t="s">
        <v>10</v>
      </c>
      <c r="B1767" s="5">
        <v>44168.0</v>
      </c>
      <c r="C1767" s="6">
        <v>366.69</v>
      </c>
      <c r="D1767" s="11">
        <v>-0.1</v>
      </c>
      <c r="E1767" s="12">
        <v>-3.0E-4</v>
      </c>
      <c r="F1767" s="6">
        <v>366.68</v>
      </c>
      <c r="G1767" s="6">
        <v>365.5</v>
      </c>
      <c r="H1767" s="6">
        <v>368.19</v>
      </c>
      <c r="I1767" s="9">
        <v>6.2881998E7</v>
      </c>
      <c r="J1767" s="6">
        <v>2.307195085922E10</v>
      </c>
    </row>
    <row r="1768">
      <c r="A1768" s="4" t="s">
        <v>10</v>
      </c>
      <c r="B1768" s="5">
        <v>44169.0</v>
      </c>
      <c r="C1768" s="6">
        <v>369.85</v>
      </c>
      <c r="D1768" s="13">
        <f>+3.16</f>
        <v>3.16</v>
      </c>
      <c r="E1768" s="14">
        <f>+0.86%</f>
        <v>0.0086</v>
      </c>
      <c r="F1768" s="6">
        <v>367.32</v>
      </c>
      <c r="G1768" s="6">
        <v>367.22</v>
      </c>
      <c r="H1768" s="6">
        <v>369.85</v>
      </c>
      <c r="I1768" s="9">
        <v>5.0749859E7</v>
      </c>
      <c r="J1768" s="6">
        <v>1.871689190377E10</v>
      </c>
    </row>
    <row r="1769">
      <c r="A1769" s="4" t="s">
        <v>10</v>
      </c>
      <c r="B1769" s="5">
        <v>44172.0</v>
      </c>
      <c r="C1769" s="6">
        <v>369.09</v>
      </c>
      <c r="D1769" s="11">
        <v>-0.76</v>
      </c>
      <c r="E1769" s="12">
        <v>-0.0021</v>
      </c>
      <c r="F1769" s="6">
        <v>369.02</v>
      </c>
      <c r="G1769" s="6">
        <v>367.72</v>
      </c>
      <c r="H1769" s="6">
        <v>369.62</v>
      </c>
      <c r="I1769" s="9">
        <v>4.8944269E7</v>
      </c>
      <c r="J1769" s="6">
        <v>1.805667513445E10</v>
      </c>
    </row>
    <row r="1770">
      <c r="A1770" s="4" t="s">
        <v>10</v>
      </c>
      <c r="B1770" s="5">
        <v>44173.0</v>
      </c>
      <c r="C1770" s="6">
        <v>370.17</v>
      </c>
      <c r="D1770" s="13">
        <f>+1.08</f>
        <v>1.08</v>
      </c>
      <c r="E1770" s="14">
        <f>+0.29%</f>
        <v>0.0029</v>
      </c>
      <c r="F1770" s="6">
        <v>367.72</v>
      </c>
      <c r="G1770" s="6">
        <v>367.67</v>
      </c>
      <c r="H1770" s="6">
        <v>370.78</v>
      </c>
      <c r="I1770" s="9">
        <v>4.2458859E7</v>
      </c>
      <c r="J1770" s="6">
        <v>1.569034182857E10</v>
      </c>
    </row>
    <row r="1771">
      <c r="A1771" s="4" t="s">
        <v>10</v>
      </c>
      <c r="B1771" s="5">
        <v>44174.0</v>
      </c>
      <c r="C1771" s="6">
        <v>366.85</v>
      </c>
      <c r="D1771" s="11">
        <v>-3.32</v>
      </c>
      <c r="E1771" s="12">
        <v>-0.009</v>
      </c>
      <c r="F1771" s="6">
        <v>370.88</v>
      </c>
      <c r="G1771" s="6">
        <v>365.95</v>
      </c>
      <c r="H1771" s="6">
        <v>371.05</v>
      </c>
      <c r="I1771" s="9">
        <v>7.4098312E7</v>
      </c>
      <c r="J1771" s="6">
        <v>2.727743690676E10</v>
      </c>
    </row>
    <row r="1772">
      <c r="A1772" s="4" t="s">
        <v>10</v>
      </c>
      <c r="B1772" s="5">
        <v>44175.0</v>
      </c>
      <c r="C1772" s="6">
        <v>366.73</v>
      </c>
      <c r="D1772" s="11">
        <v>-0.12</v>
      </c>
      <c r="E1772" s="12">
        <v>-3.0E-4</v>
      </c>
      <c r="F1772" s="6">
        <v>365.37</v>
      </c>
      <c r="G1772" s="6">
        <v>364.43</v>
      </c>
      <c r="H1772" s="6">
        <v>367.86</v>
      </c>
      <c r="I1772" s="9">
        <v>5.7735353E7</v>
      </c>
      <c r="J1772" s="6">
        <v>2.117547971107E10</v>
      </c>
    </row>
    <row r="1773">
      <c r="A1773" s="4" t="s">
        <v>10</v>
      </c>
      <c r="B1773" s="5">
        <v>44176.0</v>
      </c>
      <c r="C1773" s="6">
        <v>366.3</v>
      </c>
      <c r="D1773" s="11">
        <v>-0.43</v>
      </c>
      <c r="E1773" s="12">
        <v>-0.0012</v>
      </c>
      <c r="F1773" s="6">
        <v>364.9</v>
      </c>
      <c r="G1773" s="6">
        <v>363.26</v>
      </c>
      <c r="H1773" s="6">
        <v>366.74</v>
      </c>
      <c r="I1773" s="9">
        <v>5.7698614E7</v>
      </c>
      <c r="J1773" s="6">
        <v>2.108668231027E10</v>
      </c>
    </row>
    <row r="1774">
      <c r="A1774" s="4" t="s">
        <v>10</v>
      </c>
      <c r="B1774" s="5">
        <v>44179.0</v>
      </c>
      <c r="C1774" s="6">
        <v>364.66</v>
      </c>
      <c r="D1774" s="11">
        <v>-1.64</v>
      </c>
      <c r="E1774" s="12">
        <v>-0.0045</v>
      </c>
      <c r="F1774" s="6">
        <v>368.64</v>
      </c>
      <c r="G1774" s="6">
        <v>364.47</v>
      </c>
      <c r="H1774" s="6">
        <v>369.8</v>
      </c>
      <c r="I1774" s="9">
        <v>6.9216174E7</v>
      </c>
      <c r="J1774" s="6">
        <v>2.5374890744E10</v>
      </c>
    </row>
    <row r="1775">
      <c r="A1775" s="4" t="s">
        <v>10</v>
      </c>
      <c r="B1775" s="5">
        <v>44180.0</v>
      </c>
      <c r="C1775" s="6">
        <v>369.59</v>
      </c>
      <c r="D1775" s="13">
        <f>+4.93</f>
        <v>4.93</v>
      </c>
      <c r="E1775" s="14">
        <f>+1.35%</f>
        <v>0.0135</v>
      </c>
      <c r="F1775" s="6">
        <v>367.4</v>
      </c>
      <c r="G1775" s="6">
        <v>365.92</v>
      </c>
      <c r="H1775" s="6">
        <v>369.59</v>
      </c>
      <c r="I1775" s="9">
        <v>6.4071099E7</v>
      </c>
      <c r="J1775" s="6">
        <v>2.356790096051E10</v>
      </c>
    </row>
    <row r="1776">
      <c r="A1776" s="4" t="s">
        <v>10</v>
      </c>
      <c r="B1776" s="5">
        <v>44181.0</v>
      </c>
      <c r="C1776" s="6">
        <v>370.17</v>
      </c>
      <c r="D1776" s="13">
        <f>+0.58</f>
        <v>0.58</v>
      </c>
      <c r="E1776" s="14">
        <f>+0.16%</f>
        <v>0.0016</v>
      </c>
      <c r="F1776" s="6">
        <v>369.82</v>
      </c>
      <c r="G1776" s="6">
        <v>368.87</v>
      </c>
      <c r="H1776" s="6">
        <v>371.16</v>
      </c>
      <c r="I1776" s="9">
        <v>5.8420517E7</v>
      </c>
      <c r="J1776" s="6">
        <v>2.161215649736E10</v>
      </c>
    </row>
    <row r="1777">
      <c r="A1777" s="4" t="s">
        <v>10</v>
      </c>
      <c r="B1777" s="5">
        <v>44182.0</v>
      </c>
      <c r="C1777" s="6">
        <v>372.24</v>
      </c>
      <c r="D1777" s="13">
        <f>+2.07</f>
        <v>2.07</v>
      </c>
      <c r="E1777" s="14">
        <f>+0.56%</f>
        <v>0.0056</v>
      </c>
      <c r="F1777" s="6">
        <v>371.94</v>
      </c>
      <c r="G1777" s="6">
        <v>371.05</v>
      </c>
      <c r="H1777" s="6">
        <v>372.46</v>
      </c>
      <c r="I1777" s="9">
        <v>6.4119472E7</v>
      </c>
      <c r="J1777" s="6">
        <v>2.382605474159E10</v>
      </c>
    </row>
    <row r="1778">
      <c r="A1778" s="4" t="s">
        <v>10</v>
      </c>
      <c r="B1778" s="5">
        <v>44183.0</v>
      </c>
      <c r="C1778" s="6">
        <v>369.18</v>
      </c>
      <c r="D1778" s="11">
        <v>-3.06</v>
      </c>
      <c r="E1778" s="12">
        <v>-0.0082</v>
      </c>
      <c r="F1778" s="6">
        <v>370.97</v>
      </c>
      <c r="G1778" s="6">
        <v>367.02</v>
      </c>
      <c r="H1778" s="6">
        <v>371.15</v>
      </c>
      <c r="I1778" s="9">
        <v>1.36542328E8</v>
      </c>
      <c r="J1778" s="6">
        <v>5.044556976556E10</v>
      </c>
    </row>
    <row r="1779">
      <c r="A1779" s="4" t="s">
        <v>10</v>
      </c>
      <c r="B1779" s="5">
        <v>44186.0</v>
      </c>
      <c r="C1779" s="6">
        <v>367.86</v>
      </c>
      <c r="D1779" s="11">
        <v>-1.32</v>
      </c>
      <c r="E1779" s="12">
        <v>-0.0036</v>
      </c>
      <c r="F1779" s="6">
        <v>364.97</v>
      </c>
      <c r="G1779" s="6">
        <v>362.03</v>
      </c>
      <c r="H1779" s="6">
        <v>378.46</v>
      </c>
      <c r="I1779" s="9">
        <v>9.6386745E7</v>
      </c>
      <c r="J1779" s="6">
        <v>3.53080740948E10</v>
      </c>
    </row>
    <row r="1780">
      <c r="A1780" s="4" t="s">
        <v>10</v>
      </c>
      <c r="B1780" s="5">
        <v>44187.0</v>
      </c>
      <c r="C1780" s="6">
        <v>367.24</v>
      </c>
      <c r="D1780" s="11">
        <v>-0.62</v>
      </c>
      <c r="E1780" s="12">
        <v>-0.0017</v>
      </c>
      <c r="F1780" s="6">
        <v>368.21</v>
      </c>
      <c r="G1780" s="6">
        <v>366.03</v>
      </c>
      <c r="H1780" s="6">
        <v>368.33</v>
      </c>
      <c r="I1780" s="9">
        <v>4.8388462E7</v>
      </c>
      <c r="J1780" s="6">
        <v>1.778027964451E10</v>
      </c>
    </row>
    <row r="1781">
      <c r="A1781" s="4" t="s">
        <v>10</v>
      </c>
      <c r="B1781" s="5">
        <v>44188.0</v>
      </c>
      <c r="C1781" s="6">
        <v>367.57</v>
      </c>
      <c r="D1781" s="13">
        <f>+0.33</f>
        <v>0.33</v>
      </c>
      <c r="E1781" s="14">
        <f>+0.09%</f>
        <v>0.0009</v>
      </c>
      <c r="F1781" s="6">
        <v>368.28</v>
      </c>
      <c r="G1781" s="6">
        <v>367.22</v>
      </c>
      <c r="H1781" s="6">
        <v>369.62</v>
      </c>
      <c r="I1781" s="9">
        <v>4.6201402E7</v>
      </c>
      <c r="J1781" s="6">
        <v>1.701950640334E10</v>
      </c>
    </row>
    <row r="1782">
      <c r="A1782" s="4" t="s">
        <v>10</v>
      </c>
      <c r="B1782" s="5">
        <v>44189.0</v>
      </c>
      <c r="C1782" s="6">
        <v>369.0</v>
      </c>
      <c r="D1782" s="13">
        <f>+1.43</f>
        <v>1.43</v>
      </c>
      <c r="E1782" s="14">
        <f>+0.39%</f>
        <v>0.0039</v>
      </c>
      <c r="F1782" s="6">
        <v>368.08</v>
      </c>
      <c r="G1782" s="6">
        <v>367.45</v>
      </c>
      <c r="H1782" s="6">
        <v>369.03</v>
      </c>
      <c r="I1782" s="9">
        <v>2.6457853E7</v>
      </c>
      <c r="J1782" s="6">
        <v>9.74690942709E9</v>
      </c>
    </row>
    <row r="1783">
      <c r="A1783" s="4" t="s">
        <v>10</v>
      </c>
      <c r="B1783" s="5">
        <v>44190.0</v>
      </c>
      <c r="C1783" s="10"/>
      <c r="D1783" s="7"/>
      <c r="E1783" s="8"/>
      <c r="F1783" s="10"/>
      <c r="G1783" s="10"/>
      <c r="H1783" s="10"/>
      <c r="I1783" s="15"/>
      <c r="J1783" s="10"/>
    </row>
    <row r="1784">
      <c r="A1784" s="4" t="s">
        <v>10</v>
      </c>
      <c r="B1784" s="5">
        <v>44193.0</v>
      </c>
      <c r="C1784" s="6">
        <v>372.17</v>
      </c>
      <c r="D1784" s="13">
        <f>+3.17</f>
        <v>3.17</v>
      </c>
      <c r="E1784" s="14">
        <f>+0.86%</f>
        <v>0.0086</v>
      </c>
      <c r="F1784" s="6">
        <v>371.74</v>
      </c>
      <c r="G1784" s="6">
        <v>371.07</v>
      </c>
      <c r="H1784" s="6">
        <v>372.59</v>
      </c>
      <c r="I1784" s="9">
        <v>3.9000402E7</v>
      </c>
      <c r="J1784" s="6">
        <v>1.449779268416E10</v>
      </c>
    </row>
    <row r="1785">
      <c r="A1785" s="4" t="s">
        <v>10</v>
      </c>
      <c r="B1785" s="5">
        <v>44194.0</v>
      </c>
      <c r="C1785" s="6">
        <v>371.46</v>
      </c>
      <c r="D1785" s="11">
        <v>-0.71</v>
      </c>
      <c r="E1785" s="12">
        <v>-0.0019</v>
      </c>
      <c r="F1785" s="6">
        <v>373.81</v>
      </c>
      <c r="G1785" s="6">
        <v>370.83</v>
      </c>
      <c r="H1785" s="6">
        <v>374.0</v>
      </c>
      <c r="I1785" s="9">
        <v>5.3680451E7</v>
      </c>
      <c r="J1785" s="6">
        <v>1.996358552915E10</v>
      </c>
    </row>
    <row r="1786">
      <c r="A1786" s="4" t="s">
        <v>10</v>
      </c>
      <c r="B1786" s="5">
        <v>44195.0</v>
      </c>
      <c r="C1786" s="6">
        <v>371.99</v>
      </c>
      <c r="D1786" s="13">
        <f>+0.53</f>
        <v>0.53</v>
      </c>
      <c r="E1786" s="14">
        <f>+0.14%</f>
        <v>0.0014</v>
      </c>
      <c r="F1786" s="6">
        <v>372.34</v>
      </c>
      <c r="G1786" s="6">
        <v>371.57</v>
      </c>
      <c r="H1786" s="6">
        <v>373.1</v>
      </c>
      <c r="I1786" s="9">
        <v>4.9455259E7</v>
      </c>
      <c r="J1786" s="6">
        <v>1.840192331324E10</v>
      </c>
    </row>
    <row r="1787">
      <c r="A1787" s="4" t="s">
        <v>10</v>
      </c>
      <c r="B1787" s="5">
        <v>44196.0</v>
      </c>
      <c r="C1787" s="6">
        <v>373.88</v>
      </c>
      <c r="D1787" s="13">
        <f>+1.89</f>
        <v>1.89</v>
      </c>
      <c r="E1787" s="14">
        <f>+0.51%</f>
        <v>0.0051</v>
      </c>
      <c r="F1787" s="6">
        <v>371.78</v>
      </c>
      <c r="G1787" s="6">
        <v>371.23</v>
      </c>
      <c r="H1787" s="6">
        <v>374.66</v>
      </c>
      <c r="I1787" s="9">
        <v>7.8520702E7</v>
      </c>
      <c r="J1787" s="6">
        <v>2.930395148074E10</v>
      </c>
    </row>
    <row r="1788">
      <c r="A1788" s="4" t="s">
        <v>10</v>
      </c>
      <c r="B1788" s="5">
        <v>44197.0</v>
      </c>
      <c r="C1788" s="10"/>
      <c r="D1788" s="7"/>
      <c r="E1788" s="8"/>
      <c r="F1788" s="10"/>
      <c r="G1788" s="10"/>
      <c r="H1788" s="10"/>
      <c r="I1788" s="15"/>
      <c r="J1788" s="10"/>
    </row>
    <row r="1789">
      <c r="A1789" s="4" t="s">
        <v>10</v>
      </c>
      <c r="B1789" s="5">
        <v>44200.0</v>
      </c>
      <c r="C1789" s="6">
        <v>368.79</v>
      </c>
      <c r="D1789" s="11">
        <v>-5.09</v>
      </c>
      <c r="E1789" s="12">
        <v>-0.0136</v>
      </c>
      <c r="F1789" s="6">
        <v>375.31</v>
      </c>
      <c r="G1789" s="6">
        <v>364.82</v>
      </c>
      <c r="H1789" s="6">
        <v>375.45</v>
      </c>
      <c r="I1789" s="9">
        <v>1.1021081E8</v>
      </c>
      <c r="J1789" s="6">
        <v>4.070497841983E10</v>
      </c>
    </row>
    <row r="1790">
      <c r="A1790" s="4" t="s">
        <v>10</v>
      </c>
      <c r="B1790" s="5">
        <v>44201.0</v>
      </c>
      <c r="C1790" s="6">
        <v>371.33</v>
      </c>
      <c r="D1790" s="13">
        <f>+2.54</f>
        <v>2.54</v>
      </c>
      <c r="E1790" s="14">
        <f>+0.69%</f>
        <v>0.0069</v>
      </c>
      <c r="F1790" s="6">
        <v>368.1</v>
      </c>
      <c r="G1790" s="6">
        <v>368.05</v>
      </c>
      <c r="H1790" s="6">
        <v>372.5</v>
      </c>
      <c r="I1790" s="9">
        <v>6.6426229E7</v>
      </c>
      <c r="J1790" s="6">
        <v>2.460361162625E10</v>
      </c>
    </row>
    <row r="1791">
      <c r="A1791" s="4" t="s">
        <v>10</v>
      </c>
      <c r="B1791" s="5">
        <v>44202.0</v>
      </c>
      <c r="C1791" s="6">
        <v>373.55</v>
      </c>
      <c r="D1791" s="13">
        <f>+2.22</f>
        <v>2.22</v>
      </c>
      <c r="E1791" s="14">
        <f>+0.6%</f>
        <v>0.006</v>
      </c>
      <c r="F1791" s="6">
        <v>369.71</v>
      </c>
      <c r="G1791" s="6">
        <v>369.12</v>
      </c>
      <c r="H1791" s="6">
        <v>376.98</v>
      </c>
      <c r="I1791" s="9">
        <v>1.07997675E8</v>
      </c>
      <c r="J1791" s="6">
        <v>4.037032121864E10</v>
      </c>
    </row>
    <row r="1792">
      <c r="A1792" s="4" t="s">
        <v>10</v>
      </c>
      <c r="B1792" s="5">
        <v>44203.0</v>
      </c>
      <c r="C1792" s="6">
        <v>379.1</v>
      </c>
      <c r="D1792" s="13">
        <f>+5.55</f>
        <v>5.55</v>
      </c>
      <c r="E1792" s="14">
        <f>+1.49%</f>
        <v>0.0149</v>
      </c>
      <c r="F1792" s="6">
        <v>376.1</v>
      </c>
      <c r="G1792" s="6">
        <v>375.91</v>
      </c>
      <c r="H1792" s="6">
        <v>379.9</v>
      </c>
      <c r="I1792" s="9">
        <v>6.8766812E7</v>
      </c>
      <c r="J1792" s="6">
        <v>2.601097827523E10</v>
      </c>
    </row>
    <row r="1793">
      <c r="A1793" s="4" t="s">
        <v>10</v>
      </c>
      <c r="B1793" s="5">
        <v>44204.0</v>
      </c>
      <c r="C1793" s="6">
        <v>381.26</v>
      </c>
      <c r="D1793" s="13">
        <f>+2.16</f>
        <v>2.16</v>
      </c>
      <c r="E1793" s="14">
        <f>+0.57%</f>
        <v>0.0057</v>
      </c>
      <c r="F1793" s="6">
        <v>380.59</v>
      </c>
      <c r="G1793" s="6">
        <v>377.1</v>
      </c>
      <c r="H1793" s="6">
        <v>381.49</v>
      </c>
      <c r="I1793" s="9">
        <v>7.1677208E7</v>
      </c>
      <c r="J1793" s="6">
        <v>2.724533629768E10</v>
      </c>
    </row>
    <row r="1794">
      <c r="A1794" s="4" t="s">
        <v>10</v>
      </c>
      <c r="B1794" s="5">
        <v>44207.0</v>
      </c>
      <c r="C1794" s="6">
        <v>378.69</v>
      </c>
      <c r="D1794" s="11">
        <v>-2.57</v>
      </c>
      <c r="E1794" s="12">
        <v>-0.0067</v>
      </c>
      <c r="F1794" s="6">
        <v>377.85</v>
      </c>
      <c r="G1794" s="6">
        <v>377.72</v>
      </c>
      <c r="H1794" s="6">
        <v>380.58</v>
      </c>
      <c r="I1794" s="9">
        <v>5.1176719E7</v>
      </c>
      <c r="J1794" s="6">
        <v>1.940330410946E10</v>
      </c>
    </row>
    <row r="1795">
      <c r="A1795" s="4" t="s">
        <v>10</v>
      </c>
      <c r="B1795" s="5">
        <v>44208.0</v>
      </c>
      <c r="C1795" s="6">
        <v>378.77</v>
      </c>
      <c r="D1795" s="13">
        <f>+0.08</f>
        <v>0.08</v>
      </c>
      <c r="E1795" s="14">
        <f>+0.02%</f>
        <v>0.0002</v>
      </c>
      <c r="F1795" s="6">
        <v>378.89</v>
      </c>
      <c r="G1795" s="6">
        <v>376.36</v>
      </c>
      <c r="H1795" s="6">
        <v>379.86</v>
      </c>
      <c r="I1795" s="9">
        <v>5.2547716E7</v>
      </c>
      <c r="J1795" s="6">
        <v>1.989795824543E10</v>
      </c>
    </row>
    <row r="1796">
      <c r="A1796" s="4" t="s">
        <v>10</v>
      </c>
      <c r="B1796" s="5">
        <v>44209.0</v>
      </c>
      <c r="C1796" s="6">
        <v>379.79</v>
      </c>
      <c r="D1796" s="13">
        <f>+1.02</f>
        <v>1.02</v>
      </c>
      <c r="E1796" s="14">
        <f>+0.27%</f>
        <v>0.0027</v>
      </c>
      <c r="F1796" s="6">
        <v>378.69</v>
      </c>
      <c r="G1796" s="6">
        <v>377.85</v>
      </c>
      <c r="H1796" s="6">
        <v>380.86</v>
      </c>
      <c r="I1796" s="9">
        <v>4.5303619E7</v>
      </c>
      <c r="J1796" s="6">
        <v>1.720001279487E10</v>
      </c>
    </row>
    <row r="1797">
      <c r="A1797" s="4" t="s">
        <v>10</v>
      </c>
      <c r="B1797" s="5">
        <v>44210.0</v>
      </c>
      <c r="C1797" s="6">
        <v>378.46</v>
      </c>
      <c r="D1797" s="11">
        <v>-1.33</v>
      </c>
      <c r="E1797" s="12">
        <v>-0.0035</v>
      </c>
      <c r="F1797" s="6">
        <v>380.59</v>
      </c>
      <c r="G1797" s="6">
        <v>378.1</v>
      </c>
      <c r="H1797" s="6">
        <v>381.13</v>
      </c>
      <c r="I1797" s="9">
        <v>4.9989113E7</v>
      </c>
      <c r="J1797" s="6">
        <v>1.897931723384E10</v>
      </c>
    </row>
    <row r="1798">
      <c r="A1798" s="4" t="s">
        <v>10</v>
      </c>
      <c r="B1798" s="5">
        <v>44211.0</v>
      </c>
      <c r="C1798" s="6">
        <v>375.7</v>
      </c>
      <c r="D1798" s="11">
        <v>-2.76</v>
      </c>
      <c r="E1798" s="12">
        <v>-0.0073</v>
      </c>
      <c r="F1798" s="6">
        <v>376.72</v>
      </c>
      <c r="G1798" s="6">
        <v>373.7</v>
      </c>
      <c r="H1798" s="6">
        <v>377.58</v>
      </c>
      <c r="I1798" s="9">
        <v>1.07159962E8</v>
      </c>
      <c r="J1798" s="6">
        <v>4.030109059116E10</v>
      </c>
    </row>
    <row r="1799">
      <c r="A1799" s="4" t="s">
        <v>10</v>
      </c>
      <c r="B1799" s="5">
        <v>44214.0</v>
      </c>
      <c r="C1799" s="10"/>
      <c r="D1799" s="7"/>
      <c r="E1799" s="8"/>
      <c r="F1799" s="10"/>
      <c r="G1799" s="10"/>
      <c r="H1799" s="10"/>
      <c r="I1799" s="15"/>
      <c r="J1799" s="10"/>
    </row>
    <row r="1800">
      <c r="A1800" s="4" t="s">
        <v>10</v>
      </c>
      <c r="B1800" s="5">
        <v>44215.0</v>
      </c>
      <c r="C1800" s="6">
        <v>378.65</v>
      </c>
      <c r="D1800" s="13">
        <f>+2.95</f>
        <v>2.95</v>
      </c>
      <c r="E1800" s="14">
        <f>+0.79%</f>
        <v>0.0079</v>
      </c>
      <c r="F1800" s="6">
        <v>378.34</v>
      </c>
      <c r="G1800" s="6">
        <v>376.75</v>
      </c>
      <c r="H1800" s="6">
        <v>379.23</v>
      </c>
      <c r="I1800" s="9">
        <v>5.12333E7</v>
      </c>
      <c r="J1800" s="6">
        <v>1.937104784664E10</v>
      </c>
    </row>
    <row r="1801">
      <c r="A1801" s="4" t="s">
        <v>10</v>
      </c>
      <c r="B1801" s="5">
        <v>44216.0</v>
      </c>
      <c r="C1801" s="6">
        <v>383.89</v>
      </c>
      <c r="D1801" s="13">
        <f>+5.24</f>
        <v>5.24</v>
      </c>
      <c r="E1801" s="14">
        <f>+1.38%</f>
        <v>0.0138</v>
      </c>
      <c r="F1801" s="6">
        <v>381.11</v>
      </c>
      <c r="G1801" s="6">
        <v>380.69</v>
      </c>
      <c r="H1801" s="6">
        <v>384.79</v>
      </c>
      <c r="I1801" s="9">
        <v>6.1836062E7</v>
      </c>
      <c r="J1801" s="6">
        <v>2.365864467344E10</v>
      </c>
    </row>
    <row r="1802">
      <c r="A1802" s="4" t="s">
        <v>10</v>
      </c>
      <c r="B1802" s="5">
        <v>44217.0</v>
      </c>
      <c r="C1802" s="6">
        <v>384.24</v>
      </c>
      <c r="D1802" s="13">
        <f>+0.35</f>
        <v>0.35</v>
      </c>
      <c r="E1802" s="14">
        <f>+0.09%</f>
        <v>0.0009</v>
      </c>
      <c r="F1802" s="6">
        <v>384.49</v>
      </c>
      <c r="G1802" s="6">
        <v>383.25</v>
      </c>
      <c r="H1802" s="6">
        <v>384.95</v>
      </c>
      <c r="I1802" s="9">
        <v>4.7955809E7</v>
      </c>
      <c r="J1802" s="6">
        <v>1.842630623452E10</v>
      </c>
    </row>
    <row r="1803">
      <c r="A1803" s="4" t="s">
        <v>10</v>
      </c>
      <c r="B1803" s="5">
        <v>44218.0</v>
      </c>
      <c r="C1803" s="6">
        <v>382.88</v>
      </c>
      <c r="D1803" s="11">
        <v>-1.36</v>
      </c>
      <c r="E1803" s="12">
        <v>-0.0035</v>
      </c>
      <c r="F1803" s="6">
        <v>382.25</v>
      </c>
      <c r="G1803" s="6">
        <v>381.84</v>
      </c>
      <c r="H1803" s="6">
        <v>384.13</v>
      </c>
      <c r="I1803" s="9">
        <v>5.2136931E7</v>
      </c>
      <c r="J1803" s="6">
        <v>1.997891288843E10</v>
      </c>
    </row>
    <row r="1804">
      <c r="A1804" s="4" t="s">
        <v>10</v>
      </c>
      <c r="B1804" s="5">
        <v>44221.0</v>
      </c>
      <c r="C1804" s="6">
        <v>384.39</v>
      </c>
      <c r="D1804" s="13">
        <f>+1.51</f>
        <v>1.51</v>
      </c>
      <c r="E1804" s="14">
        <f>+0.39%</f>
        <v>0.0039</v>
      </c>
      <c r="F1804" s="6">
        <v>383.67</v>
      </c>
      <c r="G1804" s="6">
        <v>378.46</v>
      </c>
      <c r="H1804" s="6">
        <v>384.77</v>
      </c>
      <c r="I1804" s="9">
        <v>7.0401971E7</v>
      </c>
      <c r="J1804" s="6">
        <v>2.694717134991E10</v>
      </c>
    </row>
    <row r="1805">
      <c r="A1805" s="4" t="s">
        <v>10</v>
      </c>
      <c r="B1805" s="5">
        <v>44222.0</v>
      </c>
      <c r="C1805" s="6">
        <v>383.79</v>
      </c>
      <c r="D1805" s="11">
        <v>-0.6</v>
      </c>
      <c r="E1805" s="12">
        <v>-0.0016</v>
      </c>
      <c r="F1805" s="6">
        <v>385.41</v>
      </c>
      <c r="G1805" s="6">
        <v>383.54</v>
      </c>
      <c r="H1805" s="6">
        <v>385.85</v>
      </c>
      <c r="I1805" s="9">
        <v>4.2665281E7</v>
      </c>
      <c r="J1805" s="6">
        <v>1.640053627602E10</v>
      </c>
    </row>
    <row r="1806">
      <c r="A1806" s="4" t="s">
        <v>10</v>
      </c>
      <c r="B1806" s="5">
        <v>44223.0</v>
      </c>
      <c r="C1806" s="6">
        <v>374.41</v>
      </c>
      <c r="D1806" s="11">
        <v>-9.38</v>
      </c>
      <c r="E1806" s="12">
        <v>-0.0244</v>
      </c>
      <c r="F1806" s="6">
        <v>380.22</v>
      </c>
      <c r="G1806" s="6">
        <v>372.01</v>
      </c>
      <c r="H1806" s="6">
        <v>380.32</v>
      </c>
      <c r="I1806" s="9">
        <v>1.23351078E8</v>
      </c>
      <c r="J1806" s="6">
        <v>4.64507761933E10</v>
      </c>
    </row>
    <row r="1807">
      <c r="A1807" s="4" t="s">
        <v>10</v>
      </c>
      <c r="B1807" s="5">
        <v>44224.0</v>
      </c>
      <c r="C1807" s="6">
        <v>377.63</v>
      </c>
      <c r="D1807" s="13">
        <f>+3.22</f>
        <v>3.22</v>
      </c>
      <c r="E1807" s="14">
        <f>+0.86%</f>
        <v>0.0086</v>
      </c>
      <c r="F1807" s="6">
        <v>376.36</v>
      </c>
      <c r="G1807" s="6">
        <v>375.89</v>
      </c>
      <c r="H1807" s="6">
        <v>381.93</v>
      </c>
      <c r="I1807" s="9">
        <v>9.4198104E7</v>
      </c>
      <c r="J1807" s="6">
        <v>3.564611709508E10</v>
      </c>
    </row>
    <row r="1808">
      <c r="A1808" s="4" t="s">
        <v>10</v>
      </c>
      <c r="B1808" s="5">
        <v>44225.0</v>
      </c>
      <c r="C1808" s="6">
        <v>370.07</v>
      </c>
      <c r="D1808" s="11">
        <v>-7.56</v>
      </c>
      <c r="E1808" s="12">
        <v>-0.02</v>
      </c>
      <c r="F1808" s="6">
        <v>375.63</v>
      </c>
      <c r="G1808" s="6">
        <v>368.27</v>
      </c>
      <c r="H1808" s="6">
        <v>376.67</v>
      </c>
      <c r="I1808" s="9">
        <v>1.26765121E8</v>
      </c>
      <c r="J1808" s="6">
        <v>4.718266704256E10</v>
      </c>
    </row>
    <row r="1809">
      <c r="A1809" s="4" t="s">
        <v>10</v>
      </c>
      <c r="B1809" s="5">
        <v>44228.0</v>
      </c>
      <c r="C1809" s="6">
        <v>376.23</v>
      </c>
      <c r="D1809" s="13">
        <f>+6.16</f>
        <v>6.16</v>
      </c>
      <c r="E1809" s="14">
        <f>+1.66%</f>
        <v>0.0166</v>
      </c>
      <c r="F1809" s="6">
        <v>373.72</v>
      </c>
      <c r="G1809" s="6">
        <v>370.38</v>
      </c>
      <c r="H1809" s="6">
        <v>377.34</v>
      </c>
      <c r="I1809" s="9">
        <v>7.5817597E7</v>
      </c>
      <c r="J1809" s="6">
        <v>2.839295603464E10</v>
      </c>
    </row>
    <row r="1810">
      <c r="A1810" s="4" t="s">
        <v>10</v>
      </c>
      <c r="B1810" s="5">
        <v>44229.0</v>
      </c>
      <c r="C1810" s="6">
        <v>381.55</v>
      </c>
      <c r="D1810" s="13">
        <f>+5.32</f>
        <v>5.32</v>
      </c>
      <c r="E1810" s="14">
        <f>+1.41%</f>
        <v>0.0141</v>
      </c>
      <c r="F1810" s="6">
        <v>379.65</v>
      </c>
      <c r="G1810" s="6">
        <v>376.32</v>
      </c>
      <c r="H1810" s="6">
        <v>383.22</v>
      </c>
      <c r="I1810" s="9">
        <v>6.4450662E7</v>
      </c>
      <c r="J1810" s="6">
        <v>2.458644373636E10</v>
      </c>
    </row>
    <row r="1811">
      <c r="A1811" s="4" t="s">
        <v>10</v>
      </c>
      <c r="B1811" s="5">
        <v>44230.0</v>
      </c>
      <c r="C1811" s="6">
        <v>381.85</v>
      </c>
      <c r="D1811" s="13">
        <f>+0.3</f>
        <v>0.3</v>
      </c>
      <c r="E1811" s="14">
        <f>+0.08%</f>
        <v>0.0008</v>
      </c>
      <c r="F1811" s="6">
        <v>382.44</v>
      </c>
      <c r="G1811" s="6">
        <v>380.48</v>
      </c>
      <c r="H1811" s="6">
        <v>383.7</v>
      </c>
      <c r="I1811" s="9">
        <v>5.242709E7</v>
      </c>
      <c r="J1811" s="6">
        <v>2.004458542639E10</v>
      </c>
    </row>
    <row r="1812">
      <c r="A1812" s="4" t="s">
        <v>10</v>
      </c>
      <c r="B1812" s="5">
        <v>44231.0</v>
      </c>
      <c r="C1812" s="6">
        <v>386.19</v>
      </c>
      <c r="D1812" s="13">
        <f>+4.34</f>
        <v>4.34</v>
      </c>
      <c r="E1812" s="14">
        <f>+1.14%</f>
        <v>0.0114</v>
      </c>
      <c r="F1812" s="6">
        <v>382.96</v>
      </c>
      <c r="G1812" s="6">
        <v>381.97</v>
      </c>
      <c r="H1812" s="6">
        <v>386.24</v>
      </c>
      <c r="I1812" s="9">
        <v>4.7142555E7</v>
      </c>
      <c r="J1812" s="6">
        <v>1.812869723133E10</v>
      </c>
    </row>
    <row r="1813">
      <c r="A1813" s="4" t="s">
        <v>10</v>
      </c>
      <c r="B1813" s="5">
        <v>44232.0</v>
      </c>
      <c r="C1813" s="6">
        <v>387.71</v>
      </c>
      <c r="D1813" s="13">
        <f>+1.52</f>
        <v>1.52</v>
      </c>
      <c r="E1813" s="14">
        <f>+0.39%</f>
        <v>0.0039</v>
      </c>
      <c r="F1813" s="6">
        <v>388.2</v>
      </c>
      <c r="G1813" s="6">
        <v>386.14</v>
      </c>
      <c r="H1813" s="6">
        <v>388.47</v>
      </c>
      <c r="I1813" s="9">
        <v>4.8669773E7</v>
      </c>
      <c r="J1813" s="6">
        <v>1.885561950441E10</v>
      </c>
    </row>
    <row r="1814">
      <c r="A1814" s="4" t="s">
        <v>10</v>
      </c>
      <c r="B1814" s="5">
        <v>44235.0</v>
      </c>
      <c r="C1814" s="6">
        <v>390.51</v>
      </c>
      <c r="D1814" s="13">
        <f>+2.8</f>
        <v>2.8</v>
      </c>
      <c r="E1814" s="14">
        <f>+0.72%</f>
        <v>0.0072</v>
      </c>
      <c r="F1814" s="6">
        <v>389.27</v>
      </c>
      <c r="G1814" s="6">
        <v>388.35</v>
      </c>
      <c r="H1814" s="6">
        <v>390.56</v>
      </c>
      <c r="I1814" s="9">
        <v>3.8365185E7</v>
      </c>
      <c r="J1814" s="6">
        <v>1.493552316852E10</v>
      </c>
    </row>
    <row r="1815">
      <c r="A1815" s="4" t="s">
        <v>10</v>
      </c>
      <c r="B1815" s="5">
        <v>44236.0</v>
      </c>
      <c r="C1815" s="6">
        <v>390.25</v>
      </c>
      <c r="D1815" s="11">
        <v>-0.26</v>
      </c>
      <c r="E1815" s="12">
        <v>-7.0E-4</v>
      </c>
      <c r="F1815" s="6">
        <v>389.61</v>
      </c>
      <c r="G1815" s="6">
        <v>389.17</v>
      </c>
      <c r="H1815" s="6">
        <v>390.89</v>
      </c>
      <c r="I1815" s="9">
        <v>3.5551059E7</v>
      </c>
      <c r="J1815" s="6">
        <v>1.38753158691E10</v>
      </c>
    </row>
    <row r="1816">
      <c r="A1816" s="4" t="s">
        <v>10</v>
      </c>
      <c r="B1816" s="5">
        <v>44237.0</v>
      </c>
      <c r="C1816" s="6">
        <v>390.08</v>
      </c>
      <c r="D1816" s="11">
        <v>-0.17</v>
      </c>
      <c r="E1816" s="12">
        <v>-4.0E-4</v>
      </c>
      <c r="F1816" s="6">
        <v>392.12</v>
      </c>
      <c r="G1816" s="6">
        <v>387.5</v>
      </c>
      <c r="H1816" s="6">
        <v>392.28</v>
      </c>
      <c r="I1816" s="9">
        <v>5.915437E7</v>
      </c>
      <c r="J1816" s="6">
        <v>2.306695934577E10</v>
      </c>
    </row>
    <row r="1817">
      <c r="A1817" s="4" t="s">
        <v>10</v>
      </c>
      <c r="B1817" s="5">
        <v>44238.0</v>
      </c>
      <c r="C1817" s="6">
        <v>390.71</v>
      </c>
      <c r="D1817" s="13">
        <f>+0.63</f>
        <v>0.63</v>
      </c>
      <c r="E1817" s="14">
        <f>+0.16%</f>
        <v>0.0016</v>
      </c>
      <c r="F1817" s="6">
        <v>391.24</v>
      </c>
      <c r="G1817" s="6">
        <v>388.1</v>
      </c>
      <c r="H1817" s="6">
        <v>391.69</v>
      </c>
      <c r="I1817" s="9">
        <v>4.2913288E7</v>
      </c>
      <c r="J1817" s="6">
        <v>1.674333395263E10</v>
      </c>
    </row>
    <row r="1818">
      <c r="A1818" s="4" t="s">
        <v>10</v>
      </c>
      <c r="B1818" s="5">
        <v>44239.0</v>
      </c>
      <c r="C1818" s="6">
        <v>392.64</v>
      </c>
      <c r="D1818" s="13">
        <f>+1.93</f>
        <v>1.93</v>
      </c>
      <c r="E1818" s="14">
        <f>+0.49%</f>
        <v>0.0049</v>
      </c>
      <c r="F1818" s="6">
        <v>389.85</v>
      </c>
      <c r="G1818" s="6">
        <v>389.77</v>
      </c>
      <c r="H1818" s="6">
        <v>392.9</v>
      </c>
      <c r="I1818" s="9">
        <v>5.059327E7</v>
      </c>
      <c r="J1818" s="6">
        <v>1.98124909203E10</v>
      </c>
    </row>
    <row r="1819">
      <c r="A1819" s="4" t="s">
        <v>10</v>
      </c>
      <c r="B1819" s="5">
        <v>44242.0</v>
      </c>
      <c r="C1819" s="10"/>
      <c r="D1819" s="7"/>
      <c r="E1819" s="8"/>
      <c r="F1819" s="10"/>
      <c r="G1819" s="10"/>
      <c r="H1819" s="10"/>
      <c r="I1819" s="15"/>
      <c r="J1819" s="10"/>
    </row>
    <row r="1820">
      <c r="A1820" s="4" t="s">
        <v>10</v>
      </c>
      <c r="B1820" s="5">
        <v>44243.0</v>
      </c>
      <c r="C1820" s="6">
        <v>392.3</v>
      </c>
      <c r="D1820" s="11">
        <v>-0.34</v>
      </c>
      <c r="E1820" s="12">
        <v>-9.0E-4</v>
      </c>
      <c r="F1820" s="6">
        <v>393.96</v>
      </c>
      <c r="G1820" s="6">
        <v>391.53</v>
      </c>
      <c r="H1820" s="6">
        <v>394.17</v>
      </c>
      <c r="I1820" s="9">
        <v>5.0972366E7</v>
      </c>
      <c r="J1820" s="6">
        <v>2.002589183037E10</v>
      </c>
    </row>
    <row r="1821">
      <c r="A1821" s="4" t="s">
        <v>10</v>
      </c>
      <c r="B1821" s="5">
        <v>44244.0</v>
      </c>
      <c r="C1821" s="6">
        <v>392.39</v>
      </c>
      <c r="D1821" s="13">
        <f>+0.09</f>
        <v>0.09</v>
      </c>
      <c r="E1821" s="14">
        <f>+0.02%</f>
        <v>0.0002</v>
      </c>
      <c r="F1821" s="6">
        <v>390.42</v>
      </c>
      <c r="G1821" s="6">
        <v>389.33</v>
      </c>
      <c r="H1821" s="6">
        <v>392.66</v>
      </c>
      <c r="I1821" s="9">
        <v>5.2806681E7</v>
      </c>
      <c r="J1821" s="6">
        <v>2.066747831895E10</v>
      </c>
    </row>
    <row r="1822">
      <c r="A1822" s="4" t="s">
        <v>10</v>
      </c>
      <c r="B1822" s="5">
        <v>44245.0</v>
      </c>
      <c r="C1822" s="6">
        <v>390.72</v>
      </c>
      <c r="D1822" s="11">
        <v>-1.67</v>
      </c>
      <c r="E1822" s="12">
        <v>-0.0043</v>
      </c>
      <c r="F1822" s="6">
        <v>389.59</v>
      </c>
      <c r="G1822" s="6">
        <v>387.74</v>
      </c>
      <c r="H1822" s="6">
        <v>391.52</v>
      </c>
      <c r="I1822" s="9">
        <v>5.9712773E7</v>
      </c>
      <c r="J1822" s="6">
        <v>2.3294351234E10</v>
      </c>
    </row>
    <row r="1823">
      <c r="A1823" s="4" t="s">
        <v>10</v>
      </c>
      <c r="B1823" s="5">
        <v>44246.0</v>
      </c>
      <c r="C1823" s="6">
        <v>390.03</v>
      </c>
      <c r="D1823" s="11">
        <v>-0.69</v>
      </c>
      <c r="E1823" s="12">
        <v>-0.0018</v>
      </c>
      <c r="F1823" s="6">
        <v>392.07</v>
      </c>
      <c r="G1823" s="6">
        <v>389.55</v>
      </c>
      <c r="H1823" s="6">
        <v>392.38</v>
      </c>
      <c r="I1823" s="9">
        <v>8.3240971E7</v>
      </c>
      <c r="J1823" s="6">
        <v>3.252643870435E10</v>
      </c>
    </row>
    <row r="1824">
      <c r="A1824" s="4" t="s">
        <v>10</v>
      </c>
      <c r="B1824" s="5">
        <v>44249.0</v>
      </c>
      <c r="C1824" s="6">
        <v>387.03</v>
      </c>
      <c r="D1824" s="11">
        <v>-3.0</v>
      </c>
      <c r="E1824" s="12">
        <v>-0.0077</v>
      </c>
      <c r="F1824" s="6">
        <v>387.06</v>
      </c>
      <c r="G1824" s="6">
        <v>386.74</v>
      </c>
      <c r="H1824" s="6">
        <v>389.62</v>
      </c>
      <c r="I1824" s="9">
        <v>6.741417E7</v>
      </c>
      <c r="J1824" s="6">
        <v>2.615448349379E10</v>
      </c>
    </row>
    <row r="1825">
      <c r="A1825" s="4" t="s">
        <v>10</v>
      </c>
      <c r="B1825" s="5">
        <v>44250.0</v>
      </c>
      <c r="C1825" s="6">
        <v>387.5</v>
      </c>
      <c r="D1825" s="13">
        <f>+0.47</f>
        <v>0.47</v>
      </c>
      <c r="E1825" s="14">
        <f>+0.12%</f>
        <v>0.0012</v>
      </c>
      <c r="F1825" s="6">
        <v>384.66</v>
      </c>
      <c r="G1825" s="6">
        <v>380.2</v>
      </c>
      <c r="H1825" s="6">
        <v>388.95</v>
      </c>
      <c r="I1825" s="9">
        <v>1.07284127E8</v>
      </c>
      <c r="J1825" s="6">
        <v>4.132000002626E10</v>
      </c>
    </row>
    <row r="1826">
      <c r="A1826" s="4" t="s">
        <v>10</v>
      </c>
      <c r="B1826" s="5">
        <v>44251.0</v>
      </c>
      <c r="C1826" s="6">
        <v>391.77</v>
      </c>
      <c r="D1826" s="13">
        <f>+4.27</f>
        <v>4.27</v>
      </c>
      <c r="E1826" s="14">
        <f>+1.1%</f>
        <v>0.011</v>
      </c>
      <c r="F1826" s="6">
        <v>386.33</v>
      </c>
      <c r="G1826" s="6">
        <v>385.27</v>
      </c>
      <c r="H1826" s="6">
        <v>392.23</v>
      </c>
      <c r="I1826" s="9">
        <v>7.2433946E7</v>
      </c>
      <c r="J1826" s="6">
        <v>2.821206414698E10</v>
      </c>
    </row>
    <row r="1827">
      <c r="A1827" s="4" t="s">
        <v>10</v>
      </c>
      <c r="B1827" s="5">
        <v>44252.0</v>
      </c>
      <c r="C1827" s="6">
        <v>382.33</v>
      </c>
      <c r="D1827" s="11">
        <v>-9.44</v>
      </c>
      <c r="E1827" s="12">
        <v>-0.0241</v>
      </c>
      <c r="F1827" s="6">
        <v>390.41</v>
      </c>
      <c r="G1827" s="6">
        <v>380.78</v>
      </c>
      <c r="H1827" s="6">
        <v>391.88</v>
      </c>
      <c r="I1827" s="9">
        <v>1.46670499E8</v>
      </c>
      <c r="J1827" s="6">
        <v>5.659441959341E10</v>
      </c>
    </row>
    <row r="1828">
      <c r="A1828" s="4" t="s">
        <v>10</v>
      </c>
      <c r="B1828" s="5">
        <v>44253.0</v>
      </c>
      <c r="C1828" s="6">
        <v>380.36</v>
      </c>
      <c r="D1828" s="11">
        <v>-1.97</v>
      </c>
      <c r="E1828" s="12">
        <v>-0.0052</v>
      </c>
      <c r="F1828" s="6">
        <v>384.35</v>
      </c>
      <c r="G1828" s="6">
        <v>378.23</v>
      </c>
      <c r="H1828" s="6">
        <v>385.58</v>
      </c>
      <c r="I1828" s="9">
        <v>1.52701639E8</v>
      </c>
      <c r="J1828" s="6">
        <v>5.836850293822E10</v>
      </c>
    </row>
    <row r="1829">
      <c r="A1829" s="4" t="s">
        <v>10</v>
      </c>
      <c r="B1829" s="5">
        <v>44256.0</v>
      </c>
      <c r="C1829" s="6">
        <v>389.58</v>
      </c>
      <c r="D1829" s="13">
        <f>+9.22</f>
        <v>9.22</v>
      </c>
      <c r="E1829" s="14">
        <f>+2.42%</f>
        <v>0.0242</v>
      </c>
      <c r="F1829" s="6">
        <v>385.59</v>
      </c>
      <c r="G1829" s="6">
        <v>380.57</v>
      </c>
      <c r="H1829" s="6">
        <v>390.92</v>
      </c>
      <c r="I1829" s="9">
        <v>1.05348798E8</v>
      </c>
      <c r="J1829" s="6">
        <v>4.089993002715E10</v>
      </c>
    </row>
    <row r="1830">
      <c r="A1830" s="4" t="s">
        <v>10</v>
      </c>
      <c r="B1830" s="5">
        <v>44257.0</v>
      </c>
      <c r="C1830" s="6">
        <v>386.54</v>
      </c>
      <c r="D1830" s="11">
        <v>-3.04</v>
      </c>
      <c r="E1830" s="12">
        <v>-0.0078</v>
      </c>
      <c r="F1830" s="6">
        <v>389.82</v>
      </c>
      <c r="G1830" s="6">
        <v>386.0</v>
      </c>
      <c r="H1830" s="6">
        <v>390.07</v>
      </c>
      <c r="I1830" s="9">
        <v>7.9595332E7</v>
      </c>
      <c r="J1830" s="6">
        <v>3.090430376876E10</v>
      </c>
    </row>
    <row r="1831">
      <c r="A1831" s="4" t="s">
        <v>10</v>
      </c>
      <c r="B1831" s="5">
        <v>44258.0</v>
      </c>
      <c r="C1831" s="6">
        <v>381.42</v>
      </c>
      <c r="D1831" s="11">
        <v>-5.12</v>
      </c>
      <c r="E1831" s="12">
        <v>-0.0132</v>
      </c>
      <c r="F1831" s="6">
        <v>385.79</v>
      </c>
      <c r="G1831" s="6">
        <v>381.31</v>
      </c>
      <c r="H1831" s="6">
        <v>386.83</v>
      </c>
      <c r="I1831" s="9">
        <v>1.19940211E8</v>
      </c>
      <c r="J1831" s="6">
        <v>4.605936505269E10</v>
      </c>
    </row>
    <row r="1832">
      <c r="A1832" s="4" t="s">
        <v>10</v>
      </c>
      <c r="B1832" s="5">
        <v>44259.0</v>
      </c>
      <c r="C1832" s="6">
        <v>376.7</v>
      </c>
      <c r="D1832" s="11">
        <v>-4.72</v>
      </c>
      <c r="E1832" s="12">
        <v>-0.0124</v>
      </c>
      <c r="F1832" s="6">
        <v>381.22</v>
      </c>
      <c r="G1832" s="6">
        <v>371.88</v>
      </c>
      <c r="H1832" s="6">
        <v>384.0</v>
      </c>
      <c r="I1832" s="9">
        <v>1.8343302E8</v>
      </c>
      <c r="J1832" s="6">
        <v>6.938944793468E10</v>
      </c>
    </row>
    <row r="1833">
      <c r="A1833" s="4" t="s">
        <v>10</v>
      </c>
      <c r="B1833" s="5">
        <v>44260.0</v>
      </c>
      <c r="C1833" s="6">
        <v>383.63</v>
      </c>
      <c r="D1833" s="13">
        <f>+6.93</f>
        <v>6.93</v>
      </c>
      <c r="E1833" s="14">
        <f>+1.84%</f>
        <v>0.0184</v>
      </c>
      <c r="F1833" s="6">
        <v>380.46</v>
      </c>
      <c r="G1833" s="6">
        <v>372.64</v>
      </c>
      <c r="H1833" s="6">
        <v>384.76</v>
      </c>
      <c r="I1833" s="9">
        <v>1.52039624E8</v>
      </c>
      <c r="J1833" s="6">
        <v>5.764521519612E10</v>
      </c>
    </row>
    <row r="1834">
      <c r="A1834" s="4" t="s">
        <v>10</v>
      </c>
      <c r="B1834" s="5">
        <v>44263.0</v>
      </c>
      <c r="C1834" s="6">
        <v>381.72</v>
      </c>
      <c r="D1834" s="11">
        <v>-1.91</v>
      </c>
      <c r="E1834" s="12">
        <v>-0.005</v>
      </c>
      <c r="F1834" s="6">
        <v>384.66</v>
      </c>
      <c r="G1834" s="6">
        <v>381.42</v>
      </c>
      <c r="H1834" s="6">
        <v>387.68</v>
      </c>
      <c r="I1834" s="9">
        <v>1.23149245E8</v>
      </c>
      <c r="J1834" s="6">
        <v>4.737609797427E10</v>
      </c>
    </row>
    <row r="1835">
      <c r="A1835" s="4" t="s">
        <v>10</v>
      </c>
      <c r="B1835" s="5">
        <v>44264.0</v>
      </c>
      <c r="C1835" s="6">
        <v>387.17</v>
      </c>
      <c r="D1835" s="13">
        <f>+5.45</f>
        <v>5.45</v>
      </c>
      <c r="E1835" s="14">
        <f>+1.43%</f>
        <v>0.0143</v>
      </c>
      <c r="F1835" s="6">
        <v>385.85</v>
      </c>
      <c r="G1835" s="6">
        <v>381.73</v>
      </c>
      <c r="H1835" s="6">
        <v>389.91</v>
      </c>
      <c r="I1835" s="9">
        <v>1.13633556E8</v>
      </c>
      <c r="J1835" s="6">
        <v>4.401027789344E10</v>
      </c>
    </row>
    <row r="1836">
      <c r="A1836" s="4" t="s">
        <v>10</v>
      </c>
      <c r="B1836" s="5">
        <v>44265.0</v>
      </c>
      <c r="C1836" s="6">
        <v>389.58</v>
      </c>
      <c r="D1836" s="13">
        <f>+2.41</f>
        <v>2.41</v>
      </c>
      <c r="E1836" s="14">
        <f>+0.62%</f>
        <v>0.0062</v>
      </c>
      <c r="F1836" s="6">
        <v>389.69</v>
      </c>
      <c r="G1836" s="6">
        <v>388.17</v>
      </c>
      <c r="H1836" s="6">
        <v>391.4</v>
      </c>
      <c r="I1836" s="9">
        <v>1.0989941E8</v>
      </c>
      <c r="J1836" s="6">
        <v>4.281946558847E10</v>
      </c>
    </row>
    <row r="1837">
      <c r="A1837" s="4" t="s">
        <v>10</v>
      </c>
      <c r="B1837" s="5">
        <v>44266.0</v>
      </c>
      <c r="C1837" s="6">
        <v>393.53</v>
      </c>
      <c r="D1837" s="13">
        <f>+3.95</f>
        <v>3.95</v>
      </c>
      <c r="E1837" s="14">
        <f>+1.01%</f>
        <v>0.0101</v>
      </c>
      <c r="F1837" s="6">
        <v>392.23</v>
      </c>
      <c r="G1837" s="6">
        <v>391.74</v>
      </c>
      <c r="H1837" s="6">
        <v>395.65</v>
      </c>
      <c r="I1837" s="9">
        <v>8.624504E7</v>
      </c>
      <c r="J1837" s="6">
        <v>3.391315342877E10</v>
      </c>
    </row>
    <row r="1838">
      <c r="A1838" s="4" t="s">
        <v>10</v>
      </c>
      <c r="B1838" s="5">
        <v>44267.0</v>
      </c>
      <c r="C1838" s="6">
        <v>394.06</v>
      </c>
      <c r="D1838" s="13">
        <f>+0.53</f>
        <v>0.53</v>
      </c>
      <c r="E1838" s="14">
        <f>+0.13%</f>
        <v>0.0013</v>
      </c>
      <c r="F1838" s="6">
        <v>392.07</v>
      </c>
      <c r="G1838" s="6">
        <v>391.2</v>
      </c>
      <c r="H1838" s="6">
        <v>394.21</v>
      </c>
      <c r="I1838" s="9">
        <v>6.4653565E7</v>
      </c>
      <c r="J1838" s="6">
        <v>2.540236626046E10</v>
      </c>
    </row>
    <row r="1839">
      <c r="A1839" s="4" t="s">
        <v>10</v>
      </c>
      <c r="B1839" s="5">
        <v>44270.0</v>
      </c>
      <c r="C1839" s="6">
        <v>396.41</v>
      </c>
      <c r="D1839" s="13">
        <f>+2.35</f>
        <v>2.35</v>
      </c>
      <c r="E1839" s="14">
        <f>+0.6%</f>
        <v>0.006</v>
      </c>
      <c r="F1839" s="6">
        <v>394.33</v>
      </c>
      <c r="G1839" s="6">
        <v>392.03</v>
      </c>
      <c r="H1839" s="6">
        <v>396.69</v>
      </c>
      <c r="I1839" s="9">
        <v>7.3592302E7</v>
      </c>
      <c r="J1839" s="6">
        <v>2.903385778739E10</v>
      </c>
    </row>
    <row r="1840">
      <c r="A1840" s="4" t="s">
        <v>10</v>
      </c>
      <c r="B1840" s="5">
        <v>44271.0</v>
      </c>
      <c r="C1840" s="6">
        <v>395.91</v>
      </c>
      <c r="D1840" s="11">
        <v>-0.5</v>
      </c>
      <c r="E1840" s="12">
        <v>-0.0013</v>
      </c>
      <c r="F1840" s="6">
        <v>397.07</v>
      </c>
      <c r="G1840" s="6">
        <v>395.08</v>
      </c>
      <c r="H1840" s="6">
        <v>397.83</v>
      </c>
      <c r="I1840" s="9">
        <v>7.3722506E7</v>
      </c>
      <c r="J1840" s="6">
        <v>2.923636691829E10</v>
      </c>
    </row>
    <row r="1841">
      <c r="A1841" s="4" t="s">
        <v>10</v>
      </c>
      <c r="B1841" s="5">
        <v>44272.0</v>
      </c>
      <c r="C1841" s="6">
        <v>397.26</v>
      </c>
      <c r="D1841" s="13">
        <f>+1.35</f>
        <v>1.35</v>
      </c>
      <c r="E1841" s="14">
        <f>+0.34%</f>
        <v>0.0034</v>
      </c>
      <c r="F1841" s="6">
        <v>394.53</v>
      </c>
      <c r="G1841" s="6">
        <v>393.3</v>
      </c>
      <c r="H1841" s="6">
        <v>398.12</v>
      </c>
      <c r="I1841" s="9">
        <v>9.7959265E7</v>
      </c>
      <c r="J1841" s="6">
        <v>3.876209792547E10</v>
      </c>
    </row>
    <row r="1842">
      <c r="A1842" s="4" t="s">
        <v>10</v>
      </c>
      <c r="B1842" s="5">
        <v>44273.0</v>
      </c>
      <c r="C1842" s="6">
        <v>391.48</v>
      </c>
      <c r="D1842" s="11">
        <v>-5.78</v>
      </c>
      <c r="E1842" s="12">
        <v>-0.0145</v>
      </c>
      <c r="F1842" s="6">
        <v>394.48</v>
      </c>
      <c r="G1842" s="6">
        <v>390.75</v>
      </c>
      <c r="H1842" s="6">
        <v>396.72</v>
      </c>
      <c r="I1842" s="9">
        <v>1.15349101E8</v>
      </c>
      <c r="J1842" s="6">
        <v>4.544679549586E10</v>
      </c>
    </row>
    <row r="1843">
      <c r="A1843" s="4" t="s">
        <v>10</v>
      </c>
      <c r="B1843" s="5">
        <v>44274.0</v>
      </c>
      <c r="C1843" s="6">
        <v>389.48</v>
      </c>
      <c r="D1843" s="11">
        <v>-2.0</v>
      </c>
      <c r="E1843" s="12">
        <v>-0.0051</v>
      </c>
      <c r="F1843" s="6">
        <v>389.88</v>
      </c>
      <c r="G1843" s="6">
        <v>387.15</v>
      </c>
      <c r="H1843" s="6">
        <v>391.57</v>
      </c>
      <c r="I1843" s="9">
        <v>1.1362449E8</v>
      </c>
      <c r="J1843" s="6">
        <v>4.429468213672E10</v>
      </c>
    </row>
    <row r="1844">
      <c r="A1844" s="4" t="s">
        <v>10</v>
      </c>
      <c r="B1844" s="5">
        <v>44277.0</v>
      </c>
      <c r="C1844" s="6">
        <v>392.59</v>
      </c>
      <c r="D1844" s="13">
        <f>+3.11</f>
        <v>3.11</v>
      </c>
      <c r="E1844" s="14">
        <f>+0.8%</f>
        <v>0.008</v>
      </c>
      <c r="F1844" s="6">
        <v>390.03</v>
      </c>
      <c r="G1844" s="6">
        <v>389.97</v>
      </c>
      <c r="H1844" s="6">
        <v>394.07</v>
      </c>
      <c r="I1844" s="9">
        <v>7.3778646E7</v>
      </c>
      <c r="J1844" s="6">
        <v>2.89153971922E10</v>
      </c>
    </row>
    <row r="1845">
      <c r="A1845" s="4" t="s">
        <v>10</v>
      </c>
      <c r="B1845" s="5">
        <v>44278.0</v>
      </c>
      <c r="C1845" s="6">
        <v>389.5</v>
      </c>
      <c r="D1845" s="11">
        <v>-3.09</v>
      </c>
      <c r="E1845" s="12">
        <v>-0.0079</v>
      </c>
      <c r="F1845" s="6">
        <v>391.91</v>
      </c>
      <c r="G1845" s="6">
        <v>388.66</v>
      </c>
      <c r="H1845" s="6">
        <v>393.46</v>
      </c>
      <c r="I1845" s="9">
        <v>9.0686552E7</v>
      </c>
      <c r="J1845" s="6">
        <v>3.547779300317E10</v>
      </c>
    </row>
    <row r="1846">
      <c r="A1846" s="4" t="s">
        <v>10</v>
      </c>
      <c r="B1846" s="5">
        <v>44279.0</v>
      </c>
      <c r="C1846" s="6">
        <v>387.52</v>
      </c>
      <c r="D1846" s="11">
        <v>-1.98</v>
      </c>
      <c r="E1846" s="12">
        <v>-0.0051</v>
      </c>
      <c r="F1846" s="6">
        <v>391.0</v>
      </c>
      <c r="G1846" s="6">
        <v>387.47</v>
      </c>
      <c r="H1846" s="6">
        <v>392.75</v>
      </c>
      <c r="I1846" s="9">
        <v>9.7588644E7</v>
      </c>
      <c r="J1846" s="6">
        <v>3.80704037303E10</v>
      </c>
    </row>
    <row r="1847">
      <c r="A1847" s="4" t="s">
        <v>10</v>
      </c>
      <c r="B1847" s="5">
        <v>44280.0</v>
      </c>
      <c r="C1847" s="6">
        <v>389.7</v>
      </c>
      <c r="D1847" s="13">
        <f>+2.18</f>
        <v>2.18</v>
      </c>
      <c r="E1847" s="14">
        <f>+0.56%</f>
        <v>0.0056</v>
      </c>
      <c r="F1847" s="6">
        <v>385.98</v>
      </c>
      <c r="G1847" s="6">
        <v>383.9</v>
      </c>
      <c r="H1847" s="6">
        <v>390.55</v>
      </c>
      <c r="I1847" s="9">
        <v>1.16128622E8</v>
      </c>
      <c r="J1847" s="6">
        <v>4.499277912842E10</v>
      </c>
    </row>
    <row r="1848">
      <c r="A1848" s="4" t="s">
        <v>10</v>
      </c>
      <c r="B1848" s="5">
        <v>44281.0</v>
      </c>
      <c r="C1848" s="6">
        <v>395.98</v>
      </c>
      <c r="D1848" s="13">
        <f>+6.28</f>
        <v>6.28</v>
      </c>
      <c r="E1848" s="14">
        <f>+1.61%</f>
        <v>0.0161</v>
      </c>
      <c r="F1848" s="6">
        <v>390.93</v>
      </c>
      <c r="G1848" s="6">
        <v>390.29</v>
      </c>
      <c r="H1848" s="6">
        <v>396.41</v>
      </c>
      <c r="I1848" s="9">
        <v>1.14409114E8</v>
      </c>
      <c r="J1848" s="6">
        <v>4.490879936672E10</v>
      </c>
    </row>
    <row r="1849">
      <c r="A1849" s="4" t="s">
        <v>10</v>
      </c>
      <c r="B1849" s="5">
        <v>44284.0</v>
      </c>
      <c r="C1849" s="6">
        <v>395.78</v>
      </c>
      <c r="D1849" s="11">
        <v>-0.2</v>
      </c>
      <c r="E1849" s="12">
        <v>-5.0E-4</v>
      </c>
      <c r="F1849" s="6">
        <v>394.4</v>
      </c>
      <c r="G1849" s="6">
        <v>392.81</v>
      </c>
      <c r="H1849" s="6">
        <v>396.75</v>
      </c>
      <c r="I1849" s="9">
        <v>1.08107626E8</v>
      </c>
      <c r="J1849" s="6">
        <v>4.272413230935E10</v>
      </c>
    </row>
    <row r="1850">
      <c r="A1850" s="4" t="s">
        <v>10</v>
      </c>
      <c r="B1850" s="5">
        <v>44285.0</v>
      </c>
      <c r="C1850" s="6">
        <v>394.73</v>
      </c>
      <c r="D1850" s="11">
        <v>-1.05</v>
      </c>
      <c r="E1850" s="12">
        <v>-0.0027</v>
      </c>
      <c r="F1850" s="6">
        <v>394.42</v>
      </c>
      <c r="G1850" s="6">
        <v>393.02</v>
      </c>
      <c r="H1850" s="6">
        <v>395.45</v>
      </c>
      <c r="I1850" s="9">
        <v>7.6262249E7</v>
      </c>
      <c r="J1850" s="6">
        <v>3.008189360912E10</v>
      </c>
    </row>
    <row r="1851">
      <c r="A1851" s="4" t="s">
        <v>10</v>
      </c>
      <c r="B1851" s="5">
        <v>44286.0</v>
      </c>
      <c r="C1851" s="6">
        <v>396.33</v>
      </c>
      <c r="D1851" s="13">
        <f>+1.6</f>
        <v>1.6</v>
      </c>
      <c r="E1851" s="14">
        <f>+0.41%</f>
        <v>0.0041</v>
      </c>
      <c r="F1851" s="6">
        <v>395.34</v>
      </c>
      <c r="G1851" s="6">
        <v>395.31</v>
      </c>
      <c r="H1851" s="6">
        <v>398.0</v>
      </c>
      <c r="I1851" s="9">
        <v>1.12734214E8</v>
      </c>
      <c r="J1851" s="6">
        <v>4.468105884542E10</v>
      </c>
    </row>
    <row r="1852">
      <c r="A1852" s="4" t="s">
        <v>10</v>
      </c>
      <c r="B1852" s="5">
        <v>44287.0</v>
      </c>
      <c r="C1852" s="6">
        <v>400.61</v>
      </c>
      <c r="D1852" s="13">
        <f>+4.28</f>
        <v>4.28</v>
      </c>
      <c r="E1852" s="14">
        <f>+1.08%</f>
        <v>0.0108</v>
      </c>
      <c r="F1852" s="6">
        <v>398.4</v>
      </c>
      <c r="G1852" s="6">
        <v>398.18</v>
      </c>
      <c r="H1852" s="6">
        <v>400.67</v>
      </c>
      <c r="I1852" s="9">
        <v>9.9682876E7</v>
      </c>
      <c r="J1852" s="6">
        <v>3.97015782503E10</v>
      </c>
    </row>
    <row r="1853">
      <c r="A1853" s="4" t="s">
        <v>10</v>
      </c>
      <c r="B1853" s="5">
        <v>44288.0</v>
      </c>
      <c r="C1853" s="10"/>
      <c r="D1853" s="7"/>
      <c r="E1853" s="8"/>
      <c r="F1853" s="10"/>
      <c r="G1853" s="10"/>
      <c r="H1853" s="10"/>
      <c r="I1853" s="15"/>
      <c r="J1853" s="10"/>
    </row>
    <row r="1854">
      <c r="A1854" s="4" t="s">
        <v>10</v>
      </c>
      <c r="B1854" s="5">
        <v>44291.0</v>
      </c>
      <c r="C1854" s="6">
        <v>406.36</v>
      </c>
      <c r="D1854" s="13">
        <f>+5.75</f>
        <v>5.75</v>
      </c>
      <c r="E1854" s="14">
        <f>+1.44%</f>
        <v>0.0144</v>
      </c>
      <c r="F1854" s="6">
        <v>403.46</v>
      </c>
      <c r="G1854" s="6">
        <v>403.38</v>
      </c>
      <c r="H1854" s="6">
        <v>406.94</v>
      </c>
      <c r="I1854" s="9">
        <v>9.1684764E7</v>
      </c>
      <c r="J1854" s="6">
        <v>3.71271560696E10</v>
      </c>
    </row>
    <row r="1855">
      <c r="A1855" s="4" t="s">
        <v>10</v>
      </c>
      <c r="B1855" s="5">
        <v>44292.0</v>
      </c>
      <c r="C1855" s="6">
        <v>406.12</v>
      </c>
      <c r="D1855" s="11">
        <v>-0.24</v>
      </c>
      <c r="E1855" s="12">
        <v>-6.0E-4</v>
      </c>
      <c r="F1855" s="6">
        <v>405.76</v>
      </c>
      <c r="G1855" s="6">
        <v>405.4</v>
      </c>
      <c r="H1855" s="6">
        <v>407.24</v>
      </c>
      <c r="I1855" s="9">
        <v>6.2020953E7</v>
      </c>
      <c r="J1855" s="6">
        <v>2.520406891992E10</v>
      </c>
    </row>
    <row r="1856">
      <c r="A1856" s="4" t="s">
        <v>10</v>
      </c>
      <c r="B1856" s="5">
        <v>44293.0</v>
      </c>
      <c r="C1856" s="6">
        <v>406.59</v>
      </c>
      <c r="D1856" s="13">
        <f>+0.47</f>
        <v>0.47</v>
      </c>
      <c r="E1856" s="14">
        <f>+0.12%</f>
        <v>0.0012</v>
      </c>
      <c r="F1856" s="6">
        <v>405.94</v>
      </c>
      <c r="G1856" s="6">
        <v>405.45</v>
      </c>
      <c r="H1856" s="6">
        <v>406.96</v>
      </c>
      <c r="I1856" s="9">
        <v>5.583628E7</v>
      </c>
      <c r="J1856" s="6">
        <v>2.268756068492E10</v>
      </c>
    </row>
    <row r="1857">
      <c r="A1857" s="4" t="s">
        <v>10</v>
      </c>
      <c r="B1857" s="5">
        <v>44294.0</v>
      </c>
      <c r="C1857" s="6">
        <v>408.52</v>
      </c>
      <c r="D1857" s="13">
        <f>+1.93</f>
        <v>1.93</v>
      </c>
      <c r="E1857" s="14">
        <f>+0.47%</f>
        <v>0.0047</v>
      </c>
      <c r="F1857" s="6">
        <v>407.93</v>
      </c>
      <c r="G1857" s="6">
        <v>406.93</v>
      </c>
      <c r="H1857" s="6">
        <v>408.58</v>
      </c>
      <c r="I1857" s="9">
        <v>5.7863114E7</v>
      </c>
      <c r="J1857" s="6">
        <v>2.35952723387E10</v>
      </c>
    </row>
    <row r="1858">
      <c r="A1858" s="4" t="s">
        <v>10</v>
      </c>
      <c r="B1858" s="5">
        <v>44295.0</v>
      </c>
      <c r="C1858" s="6">
        <v>411.49</v>
      </c>
      <c r="D1858" s="13">
        <f>+2.97</f>
        <v>2.97</v>
      </c>
      <c r="E1858" s="14">
        <f>+0.73%</f>
        <v>0.0073</v>
      </c>
      <c r="F1858" s="6">
        <v>408.39</v>
      </c>
      <c r="G1858" s="6">
        <v>408.26</v>
      </c>
      <c r="H1858" s="6">
        <v>411.67</v>
      </c>
      <c r="I1858" s="9">
        <v>6.1104559E7</v>
      </c>
      <c r="J1858" s="6">
        <v>2.50412036391E10</v>
      </c>
    </row>
    <row r="1859">
      <c r="A1859" s="4" t="s">
        <v>10</v>
      </c>
      <c r="B1859" s="5">
        <v>44298.0</v>
      </c>
      <c r="C1859" s="6">
        <v>411.64</v>
      </c>
      <c r="D1859" s="13">
        <f>+0.15</f>
        <v>0.15</v>
      </c>
      <c r="E1859" s="14">
        <f>+0.04%</f>
        <v>0.0004</v>
      </c>
      <c r="F1859" s="6">
        <v>410.85</v>
      </c>
      <c r="G1859" s="6">
        <v>410.2</v>
      </c>
      <c r="H1859" s="6">
        <v>411.93</v>
      </c>
      <c r="I1859" s="9">
        <v>5.6704899E7</v>
      </c>
      <c r="J1859" s="6">
        <v>2.331632812933E10</v>
      </c>
    </row>
    <row r="1860">
      <c r="A1860" s="4" t="s">
        <v>10</v>
      </c>
      <c r="B1860" s="5">
        <v>44299.0</v>
      </c>
      <c r="C1860" s="6">
        <v>412.86</v>
      </c>
      <c r="D1860" s="13">
        <f>+1.22</f>
        <v>1.22</v>
      </c>
      <c r="E1860" s="14">
        <f>+0.3%</f>
        <v>0.003</v>
      </c>
      <c r="F1860" s="6">
        <v>411.53</v>
      </c>
      <c r="G1860" s="6">
        <v>411.12</v>
      </c>
      <c r="H1860" s="6">
        <v>413.53</v>
      </c>
      <c r="I1860" s="9">
        <v>5.6550988E7</v>
      </c>
      <c r="J1860" s="6">
        <v>2.331335895174E10</v>
      </c>
    </row>
    <row r="1861">
      <c r="A1861" s="4" t="s">
        <v>10</v>
      </c>
      <c r="B1861" s="5">
        <v>44300.0</v>
      </c>
      <c r="C1861" s="6">
        <v>411.45</v>
      </c>
      <c r="D1861" s="11">
        <v>-1.41</v>
      </c>
      <c r="E1861" s="12">
        <v>-0.0034</v>
      </c>
      <c r="F1861" s="6">
        <v>412.83</v>
      </c>
      <c r="G1861" s="6">
        <v>410.87</v>
      </c>
      <c r="H1861" s="6">
        <v>413.96</v>
      </c>
      <c r="I1861" s="9">
        <v>6.1659907E7</v>
      </c>
      <c r="J1861" s="6">
        <v>2.542617626309E10</v>
      </c>
    </row>
    <row r="1862">
      <c r="A1862" s="4" t="s">
        <v>10</v>
      </c>
      <c r="B1862" s="5">
        <v>44301.0</v>
      </c>
      <c r="C1862" s="6">
        <v>415.87</v>
      </c>
      <c r="D1862" s="13">
        <f>+4.42</f>
        <v>4.42</v>
      </c>
      <c r="E1862" s="14">
        <f>+1.07%</f>
        <v>0.0107</v>
      </c>
      <c r="F1862" s="6">
        <v>413.74</v>
      </c>
      <c r="G1862" s="6">
        <v>413.69</v>
      </c>
      <c r="H1862" s="6">
        <v>416.16</v>
      </c>
      <c r="I1862" s="9">
        <v>6.0229842E7</v>
      </c>
      <c r="J1862" s="6">
        <v>2.497949163687E10</v>
      </c>
    </row>
    <row r="1863">
      <c r="A1863" s="4" t="s">
        <v>10</v>
      </c>
      <c r="B1863" s="5">
        <v>44302.0</v>
      </c>
      <c r="C1863" s="6">
        <v>417.26</v>
      </c>
      <c r="D1863" s="13">
        <f>+1.39</f>
        <v>1.39</v>
      </c>
      <c r="E1863" s="14">
        <f>+0.33%</f>
        <v>0.0033</v>
      </c>
      <c r="F1863" s="6">
        <v>417.25</v>
      </c>
      <c r="G1863" s="6">
        <v>415.73</v>
      </c>
      <c r="H1863" s="6">
        <v>417.91</v>
      </c>
      <c r="I1863" s="9">
        <v>8.2037278E7</v>
      </c>
      <c r="J1863" s="6">
        <v>3.420426508016E10</v>
      </c>
    </row>
    <row r="1864">
      <c r="A1864" s="4" t="s">
        <v>10</v>
      </c>
      <c r="B1864" s="5">
        <v>44305.0</v>
      </c>
      <c r="C1864" s="6">
        <v>415.21</v>
      </c>
      <c r="D1864" s="11">
        <v>-2.05</v>
      </c>
      <c r="E1864" s="12">
        <v>-0.0049</v>
      </c>
      <c r="F1864" s="6">
        <v>416.26</v>
      </c>
      <c r="G1864" s="6">
        <v>413.79</v>
      </c>
      <c r="H1864" s="6">
        <v>416.74</v>
      </c>
      <c r="I1864" s="9">
        <v>7.8498496E7</v>
      </c>
      <c r="J1864" s="6">
        <v>3.260484575009E10</v>
      </c>
    </row>
    <row r="1865">
      <c r="A1865" s="4" t="s">
        <v>10</v>
      </c>
      <c r="B1865" s="5">
        <v>44306.0</v>
      </c>
      <c r="C1865" s="6">
        <v>412.17</v>
      </c>
      <c r="D1865" s="11">
        <v>-3.04</v>
      </c>
      <c r="E1865" s="12">
        <v>-0.0073</v>
      </c>
      <c r="F1865" s="6">
        <v>413.91</v>
      </c>
      <c r="G1865" s="6">
        <v>410.59</v>
      </c>
      <c r="H1865" s="6">
        <v>415.09</v>
      </c>
      <c r="I1865" s="9">
        <v>8.1851828E7</v>
      </c>
      <c r="J1865" s="6">
        <v>3.377807621025E10</v>
      </c>
    </row>
    <row r="1866">
      <c r="A1866" s="4" t="s">
        <v>10</v>
      </c>
      <c r="B1866" s="5">
        <v>44307.0</v>
      </c>
      <c r="C1866" s="6">
        <v>416.07</v>
      </c>
      <c r="D1866" s="13">
        <f>+3.9</f>
        <v>3.9</v>
      </c>
      <c r="E1866" s="14">
        <f>+0.95%</f>
        <v>0.0095</v>
      </c>
      <c r="F1866" s="6">
        <v>411.51</v>
      </c>
      <c r="G1866" s="6">
        <v>411.36</v>
      </c>
      <c r="H1866" s="6">
        <v>416.29</v>
      </c>
      <c r="I1866" s="9">
        <v>6.6792983E7</v>
      </c>
      <c r="J1866" s="6">
        <v>2.769070759414E10</v>
      </c>
    </row>
    <row r="1867">
      <c r="A1867" s="4" t="s">
        <v>10</v>
      </c>
      <c r="B1867" s="5">
        <v>44308.0</v>
      </c>
      <c r="C1867" s="6">
        <v>412.27</v>
      </c>
      <c r="D1867" s="11">
        <v>-3.8</v>
      </c>
      <c r="E1867" s="12">
        <v>-0.0091</v>
      </c>
      <c r="F1867" s="6">
        <v>415.89</v>
      </c>
      <c r="G1867" s="6">
        <v>411.13</v>
      </c>
      <c r="H1867" s="6">
        <v>416.78</v>
      </c>
      <c r="I1867" s="9">
        <v>9.7582788E7</v>
      </c>
      <c r="J1867" s="6">
        <v>4.039337867431E10</v>
      </c>
    </row>
    <row r="1868">
      <c r="A1868" s="4" t="s">
        <v>10</v>
      </c>
      <c r="B1868" s="5">
        <v>44309.0</v>
      </c>
      <c r="C1868" s="6">
        <v>416.74</v>
      </c>
      <c r="D1868" s="13">
        <f>+4.47</f>
        <v>4.47</v>
      </c>
      <c r="E1868" s="14">
        <f>+1.08%</f>
        <v>0.0108</v>
      </c>
      <c r="F1868" s="6">
        <v>412.87</v>
      </c>
      <c r="G1868" s="6">
        <v>412.79</v>
      </c>
      <c r="H1868" s="6">
        <v>418.25</v>
      </c>
      <c r="I1868" s="9">
        <v>7.3276195E7</v>
      </c>
      <c r="J1868" s="6">
        <v>3.045858112445E10</v>
      </c>
    </row>
    <row r="1869">
      <c r="A1869" s="4" t="s">
        <v>10</v>
      </c>
      <c r="B1869" s="5">
        <v>44312.0</v>
      </c>
      <c r="C1869" s="6">
        <v>417.61</v>
      </c>
      <c r="D1869" s="13">
        <f>+0.87</f>
        <v>0.87</v>
      </c>
      <c r="E1869" s="14">
        <f>+0.21%</f>
        <v>0.0021</v>
      </c>
      <c r="F1869" s="6">
        <v>417.44</v>
      </c>
      <c r="G1869" s="6">
        <v>416.81</v>
      </c>
      <c r="H1869" s="6">
        <v>418.22</v>
      </c>
      <c r="I1869" s="9">
        <v>5.2182392E7</v>
      </c>
      <c r="J1869" s="6">
        <v>2.178659436028E10</v>
      </c>
    </row>
    <row r="1870">
      <c r="A1870" s="4" t="s">
        <v>10</v>
      </c>
      <c r="B1870" s="5">
        <v>44313.0</v>
      </c>
      <c r="C1870" s="6">
        <v>417.52</v>
      </c>
      <c r="D1870" s="11">
        <v>-0.09</v>
      </c>
      <c r="E1870" s="12">
        <v>-2.0E-4</v>
      </c>
      <c r="F1870" s="6">
        <v>417.93</v>
      </c>
      <c r="G1870" s="6">
        <v>416.3</v>
      </c>
      <c r="H1870" s="6">
        <v>418.14</v>
      </c>
      <c r="I1870" s="9">
        <v>5.1303056E7</v>
      </c>
      <c r="J1870" s="6">
        <v>2.141805288934E10</v>
      </c>
    </row>
    <row r="1871">
      <c r="A1871" s="4" t="s">
        <v>10</v>
      </c>
      <c r="B1871" s="5">
        <v>44314.0</v>
      </c>
      <c r="C1871" s="6">
        <v>417.4</v>
      </c>
      <c r="D1871" s="11">
        <v>-0.12</v>
      </c>
      <c r="E1871" s="12">
        <v>-3.0E-4</v>
      </c>
      <c r="F1871" s="6">
        <v>417.81</v>
      </c>
      <c r="G1871" s="6">
        <v>416.9</v>
      </c>
      <c r="H1871" s="6">
        <v>419.01</v>
      </c>
      <c r="I1871" s="9">
        <v>5.1238854E7</v>
      </c>
      <c r="J1871" s="6">
        <v>2.140475099949E10</v>
      </c>
    </row>
    <row r="1872">
      <c r="A1872" s="4" t="s">
        <v>10</v>
      </c>
      <c r="B1872" s="5">
        <v>44315.0</v>
      </c>
      <c r="C1872" s="6">
        <v>420.06</v>
      </c>
      <c r="D1872" s="13">
        <f>+2.66</f>
        <v>2.66</v>
      </c>
      <c r="E1872" s="14">
        <f>+0.64%</f>
        <v>0.0064</v>
      </c>
      <c r="F1872" s="6">
        <v>420.32</v>
      </c>
      <c r="G1872" s="6">
        <v>416.44</v>
      </c>
      <c r="H1872" s="6">
        <v>420.72</v>
      </c>
      <c r="I1872" s="9">
        <v>7.8544329E7</v>
      </c>
      <c r="J1872" s="6">
        <v>3.289677667813E10</v>
      </c>
    </row>
    <row r="1873">
      <c r="A1873" s="4" t="s">
        <v>10</v>
      </c>
      <c r="B1873" s="5">
        <v>44316.0</v>
      </c>
      <c r="C1873" s="6">
        <v>417.3</v>
      </c>
      <c r="D1873" s="11">
        <v>-2.76</v>
      </c>
      <c r="E1873" s="12">
        <v>-0.0066</v>
      </c>
      <c r="F1873" s="6">
        <v>417.63</v>
      </c>
      <c r="G1873" s="6">
        <v>416.34</v>
      </c>
      <c r="H1873" s="6">
        <v>418.54</v>
      </c>
      <c r="I1873" s="9">
        <v>8.552703E7</v>
      </c>
      <c r="J1873" s="6">
        <v>3.572025051308E10</v>
      </c>
    </row>
    <row r="1874">
      <c r="A1874" s="4" t="s">
        <v>10</v>
      </c>
      <c r="B1874" s="5">
        <v>44319.0</v>
      </c>
      <c r="C1874" s="6">
        <v>418.2</v>
      </c>
      <c r="D1874" s="13">
        <f>+0.9</f>
        <v>0.9</v>
      </c>
      <c r="E1874" s="14">
        <f>+0.22%</f>
        <v>0.0022</v>
      </c>
      <c r="F1874" s="6">
        <v>419.43</v>
      </c>
      <c r="G1874" s="6">
        <v>417.67</v>
      </c>
      <c r="H1874" s="6">
        <v>419.84</v>
      </c>
      <c r="I1874" s="9">
        <v>6.8128289E7</v>
      </c>
      <c r="J1874" s="6">
        <v>2.849747106E10</v>
      </c>
    </row>
    <row r="1875">
      <c r="A1875" s="4" t="s">
        <v>10</v>
      </c>
      <c r="B1875" s="5">
        <v>44320.0</v>
      </c>
      <c r="C1875" s="6">
        <v>415.62</v>
      </c>
      <c r="D1875" s="11">
        <v>-2.58</v>
      </c>
      <c r="E1875" s="12">
        <v>-0.0062</v>
      </c>
      <c r="F1875" s="6">
        <v>416.07</v>
      </c>
      <c r="G1875" s="6">
        <v>411.67</v>
      </c>
      <c r="H1875" s="6">
        <v>416.6</v>
      </c>
      <c r="I1875" s="9">
        <v>1.01591166E8</v>
      </c>
      <c r="J1875" s="6">
        <v>4.210671251294E10</v>
      </c>
    </row>
    <row r="1876">
      <c r="A1876" s="4" t="s">
        <v>10</v>
      </c>
      <c r="B1876" s="5">
        <v>44321.0</v>
      </c>
      <c r="C1876" s="6">
        <v>415.75</v>
      </c>
      <c r="D1876" s="13">
        <f>+0.13</f>
        <v>0.13</v>
      </c>
      <c r="E1876" s="14">
        <f>+0.03%</f>
        <v>0.0003</v>
      </c>
      <c r="F1876" s="6">
        <v>417.38</v>
      </c>
      <c r="G1876" s="6">
        <v>414.94</v>
      </c>
      <c r="H1876" s="6">
        <v>417.63</v>
      </c>
      <c r="I1876" s="9">
        <v>6.0284659E7</v>
      </c>
      <c r="J1876" s="6">
        <v>2.504275622303E10</v>
      </c>
    </row>
    <row r="1877">
      <c r="A1877" s="4" t="s">
        <v>10</v>
      </c>
      <c r="B1877" s="5">
        <v>44322.0</v>
      </c>
      <c r="C1877" s="6">
        <v>419.07</v>
      </c>
      <c r="D1877" s="13">
        <f>+3.32</f>
        <v>3.32</v>
      </c>
      <c r="E1877" s="14">
        <f>+0.8%</f>
        <v>0.008</v>
      </c>
      <c r="F1877" s="6">
        <v>415.83</v>
      </c>
      <c r="G1877" s="6">
        <v>413.68</v>
      </c>
      <c r="H1877" s="6">
        <v>419.21</v>
      </c>
      <c r="I1877" s="9">
        <v>7.4321368E7</v>
      </c>
      <c r="J1877" s="6">
        <v>3.096770705806E10</v>
      </c>
    </row>
    <row r="1878">
      <c r="A1878" s="4" t="s">
        <v>10</v>
      </c>
      <c r="B1878" s="5">
        <v>44323.0</v>
      </c>
      <c r="C1878" s="6">
        <v>422.12</v>
      </c>
      <c r="D1878" s="13">
        <f>+3.05</f>
        <v>3.05</v>
      </c>
      <c r="E1878" s="14">
        <f>+0.73%</f>
        <v>0.0073</v>
      </c>
      <c r="F1878" s="6">
        <v>419.89</v>
      </c>
      <c r="G1878" s="6">
        <v>419.16</v>
      </c>
      <c r="H1878" s="6">
        <v>422.82</v>
      </c>
      <c r="I1878" s="9">
        <v>6.773379E7</v>
      </c>
      <c r="J1878" s="6">
        <v>2.855781455609E10</v>
      </c>
    </row>
    <row r="1879">
      <c r="A1879" s="4" t="s">
        <v>10</v>
      </c>
      <c r="B1879" s="5">
        <v>44326.0</v>
      </c>
      <c r="C1879" s="6">
        <v>417.94</v>
      </c>
      <c r="D1879" s="11">
        <v>-4.18</v>
      </c>
      <c r="E1879" s="12">
        <v>-0.0099</v>
      </c>
      <c r="F1879" s="6">
        <v>422.5</v>
      </c>
      <c r="G1879" s="6">
        <v>417.81</v>
      </c>
      <c r="H1879" s="6">
        <v>422.74</v>
      </c>
      <c r="I1879" s="9">
        <v>8.1852446E7</v>
      </c>
      <c r="J1879" s="6">
        <v>3.441214558224E10</v>
      </c>
    </row>
    <row r="1880">
      <c r="A1880" s="4" t="s">
        <v>10</v>
      </c>
      <c r="B1880" s="5">
        <v>44327.0</v>
      </c>
      <c r="C1880" s="6">
        <v>414.21</v>
      </c>
      <c r="D1880" s="11">
        <v>-3.73</v>
      </c>
      <c r="E1880" s="12">
        <v>-0.0089</v>
      </c>
      <c r="F1880" s="6">
        <v>413.1</v>
      </c>
      <c r="G1880" s="6">
        <v>410.06</v>
      </c>
      <c r="H1880" s="6">
        <v>415.27</v>
      </c>
      <c r="I1880" s="9">
        <v>1.16887975E8</v>
      </c>
      <c r="J1880" s="6">
        <v>4.834958867728E10</v>
      </c>
    </row>
    <row r="1881">
      <c r="A1881" s="4" t="s">
        <v>10</v>
      </c>
      <c r="B1881" s="5">
        <v>44328.0</v>
      </c>
      <c r="C1881" s="6">
        <v>405.41</v>
      </c>
      <c r="D1881" s="11">
        <v>-8.8</v>
      </c>
      <c r="E1881" s="12">
        <v>-0.0212</v>
      </c>
      <c r="F1881" s="6">
        <v>411.23</v>
      </c>
      <c r="G1881" s="6">
        <v>404.0</v>
      </c>
      <c r="H1881" s="6">
        <v>412.59</v>
      </c>
      <c r="I1881" s="9">
        <v>1.34811046E8</v>
      </c>
      <c r="J1881" s="6">
        <v>5.504731063727E10</v>
      </c>
    </row>
    <row r="1882">
      <c r="A1882" s="4" t="s">
        <v>10</v>
      </c>
      <c r="B1882" s="5">
        <v>44329.0</v>
      </c>
      <c r="C1882" s="6">
        <v>410.28</v>
      </c>
      <c r="D1882" s="13">
        <f>+4.87</f>
        <v>4.87</v>
      </c>
      <c r="E1882" s="14">
        <f>+1.2%</f>
        <v>0.012</v>
      </c>
      <c r="F1882" s="6">
        <v>407.07</v>
      </c>
      <c r="G1882" s="6">
        <v>407.02</v>
      </c>
      <c r="H1882" s="6">
        <v>412.35</v>
      </c>
      <c r="I1882" s="9">
        <v>1.06393963E8</v>
      </c>
      <c r="J1882" s="6">
        <v>4.362233093958E10</v>
      </c>
    </row>
    <row r="1883">
      <c r="A1883" s="4" t="s">
        <v>10</v>
      </c>
      <c r="B1883" s="5">
        <v>44330.0</v>
      </c>
      <c r="C1883" s="6">
        <v>416.58</v>
      </c>
      <c r="D1883" s="13">
        <f>+6.3</f>
        <v>6.3</v>
      </c>
      <c r="E1883" s="14">
        <f>+1.54%</f>
        <v>0.0154</v>
      </c>
      <c r="F1883" s="6">
        <v>413.21</v>
      </c>
      <c r="G1883" s="6">
        <v>413.18</v>
      </c>
      <c r="H1883" s="6">
        <v>417.49</v>
      </c>
      <c r="I1883" s="9">
        <v>8.2201629E7</v>
      </c>
      <c r="J1883" s="6">
        <v>3.413857044457E10</v>
      </c>
    </row>
    <row r="1884">
      <c r="A1884" s="4" t="s">
        <v>10</v>
      </c>
      <c r="B1884" s="5">
        <v>44333.0</v>
      </c>
      <c r="C1884" s="6">
        <v>415.52</v>
      </c>
      <c r="D1884" s="11">
        <v>-1.06</v>
      </c>
      <c r="E1884" s="12">
        <v>-0.0025</v>
      </c>
      <c r="F1884" s="6">
        <v>415.39</v>
      </c>
      <c r="G1884" s="6">
        <v>413.36</v>
      </c>
      <c r="H1884" s="6">
        <v>416.39</v>
      </c>
      <c r="I1884" s="9">
        <v>6.5129221E7</v>
      </c>
      <c r="J1884" s="6">
        <v>2.702861378754E10</v>
      </c>
    </row>
    <row r="1885">
      <c r="A1885" s="4" t="s">
        <v>10</v>
      </c>
      <c r="B1885" s="5">
        <v>44334.0</v>
      </c>
      <c r="C1885" s="6">
        <v>411.94</v>
      </c>
      <c r="D1885" s="11">
        <v>-3.58</v>
      </c>
      <c r="E1885" s="12">
        <v>-0.0086</v>
      </c>
      <c r="F1885" s="6">
        <v>415.8</v>
      </c>
      <c r="G1885" s="6">
        <v>411.77</v>
      </c>
      <c r="H1885" s="6">
        <v>416.06</v>
      </c>
      <c r="I1885" s="9">
        <v>5.9810238E7</v>
      </c>
      <c r="J1885" s="6">
        <v>2.47799730817E10</v>
      </c>
    </row>
    <row r="1886">
      <c r="A1886" s="4" t="s">
        <v>10</v>
      </c>
      <c r="B1886" s="5">
        <v>44335.0</v>
      </c>
      <c r="C1886" s="6">
        <v>410.86</v>
      </c>
      <c r="D1886" s="11">
        <v>-1.08</v>
      </c>
      <c r="E1886" s="12">
        <v>-0.0026</v>
      </c>
      <c r="F1886" s="6">
        <v>406.92</v>
      </c>
      <c r="G1886" s="6">
        <v>405.33</v>
      </c>
      <c r="H1886" s="6">
        <v>411.05</v>
      </c>
      <c r="I1886" s="9">
        <v>1.06467052E8</v>
      </c>
      <c r="J1886" s="6">
        <v>4.350100977118E10</v>
      </c>
    </row>
    <row r="1887">
      <c r="A1887" s="4" t="s">
        <v>10</v>
      </c>
      <c r="B1887" s="5">
        <v>44336.0</v>
      </c>
      <c r="C1887" s="6">
        <v>415.28</v>
      </c>
      <c r="D1887" s="13">
        <f>+4.42</f>
        <v>4.42</v>
      </c>
      <c r="E1887" s="14">
        <f>+1.08%</f>
        <v>0.0108</v>
      </c>
      <c r="F1887" s="6">
        <v>411.8</v>
      </c>
      <c r="G1887" s="6">
        <v>411.67</v>
      </c>
      <c r="H1887" s="6">
        <v>416.63</v>
      </c>
      <c r="I1887" s="9">
        <v>7.8022218E7</v>
      </c>
      <c r="J1887" s="6">
        <v>3.232931464477E10</v>
      </c>
    </row>
    <row r="1888">
      <c r="A1888" s="4" t="s">
        <v>10</v>
      </c>
      <c r="B1888" s="5">
        <v>44337.0</v>
      </c>
      <c r="C1888" s="6">
        <v>414.94</v>
      </c>
      <c r="D1888" s="11">
        <v>-0.34</v>
      </c>
      <c r="E1888" s="12">
        <v>-8.0E-4</v>
      </c>
      <c r="F1888" s="6">
        <v>416.87</v>
      </c>
      <c r="G1888" s="6">
        <v>414.45</v>
      </c>
      <c r="H1888" s="6">
        <v>418.2</v>
      </c>
      <c r="I1888" s="9">
        <v>7.6578662E7</v>
      </c>
      <c r="J1888" s="6">
        <v>3.185219880829E10</v>
      </c>
    </row>
    <row r="1889">
      <c r="A1889" s="4" t="s">
        <v>10</v>
      </c>
      <c r="B1889" s="5">
        <v>44340.0</v>
      </c>
      <c r="C1889" s="6">
        <v>419.17</v>
      </c>
      <c r="D1889" s="13">
        <f>+4.23</f>
        <v>4.23</v>
      </c>
      <c r="E1889" s="14">
        <f>+1.02%</f>
        <v>0.0102</v>
      </c>
      <c r="F1889" s="6">
        <v>417.34</v>
      </c>
      <c r="G1889" s="6">
        <v>417.08</v>
      </c>
      <c r="H1889" s="6">
        <v>420.32</v>
      </c>
      <c r="I1889" s="9">
        <v>5.1376702E7</v>
      </c>
      <c r="J1889" s="6">
        <v>2.152068554129E10</v>
      </c>
    </row>
    <row r="1890">
      <c r="A1890" s="4" t="s">
        <v>10</v>
      </c>
      <c r="B1890" s="5">
        <v>44341.0</v>
      </c>
      <c r="C1890" s="6">
        <v>418.24</v>
      </c>
      <c r="D1890" s="11">
        <v>-0.93</v>
      </c>
      <c r="E1890" s="12">
        <v>-0.0022</v>
      </c>
      <c r="F1890" s="6">
        <v>420.33</v>
      </c>
      <c r="G1890" s="6">
        <v>417.62</v>
      </c>
      <c r="H1890" s="6">
        <v>420.71</v>
      </c>
      <c r="I1890" s="9">
        <v>5.7451396E7</v>
      </c>
      <c r="J1890" s="6">
        <v>2.40640703983E10</v>
      </c>
    </row>
    <row r="1891">
      <c r="A1891" s="4" t="s">
        <v>10</v>
      </c>
      <c r="B1891" s="5">
        <v>44342.0</v>
      </c>
      <c r="C1891" s="6">
        <v>419.07</v>
      </c>
      <c r="D1891" s="13">
        <f>+0.83</f>
        <v>0.83</v>
      </c>
      <c r="E1891" s="14">
        <f>+0.2%</f>
        <v>0.002</v>
      </c>
      <c r="F1891" s="6">
        <v>418.87</v>
      </c>
      <c r="G1891" s="6">
        <v>417.76</v>
      </c>
      <c r="H1891" s="6">
        <v>419.61</v>
      </c>
      <c r="I1891" s="9">
        <v>4.3088618E7</v>
      </c>
      <c r="J1891" s="6">
        <v>1.804661059256E10</v>
      </c>
    </row>
    <row r="1892">
      <c r="A1892" s="4" t="s">
        <v>10</v>
      </c>
      <c r="B1892" s="5">
        <v>44343.0</v>
      </c>
      <c r="C1892" s="6">
        <v>419.29</v>
      </c>
      <c r="D1892" s="13">
        <f>+0.22</f>
        <v>0.22</v>
      </c>
      <c r="E1892" s="14">
        <f>+0.05%</f>
        <v>0.0005</v>
      </c>
      <c r="F1892" s="6">
        <v>420.17</v>
      </c>
      <c r="G1892" s="6">
        <v>418.99</v>
      </c>
      <c r="H1892" s="6">
        <v>420.72</v>
      </c>
      <c r="I1892" s="9">
        <v>5.6707677E7</v>
      </c>
      <c r="J1892" s="6">
        <v>2.380386714514E10</v>
      </c>
    </row>
    <row r="1893">
      <c r="A1893" s="4" t="s">
        <v>10</v>
      </c>
      <c r="B1893" s="5">
        <v>44344.0</v>
      </c>
      <c r="C1893" s="6">
        <v>420.04</v>
      </c>
      <c r="D1893" s="13">
        <f>+0.75</f>
        <v>0.75</v>
      </c>
      <c r="E1893" s="14">
        <f>+0.18%</f>
        <v>0.0018</v>
      </c>
      <c r="F1893" s="6">
        <v>420.97</v>
      </c>
      <c r="G1893" s="6">
        <v>419.79</v>
      </c>
      <c r="H1893" s="6">
        <v>421.25</v>
      </c>
      <c r="I1893" s="9">
        <v>5.8520164E7</v>
      </c>
      <c r="J1893" s="6">
        <v>2.460080346222E10</v>
      </c>
    </row>
    <row r="1894">
      <c r="A1894" s="4" t="s">
        <v>10</v>
      </c>
      <c r="B1894" s="5">
        <v>44347.0</v>
      </c>
      <c r="C1894" s="10"/>
      <c r="D1894" s="7"/>
      <c r="E1894" s="8"/>
      <c r="F1894" s="10"/>
      <c r="G1894" s="10"/>
      <c r="H1894" s="10"/>
      <c r="I1894" s="15"/>
      <c r="J1894" s="10"/>
    </row>
    <row r="1895">
      <c r="A1895" s="4" t="s">
        <v>10</v>
      </c>
      <c r="B1895" s="5">
        <v>44348.0</v>
      </c>
      <c r="C1895" s="6">
        <v>419.67</v>
      </c>
      <c r="D1895" s="11">
        <v>-0.37</v>
      </c>
      <c r="E1895" s="12">
        <v>-9.0E-4</v>
      </c>
      <c r="F1895" s="6">
        <v>422.57</v>
      </c>
      <c r="G1895" s="6">
        <v>419.2</v>
      </c>
      <c r="H1895" s="6">
        <v>422.72</v>
      </c>
      <c r="I1895" s="9">
        <v>5.4216625E7</v>
      </c>
      <c r="J1895" s="6">
        <v>2.278342999987E10</v>
      </c>
    </row>
    <row r="1896">
      <c r="A1896" s="4" t="s">
        <v>10</v>
      </c>
      <c r="B1896" s="5">
        <v>44349.0</v>
      </c>
      <c r="C1896" s="6">
        <v>420.33</v>
      </c>
      <c r="D1896" s="13">
        <f>+0.66</f>
        <v>0.66</v>
      </c>
      <c r="E1896" s="14">
        <f>+0.16%</f>
        <v>0.0016</v>
      </c>
      <c r="F1896" s="6">
        <v>420.37</v>
      </c>
      <c r="G1896" s="6">
        <v>419.29</v>
      </c>
      <c r="H1896" s="6">
        <v>421.23</v>
      </c>
      <c r="I1896" s="9">
        <v>4.9097061E7</v>
      </c>
      <c r="J1896" s="6">
        <v>2.062978952117E10</v>
      </c>
    </row>
    <row r="1897">
      <c r="A1897" s="4" t="s">
        <v>10</v>
      </c>
      <c r="B1897" s="5">
        <v>44350.0</v>
      </c>
      <c r="C1897" s="6">
        <v>418.77</v>
      </c>
      <c r="D1897" s="11">
        <v>-1.56</v>
      </c>
      <c r="E1897" s="12">
        <v>-0.0037</v>
      </c>
      <c r="F1897" s="6">
        <v>417.85</v>
      </c>
      <c r="G1897" s="6">
        <v>416.28</v>
      </c>
      <c r="H1897" s="6">
        <v>419.99</v>
      </c>
      <c r="I1897" s="9">
        <v>5.8138763E7</v>
      </c>
      <c r="J1897" s="6">
        <v>2.434637298057E10</v>
      </c>
    </row>
    <row r="1898">
      <c r="A1898" s="4" t="s">
        <v>10</v>
      </c>
      <c r="B1898" s="5">
        <v>44351.0</v>
      </c>
      <c r="C1898" s="6">
        <v>422.6</v>
      </c>
      <c r="D1898" s="13">
        <f>+3.83</f>
        <v>3.83</v>
      </c>
      <c r="E1898" s="14">
        <f>+0.91%</f>
        <v>0.0091</v>
      </c>
      <c r="F1898" s="6">
        <v>420.75</v>
      </c>
      <c r="G1898" s="6">
        <v>418.84</v>
      </c>
      <c r="H1898" s="6">
        <v>422.92</v>
      </c>
      <c r="I1898" s="9">
        <v>5.5938789E7</v>
      </c>
      <c r="J1898" s="6">
        <v>2.358803529855E10</v>
      </c>
    </row>
    <row r="1899">
      <c r="A1899" s="4" t="s">
        <v>10</v>
      </c>
      <c r="B1899" s="5">
        <v>44354.0</v>
      </c>
      <c r="C1899" s="6">
        <v>422.19</v>
      </c>
      <c r="D1899" s="11">
        <v>-0.41</v>
      </c>
      <c r="E1899" s="12">
        <v>-0.001</v>
      </c>
      <c r="F1899" s="6">
        <v>422.59</v>
      </c>
      <c r="G1899" s="6">
        <v>421.19</v>
      </c>
      <c r="H1899" s="6">
        <v>422.78</v>
      </c>
      <c r="I1899" s="9">
        <v>5.1555032E7</v>
      </c>
      <c r="J1899" s="6">
        <v>2.175537328541E10</v>
      </c>
    </row>
    <row r="1900">
      <c r="A1900" s="4" t="s">
        <v>10</v>
      </c>
      <c r="B1900" s="5">
        <v>44355.0</v>
      </c>
      <c r="C1900" s="6">
        <v>422.28</v>
      </c>
      <c r="D1900" s="13">
        <f>+0.09</f>
        <v>0.09</v>
      </c>
      <c r="E1900" s="14">
        <f>+0.02%</f>
        <v>0.0002</v>
      </c>
      <c r="F1900" s="6">
        <v>423.11</v>
      </c>
      <c r="G1900" s="6">
        <v>420.32</v>
      </c>
      <c r="H1900" s="6">
        <v>423.21</v>
      </c>
      <c r="I1900" s="9">
        <v>4.7134279E7</v>
      </c>
      <c r="J1900" s="6">
        <v>1.989910869542E10</v>
      </c>
    </row>
    <row r="1901">
      <c r="A1901" s="4" t="s">
        <v>10</v>
      </c>
      <c r="B1901" s="5">
        <v>44356.0</v>
      </c>
      <c r="C1901" s="6">
        <v>421.65</v>
      </c>
      <c r="D1901" s="11">
        <v>-0.63</v>
      </c>
      <c r="E1901" s="12">
        <v>-0.0015</v>
      </c>
      <c r="F1901" s="6">
        <v>423.18</v>
      </c>
      <c r="G1901" s="6">
        <v>421.41</v>
      </c>
      <c r="H1901" s="6">
        <v>423.26</v>
      </c>
      <c r="I1901" s="9">
        <v>4.8436342E7</v>
      </c>
      <c r="J1901" s="6">
        <v>2.045590289784E10</v>
      </c>
    </row>
    <row r="1902">
      <c r="A1902" s="4" t="s">
        <v>10</v>
      </c>
      <c r="B1902" s="5">
        <v>44357.0</v>
      </c>
      <c r="C1902" s="6">
        <v>423.61</v>
      </c>
      <c r="D1902" s="13">
        <f>+1.96</f>
        <v>1.96</v>
      </c>
      <c r="E1902" s="14">
        <f>+0.46%</f>
        <v>0.0046</v>
      </c>
      <c r="F1902" s="6">
        <v>422.96</v>
      </c>
      <c r="G1902" s="6">
        <v>421.55</v>
      </c>
      <c r="H1902" s="6">
        <v>424.63</v>
      </c>
      <c r="I1902" s="9">
        <v>5.1020147E7</v>
      </c>
      <c r="J1902" s="6">
        <v>2.15984889117E10</v>
      </c>
    </row>
    <row r="1903">
      <c r="A1903" s="4" t="s">
        <v>10</v>
      </c>
      <c r="B1903" s="5">
        <v>44358.0</v>
      </c>
      <c r="C1903" s="6">
        <v>424.31</v>
      </c>
      <c r="D1903" s="13">
        <f>+0.7</f>
        <v>0.7</v>
      </c>
      <c r="E1903" s="14">
        <f>+0.17%</f>
        <v>0.0017</v>
      </c>
      <c r="F1903" s="6">
        <v>424.2</v>
      </c>
      <c r="G1903" s="6">
        <v>422.82</v>
      </c>
      <c r="H1903" s="6">
        <v>424.43</v>
      </c>
      <c r="I1903" s="9">
        <v>4.5570828E7</v>
      </c>
      <c r="J1903" s="6">
        <v>1.931140002247E10</v>
      </c>
    </row>
    <row r="1904">
      <c r="A1904" s="4" t="s">
        <v>10</v>
      </c>
      <c r="B1904" s="5">
        <v>44361.0</v>
      </c>
      <c r="C1904" s="6">
        <v>425.26</v>
      </c>
      <c r="D1904" s="13">
        <f>+0.95</f>
        <v>0.95</v>
      </c>
      <c r="E1904" s="14">
        <f>+0.22%</f>
        <v>0.0022</v>
      </c>
      <c r="F1904" s="6">
        <v>424.43</v>
      </c>
      <c r="G1904" s="6">
        <v>423.1</v>
      </c>
      <c r="H1904" s="6">
        <v>425.37</v>
      </c>
      <c r="I1904" s="9">
        <v>4.2358478E7</v>
      </c>
      <c r="J1904" s="6">
        <v>1.796396585635E10</v>
      </c>
    </row>
    <row r="1905">
      <c r="A1905" s="4" t="s">
        <v>10</v>
      </c>
      <c r="B1905" s="5">
        <v>44362.0</v>
      </c>
      <c r="C1905" s="6">
        <v>424.48</v>
      </c>
      <c r="D1905" s="11">
        <v>-0.78</v>
      </c>
      <c r="E1905" s="12">
        <v>-0.0018</v>
      </c>
      <c r="F1905" s="6">
        <v>425.42</v>
      </c>
      <c r="G1905" s="6">
        <v>423.54</v>
      </c>
      <c r="H1905" s="6">
        <v>425.46</v>
      </c>
      <c r="I1905" s="9">
        <v>5.1508508E7</v>
      </c>
      <c r="J1905" s="6">
        <v>2.186612654787E10</v>
      </c>
    </row>
    <row r="1906">
      <c r="A1906" s="4" t="s">
        <v>10</v>
      </c>
      <c r="B1906" s="5">
        <v>44363.0</v>
      </c>
      <c r="C1906" s="6">
        <v>422.11</v>
      </c>
      <c r="D1906" s="11">
        <v>-2.37</v>
      </c>
      <c r="E1906" s="12">
        <v>-0.0056</v>
      </c>
      <c r="F1906" s="6">
        <v>424.63</v>
      </c>
      <c r="G1906" s="6">
        <v>419.92</v>
      </c>
      <c r="H1906" s="6">
        <v>424.87</v>
      </c>
      <c r="I1906" s="9">
        <v>8.0386082E7</v>
      </c>
      <c r="J1906" s="6">
        <v>3.396209013147E10</v>
      </c>
    </row>
    <row r="1907">
      <c r="A1907" s="4" t="s">
        <v>10</v>
      </c>
      <c r="B1907" s="5">
        <v>44364.0</v>
      </c>
      <c r="C1907" s="6">
        <v>421.97</v>
      </c>
      <c r="D1907" s="11">
        <v>-0.14</v>
      </c>
      <c r="E1907" s="12">
        <v>-3.0E-4</v>
      </c>
      <c r="F1907" s="6">
        <v>421.67</v>
      </c>
      <c r="G1907" s="6">
        <v>419.32</v>
      </c>
      <c r="H1907" s="6">
        <v>423.02</v>
      </c>
      <c r="I1907" s="9">
        <v>9.0949659E7</v>
      </c>
      <c r="J1907" s="6">
        <v>3.837096605975E10</v>
      </c>
    </row>
    <row r="1908">
      <c r="A1908" s="4" t="s">
        <v>10</v>
      </c>
      <c r="B1908" s="5">
        <v>44365.0</v>
      </c>
      <c r="C1908" s="6">
        <v>414.92</v>
      </c>
      <c r="D1908" s="11">
        <v>-7.05</v>
      </c>
      <c r="E1908" s="12">
        <v>-0.0167</v>
      </c>
      <c r="F1908" s="6">
        <v>417.09</v>
      </c>
      <c r="G1908" s="6">
        <v>414.7</v>
      </c>
      <c r="H1908" s="6">
        <v>417.83</v>
      </c>
      <c r="I1908" s="9">
        <v>1.18676302E8</v>
      </c>
      <c r="J1908" s="6">
        <v>4.946447062957E10</v>
      </c>
    </row>
    <row r="1909">
      <c r="A1909" s="4" t="s">
        <v>10</v>
      </c>
      <c r="B1909" s="5">
        <v>44368.0</v>
      </c>
      <c r="C1909" s="6">
        <v>420.86</v>
      </c>
      <c r="D1909" s="13">
        <f>+5.94</f>
        <v>5.94</v>
      </c>
      <c r="E1909" s="14">
        <f>+1.43%</f>
        <v>0.0143</v>
      </c>
      <c r="F1909" s="6">
        <v>416.8</v>
      </c>
      <c r="G1909" s="6">
        <v>415.93</v>
      </c>
      <c r="H1909" s="6">
        <v>421.06</v>
      </c>
      <c r="I1909" s="9">
        <v>7.2822028E7</v>
      </c>
      <c r="J1909" s="6">
        <v>3.053210482677E10</v>
      </c>
    </row>
    <row r="1910">
      <c r="A1910" s="4" t="s">
        <v>10</v>
      </c>
      <c r="B1910" s="5">
        <v>44369.0</v>
      </c>
      <c r="C1910" s="6">
        <v>423.11</v>
      </c>
      <c r="D1910" s="13">
        <f>+2.25</f>
        <v>2.25</v>
      </c>
      <c r="E1910" s="14">
        <f>+0.53%</f>
        <v>0.0053</v>
      </c>
      <c r="F1910" s="6">
        <v>420.85</v>
      </c>
      <c r="G1910" s="6">
        <v>420.08</v>
      </c>
      <c r="H1910" s="6">
        <v>424.0</v>
      </c>
      <c r="I1910" s="9">
        <v>5.7700303E7</v>
      </c>
      <c r="J1910" s="6">
        <v>2.436256864923E10</v>
      </c>
    </row>
    <row r="1911">
      <c r="A1911" s="4" t="s">
        <v>10</v>
      </c>
      <c r="B1911" s="5">
        <v>44370.0</v>
      </c>
      <c r="C1911" s="6">
        <v>422.6</v>
      </c>
      <c r="D1911" s="11">
        <v>-0.51</v>
      </c>
      <c r="E1911" s="12">
        <v>-0.0012</v>
      </c>
      <c r="F1911" s="6">
        <v>423.19</v>
      </c>
      <c r="G1911" s="6">
        <v>422.51</v>
      </c>
      <c r="H1911" s="6">
        <v>424.05</v>
      </c>
      <c r="I1911" s="9">
        <v>4.9445414E7</v>
      </c>
      <c r="J1911" s="6">
        <v>2.092396042711E10</v>
      </c>
    </row>
    <row r="1912">
      <c r="A1912" s="4" t="s">
        <v>10</v>
      </c>
      <c r="B1912" s="5">
        <v>44371.0</v>
      </c>
      <c r="C1912" s="6">
        <v>425.1</v>
      </c>
      <c r="D1912" s="13">
        <f>+2.5</f>
        <v>2.5</v>
      </c>
      <c r="E1912" s="14">
        <f>+0.59%</f>
        <v>0.0059</v>
      </c>
      <c r="F1912" s="6">
        <v>424.89</v>
      </c>
      <c r="G1912" s="6">
        <v>424.62</v>
      </c>
      <c r="H1912" s="6">
        <v>425.55</v>
      </c>
      <c r="I1912" s="9">
        <v>4.5110288E7</v>
      </c>
      <c r="J1912" s="6">
        <v>1.916677554537E10</v>
      </c>
    </row>
    <row r="1913">
      <c r="A1913" s="4" t="s">
        <v>10</v>
      </c>
      <c r="B1913" s="5">
        <v>44372.0</v>
      </c>
      <c r="C1913" s="6">
        <v>426.61</v>
      </c>
      <c r="D1913" s="13">
        <f>+1.51</f>
        <v>1.51</v>
      </c>
      <c r="E1913" s="14">
        <f>+0.36%</f>
        <v>0.0036</v>
      </c>
      <c r="F1913" s="6">
        <v>425.9</v>
      </c>
      <c r="G1913" s="6">
        <v>425.55</v>
      </c>
      <c r="H1913" s="6">
        <v>427.09</v>
      </c>
      <c r="I1913" s="9">
        <v>5.8129525E7</v>
      </c>
      <c r="J1913" s="6">
        <v>2.477545109365E10</v>
      </c>
    </row>
    <row r="1914">
      <c r="A1914" s="4" t="s">
        <v>10</v>
      </c>
      <c r="B1914" s="5">
        <v>44375.0</v>
      </c>
      <c r="C1914" s="6">
        <v>427.47</v>
      </c>
      <c r="D1914" s="13">
        <f>+0.86</f>
        <v>0.86</v>
      </c>
      <c r="E1914" s="14">
        <f>+0.2%</f>
        <v>0.002</v>
      </c>
      <c r="F1914" s="6">
        <v>427.17</v>
      </c>
      <c r="G1914" s="6">
        <v>425.89</v>
      </c>
      <c r="H1914" s="6">
        <v>427.65</v>
      </c>
      <c r="I1914" s="9">
        <v>5.3159581E7</v>
      </c>
      <c r="J1914" s="6">
        <v>2.268949851562E10</v>
      </c>
    </row>
    <row r="1915">
      <c r="A1915" s="4" t="s">
        <v>10</v>
      </c>
      <c r="B1915" s="5">
        <v>44376.0</v>
      </c>
      <c r="C1915" s="6">
        <v>427.7</v>
      </c>
      <c r="D1915" s="13">
        <f>+0.23</f>
        <v>0.23</v>
      </c>
      <c r="E1915" s="14">
        <f>+0.05%</f>
        <v>0.0005</v>
      </c>
      <c r="F1915" s="6">
        <v>427.88</v>
      </c>
      <c r="G1915" s="6">
        <v>427.13</v>
      </c>
      <c r="H1915" s="6">
        <v>428.56</v>
      </c>
      <c r="I1915" s="9">
        <v>3.5970515E7</v>
      </c>
      <c r="J1915" s="6">
        <v>1.538986217773E10</v>
      </c>
    </row>
    <row r="1916">
      <c r="A1916" s="4" t="s">
        <v>10</v>
      </c>
      <c r="B1916" s="5">
        <v>44377.0</v>
      </c>
      <c r="C1916" s="6">
        <v>428.06</v>
      </c>
      <c r="D1916" s="13">
        <f>+0.36</f>
        <v>0.36</v>
      </c>
      <c r="E1916" s="14">
        <f>+0.08%</f>
        <v>0.0008</v>
      </c>
      <c r="F1916" s="6">
        <v>427.21</v>
      </c>
      <c r="G1916" s="6">
        <v>427.18</v>
      </c>
      <c r="H1916" s="6">
        <v>428.78</v>
      </c>
      <c r="I1916" s="9">
        <v>6.4827858E7</v>
      </c>
      <c r="J1916" s="6">
        <v>2.774868377727E10</v>
      </c>
    </row>
    <row r="1917">
      <c r="A1917" s="4" t="s">
        <v>10</v>
      </c>
      <c r="B1917" s="5">
        <v>44378.0</v>
      </c>
      <c r="C1917" s="6">
        <v>430.43</v>
      </c>
      <c r="D1917" s="13">
        <f>+2.37</f>
        <v>2.37</v>
      </c>
      <c r="E1917" s="14">
        <f>+0.55%</f>
        <v>0.0055</v>
      </c>
      <c r="F1917" s="6">
        <v>428.87</v>
      </c>
      <c r="G1917" s="6">
        <v>428.8</v>
      </c>
      <c r="H1917" s="6">
        <v>430.6</v>
      </c>
      <c r="I1917" s="9">
        <v>5.3441027E7</v>
      </c>
      <c r="J1917" s="6">
        <v>2.296444272607E10</v>
      </c>
    </row>
    <row r="1918">
      <c r="A1918" s="4" t="s">
        <v>10</v>
      </c>
      <c r="B1918" s="5">
        <v>44379.0</v>
      </c>
      <c r="C1918" s="6">
        <v>433.72</v>
      </c>
      <c r="D1918" s="13">
        <f>+3.29</f>
        <v>3.29</v>
      </c>
      <c r="E1918" s="14">
        <f>+0.76%</f>
        <v>0.0076</v>
      </c>
      <c r="F1918" s="6">
        <v>431.67</v>
      </c>
      <c r="G1918" s="6">
        <v>430.52</v>
      </c>
      <c r="H1918" s="6">
        <v>434.1</v>
      </c>
      <c r="I1918" s="9">
        <v>5.7697668E7</v>
      </c>
      <c r="J1918" s="6">
        <v>2.497409025264E10</v>
      </c>
    </row>
    <row r="1919">
      <c r="A1919" s="4" t="s">
        <v>10</v>
      </c>
      <c r="B1919" s="5">
        <v>44382.0</v>
      </c>
      <c r="C1919" s="10"/>
      <c r="D1919" s="7"/>
      <c r="E1919" s="8"/>
      <c r="F1919" s="10"/>
      <c r="G1919" s="10"/>
      <c r="H1919" s="10"/>
      <c r="I1919" s="15"/>
      <c r="J1919" s="10"/>
    </row>
    <row r="1920">
      <c r="A1920" s="4" t="s">
        <v>10</v>
      </c>
      <c r="B1920" s="5">
        <v>44383.0</v>
      </c>
      <c r="C1920" s="6">
        <v>432.93</v>
      </c>
      <c r="D1920" s="11">
        <v>-0.79</v>
      </c>
      <c r="E1920" s="12">
        <v>-0.0018</v>
      </c>
      <c r="F1920" s="6">
        <v>433.78</v>
      </c>
      <c r="G1920" s="6">
        <v>430.01</v>
      </c>
      <c r="H1920" s="6">
        <v>434.01</v>
      </c>
      <c r="I1920" s="9">
        <v>6.8710419E7</v>
      </c>
      <c r="J1920" s="6">
        <v>2.969367582277E10</v>
      </c>
    </row>
    <row r="1921">
      <c r="A1921" s="4" t="s">
        <v>10</v>
      </c>
      <c r="B1921" s="5">
        <v>44384.0</v>
      </c>
      <c r="C1921" s="6">
        <v>434.46</v>
      </c>
      <c r="D1921" s="13">
        <f>+1.53</f>
        <v>1.53</v>
      </c>
      <c r="E1921" s="14">
        <f>+0.35%</f>
        <v>0.0035</v>
      </c>
      <c r="F1921" s="6">
        <v>433.66</v>
      </c>
      <c r="G1921" s="6">
        <v>431.51</v>
      </c>
      <c r="H1921" s="6">
        <v>434.76</v>
      </c>
      <c r="I1921" s="9">
        <v>6.3549456E7</v>
      </c>
      <c r="J1921" s="6">
        <v>2.756340836809E10</v>
      </c>
    </row>
    <row r="1922">
      <c r="A1922" s="4" t="s">
        <v>10</v>
      </c>
      <c r="B1922" s="5">
        <v>44385.0</v>
      </c>
      <c r="C1922" s="6">
        <v>430.92</v>
      </c>
      <c r="D1922" s="11">
        <v>-3.54</v>
      </c>
      <c r="E1922" s="12">
        <v>-0.0081</v>
      </c>
      <c r="F1922" s="6">
        <v>428.78</v>
      </c>
      <c r="G1922" s="6">
        <v>427.52</v>
      </c>
      <c r="H1922" s="6">
        <v>431.73</v>
      </c>
      <c r="I1922" s="9">
        <v>9.7595232E7</v>
      </c>
      <c r="J1922" s="6">
        <v>4.198163560869E10</v>
      </c>
    </row>
    <row r="1923">
      <c r="A1923" s="4" t="s">
        <v>10</v>
      </c>
      <c r="B1923" s="5">
        <v>44386.0</v>
      </c>
      <c r="C1923" s="6">
        <v>435.52</v>
      </c>
      <c r="D1923" s="13">
        <f>+4.6</f>
        <v>4.6</v>
      </c>
      <c r="E1923" s="14">
        <f>+1.07%</f>
        <v>0.0107</v>
      </c>
      <c r="F1923" s="6">
        <v>432.53</v>
      </c>
      <c r="G1923" s="6">
        <v>430.71</v>
      </c>
      <c r="H1923" s="6">
        <v>435.84</v>
      </c>
      <c r="I1923" s="9">
        <v>7.6238584E7</v>
      </c>
      <c r="J1923" s="6">
        <v>3.312149876163E10</v>
      </c>
    </row>
    <row r="1924">
      <c r="A1924" s="4" t="s">
        <v>10</v>
      </c>
      <c r="B1924" s="5">
        <v>44389.0</v>
      </c>
      <c r="C1924" s="6">
        <v>437.08</v>
      </c>
      <c r="D1924" s="13">
        <f>+1.56</f>
        <v>1.56</v>
      </c>
      <c r="E1924" s="14">
        <f>+0.36%</f>
        <v>0.0036</v>
      </c>
      <c r="F1924" s="6">
        <v>435.43</v>
      </c>
      <c r="G1924" s="6">
        <v>434.97</v>
      </c>
      <c r="H1924" s="6">
        <v>437.35</v>
      </c>
      <c r="I1924" s="9">
        <v>5.2889585E7</v>
      </c>
      <c r="J1924" s="6">
        <v>2.308794356065E10</v>
      </c>
    </row>
    <row r="1925">
      <c r="A1925" s="4" t="s">
        <v>10</v>
      </c>
      <c r="B1925" s="5">
        <v>44390.0</v>
      </c>
      <c r="C1925" s="6">
        <v>435.59</v>
      </c>
      <c r="D1925" s="11">
        <v>-1.49</v>
      </c>
      <c r="E1925" s="12">
        <v>-0.0034</v>
      </c>
      <c r="F1925" s="6">
        <v>436.24</v>
      </c>
      <c r="G1925" s="6">
        <v>435.31</v>
      </c>
      <c r="H1925" s="6">
        <v>437.84</v>
      </c>
      <c r="I1925" s="9">
        <v>5.2911312E7</v>
      </c>
      <c r="J1925" s="6">
        <v>2.308945266332E10</v>
      </c>
    </row>
    <row r="1926">
      <c r="A1926" s="4" t="s">
        <v>10</v>
      </c>
      <c r="B1926" s="5">
        <v>44391.0</v>
      </c>
      <c r="C1926" s="6">
        <v>436.24</v>
      </c>
      <c r="D1926" s="13">
        <f>+0.65</f>
        <v>0.65</v>
      </c>
      <c r="E1926" s="14">
        <f>+0.15%</f>
        <v>0.0015</v>
      </c>
      <c r="F1926" s="6">
        <v>437.4</v>
      </c>
      <c r="G1926" s="6">
        <v>434.91</v>
      </c>
      <c r="H1926" s="6">
        <v>437.92</v>
      </c>
      <c r="I1926" s="9">
        <v>6.4130352E7</v>
      </c>
      <c r="J1926" s="6">
        <v>2.798088610291E10</v>
      </c>
    </row>
    <row r="1927">
      <c r="A1927" s="4" t="s">
        <v>10</v>
      </c>
      <c r="B1927" s="5">
        <v>44392.0</v>
      </c>
      <c r="C1927" s="6">
        <v>434.75</v>
      </c>
      <c r="D1927" s="11">
        <v>-1.49</v>
      </c>
      <c r="E1927" s="12">
        <v>-0.0034</v>
      </c>
      <c r="F1927" s="6">
        <v>434.81</v>
      </c>
      <c r="G1927" s="6">
        <v>432.72</v>
      </c>
      <c r="H1927" s="6">
        <v>435.53</v>
      </c>
      <c r="I1927" s="9">
        <v>5.5126358E7</v>
      </c>
      <c r="J1927" s="6">
        <v>2.394977428365E10</v>
      </c>
    </row>
    <row r="1928">
      <c r="A1928" s="4" t="s">
        <v>10</v>
      </c>
      <c r="B1928" s="5">
        <v>44393.0</v>
      </c>
      <c r="C1928" s="6">
        <v>431.34</v>
      </c>
      <c r="D1928" s="11">
        <v>-3.41</v>
      </c>
      <c r="E1928" s="12">
        <v>-0.0078</v>
      </c>
      <c r="F1928" s="6">
        <v>436.01</v>
      </c>
      <c r="G1928" s="6">
        <v>430.92</v>
      </c>
      <c r="H1928" s="6">
        <v>436.06</v>
      </c>
      <c r="I1928" s="9">
        <v>7.5874662E7</v>
      </c>
      <c r="J1928" s="6">
        <v>3.287174224534E10</v>
      </c>
    </row>
    <row r="1929">
      <c r="A1929" s="4" t="s">
        <v>10</v>
      </c>
      <c r="B1929" s="5">
        <v>44396.0</v>
      </c>
      <c r="C1929" s="6">
        <v>424.97</v>
      </c>
      <c r="D1929" s="11">
        <v>-6.37</v>
      </c>
      <c r="E1929" s="12">
        <v>-0.0148</v>
      </c>
      <c r="F1929" s="6">
        <v>426.19</v>
      </c>
      <c r="G1929" s="6">
        <v>421.97</v>
      </c>
      <c r="H1929" s="6">
        <v>431.41</v>
      </c>
      <c r="I1929" s="9">
        <v>1.47987E8</v>
      </c>
      <c r="J1929" s="6">
        <v>6.28103471654E10</v>
      </c>
    </row>
    <row r="1930">
      <c r="A1930" s="4" t="s">
        <v>10</v>
      </c>
      <c r="B1930" s="5">
        <v>44397.0</v>
      </c>
      <c r="C1930" s="6">
        <v>431.06</v>
      </c>
      <c r="D1930" s="13">
        <f>+6.09</f>
        <v>6.09</v>
      </c>
      <c r="E1930" s="14">
        <f>+1.43%</f>
        <v>0.0143</v>
      </c>
      <c r="F1930" s="6">
        <v>425.68</v>
      </c>
      <c r="G1930" s="6">
        <v>424.83</v>
      </c>
      <c r="H1930" s="6">
        <v>432.42</v>
      </c>
      <c r="I1930" s="9">
        <v>9.9608174E7</v>
      </c>
      <c r="J1930" s="6">
        <v>4.279657745307E10</v>
      </c>
    </row>
    <row r="1931">
      <c r="A1931" s="4" t="s">
        <v>10</v>
      </c>
      <c r="B1931" s="5">
        <v>44398.0</v>
      </c>
      <c r="C1931" s="6">
        <v>434.55</v>
      </c>
      <c r="D1931" s="13">
        <f>+3.49</f>
        <v>3.49</v>
      </c>
      <c r="E1931" s="14">
        <f>+0.81%</f>
        <v>0.0081</v>
      </c>
      <c r="F1931" s="6">
        <v>432.34</v>
      </c>
      <c r="G1931" s="6">
        <v>431.01</v>
      </c>
      <c r="H1931" s="6">
        <v>434.7</v>
      </c>
      <c r="I1931" s="9">
        <v>6.4724389E7</v>
      </c>
      <c r="J1931" s="6">
        <v>2.805341182552E10</v>
      </c>
    </row>
    <row r="1932">
      <c r="A1932" s="4" t="s">
        <v>10</v>
      </c>
      <c r="B1932" s="5">
        <v>44399.0</v>
      </c>
      <c r="C1932" s="6">
        <v>435.46</v>
      </c>
      <c r="D1932" s="13">
        <f>+0.91</f>
        <v>0.91</v>
      </c>
      <c r="E1932" s="14">
        <f>+0.21%</f>
        <v>0.0021</v>
      </c>
      <c r="F1932" s="6">
        <v>434.74</v>
      </c>
      <c r="G1932" s="6">
        <v>433.69</v>
      </c>
      <c r="H1932" s="6">
        <v>435.72</v>
      </c>
      <c r="I1932" s="9">
        <v>4.7878539E7</v>
      </c>
      <c r="J1932" s="6">
        <v>2.08217677914E10</v>
      </c>
    </row>
    <row r="1933">
      <c r="A1933" s="4" t="s">
        <v>10</v>
      </c>
      <c r="B1933" s="5">
        <v>44400.0</v>
      </c>
      <c r="C1933" s="6">
        <v>439.94</v>
      </c>
      <c r="D1933" s="13">
        <f>+4.48</f>
        <v>4.48</v>
      </c>
      <c r="E1933" s="14">
        <f>+1.03%</f>
        <v>0.0103</v>
      </c>
      <c r="F1933" s="6">
        <v>437.52</v>
      </c>
      <c r="G1933" s="6">
        <v>436.79</v>
      </c>
      <c r="H1933" s="6">
        <v>440.3</v>
      </c>
      <c r="I1933" s="9">
        <v>6.3766637E7</v>
      </c>
      <c r="J1933" s="6">
        <v>2.796323390348E10</v>
      </c>
    </row>
    <row r="1934">
      <c r="A1934" s="4" t="s">
        <v>10</v>
      </c>
      <c r="B1934" s="5">
        <v>44403.0</v>
      </c>
      <c r="C1934" s="6">
        <v>441.02</v>
      </c>
      <c r="D1934" s="13">
        <f>+1.08</f>
        <v>1.08</v>
      </c>
      <c r="E1934" s="14">
        <f>+0.25%</f>
        <v>0.0025</v>
      </c>
      <c r="F1934" s="6">
        <v>439.31</v>
      </c>
      <c r="G1934" s="6">
        <v>439.26</v>
      </c>
      <c r="H1934" s="6">
        <v>441.03</v>
      </c>
      <c r="I1934" s="9">
        <v>4.3719187E7</v>
      </c>
      <c r="J1934" s="6">
        <v>1.924515753818E10</v>
      </c>
    </row>
    <row r="1935">
      <c r="A1935" s="4" t="s">
        <v>10</v>
      </c>
      <c r="B1935" s="5">
        <v>44404.0</v>
      </c>
      <c r="C1935" s="6">
        <v>439.01</v>
      </c>
      <c r="D1935" s="11">
        <v>-2.01</v>
      </c>
      <c r="E1935" s="12">
        <v>-0.0046</v>
      </c>
      <c r="F1935" s="6">
        <v>439.91</v>
      </c>
      <c r="G1935" s="6">
        <v>435.99</v>
      </c>
      <c r="H1935" s="6">
        <v>439.94</v>
      </c>
      <c r="I1935" s="9">
        <v>6.7397137E7</v>
      </c>
      <c r="J1935" s="6">
        <v>2.953520552904E10</v>
      </c>
    </row>
    <row r="1936">
      <c r="A1936" s="4" t="s">
        <v>10</v>
      </c>
      <c r="B1936" s="5">
        <v>44405.0</v>
      </c>
      <c r="C1936" s="6">
        <v>438.83</v>
      </c>
      <c r="D1936" s="11">
        <v>-0.18</v>
      </c>
      <c r="E1936" s="12">
        <v>-4.0E-4</v>
      </c>
      <c r="F1936" s="6">
        <v>439.68</v>
      </c>
      <c r="G1936" s="6">
        <v>437.31</v>
      </c>
      <c r="H1936" s="6">
        <v>440.3</v>
      </c>
      <c r="I1936" s="9">
        <v>5.247236E7</v>
      </c>
      <c r="J1936" s="6">
        <v>2.303501668242E10</v>
      </c>
    </row>
    <row r="1937">
      <c r="A1937" s="4" t="s">
        <v>10</v>
      </c>
      <c r="B1937" s="5">
        <v>44406.0</v>
      </c>
      <c r="C1937" s="6">
        <v>440.65</v>
      </c>
      <c r="D1937" s="13">
        <f>+1.82</f>
        <v>1.82</v>
      </c>
      <c r="E1937" s="14">
        <f>+0.41%</f>
        <v>0.0041</v>
      </c>
      <c r="F1937" s="6">
        <v>439.82</v>
      </c>
      <c r="G1937" s="6">
        <v>439.81</v>
      </c>
      <c r="H1937" s="6">
        <v>441.8</v>
      </c>
      <c r="I1937" s="9">
        <v>4.7435342E7</v>
      </c>
      <c r="J1937" s="6">
        <v>2.091025075508E10</v>
      </c>
    </row>
    <row r="1938">
      <c r="A1938" s="4" t="s">
        <v>10</v>
      </c>
      <c r="B1938" s="5">
        <v>44407.0</v>
      </c>
      <c r="C1938" s="6">
        <v>438.51</v>
      </c>
      <c r="D1938" s="11">
        <v>-2.14</v>
      </c>
      <c r="E1938" s="12">
        <v>-0.0049</v>
      </c>
      <c r="F1938" s="6">
        <v>437.91</v>
      </c>
      <c r="G1938" s="6">
        <v>437.77</v>
      </c>
      <c r="H1938" s="6">
        <v>440.06</v>
      </c>
      <c r="I1938" s="9">
        <v>6.8951202E7</v>
      </c>
      <c r="J1938" s="6">
        <v>3.025626658004E10</v>
      </c>
    </row>
    <row r="1939">
      <c r="A1939" s="4" t="s">
        <v>10</v>
      </c>
      <c r="B1939" s="5">
        <v>44410.0</v>
      </c>
      <c r="C1939" s="6">
        <v>437.59</v>
      </c>
      <c r="D1939" s="11">
        <v>-0.92</v>
      </c>
      <c r="E1939" s="12">
        <v>-0.0021</v>
      </c>
      <c r="F1939" s="6">
        <v>440.34</v>
      </c>
      <c r="G1939" s="6">
        <v>437.21</v>
      </c>
      <c r="H1939" s="6">
        <v>440.93</v>
      </c>
      <c r="I1939" s="9">
        <v>5.8783297E7</v>
      </c>
      <c r="J1939" s="6">
        <v>2.580276700337E10</v>
      </c>
    </row>
    <row r="1940">
      <c r="A1940" s="4" t="s">
        <v>10</v>
      </c>
      <c r="B1940" s="5">
        <v>44411.0</v>
      </c>
      <c r="C1940" s="6">
        <v>441.15</v>
      </c>
      <c r="D1940" s="13">
        <f>+3.56</f>
        <v>3.56</v>
      </c>
      <c r="E1940" s="14">
        <f>+0.81%</f>
        <v>0.0081</v>
      </c>
      <c r="F1940" s="6">
        <v>438.44</v>
      </c>
      <c r="G1940" s="6">
        <v>436.1</v>
      </c>
      <c r="H1940" s="6">
        <v>441.28</v>
      </c>
      <c r="I1940" s="9">
        <v>5.8053896E7</v>
      </c>
      <c r="J1940" s="6">
        <v>2.549541450624E10</v>
      </c>
    </row>
    <row r="1941">
      <c r="A1941" s="4" t="s">
        <v>10</v>
      </c>
      <c r="B1941" s="5">
        <v>44412.0</v>
      </c>
      <c r="C1941" s="6">
        <v>438.98</v>
      </c>
      <c r="D1941" s="11">
        <v>-2.17</v>
      </c>
      <c r="E1941" s="12">
        <v>-0.0049</v>
      </c>
      <c r="F1941" s="6">
        <v>439.78</v>
      </c>
      <c r="G1941" s="6">
        <v>438.73</v>
      </c>
      <c r="H1941" s="6">
        <v>441.12</v>
      </c>
      <c r="I1941" s="9">
        <v>4.6732212E7</v>
      </c>
      <c r="J1941" s="6">
        <v>2.054838815363E10</v>
      </c>
    </row>
    <row r="1942">
      <c r="A1942" s="4" t="s">
        <v>10</v>
      </c>
      <c r="B1942" s="5">
        <v>44413.0</v>
      </c>
      <c r="C1942" s="6">
        <v>441.76</v>
      </c>
      <c r="D1942" s="13">
        <f>+2.78</f>
        <v>2.78</v>
      </c>
      <c r="E1942" s="14">
        <f>+0.63%</f>
        <v>0.0063</v>
      </c>
      <c r="F1942" s="6">
        <v>440.22</v>
      </c>
      <c r="G1942" s="6">
        <v>439.88</v>
      </c>
      <c r="H1942" s="6">
        <v>441.85</v>
      </c>
      <c r="I1942" s="9">
        <v>3.8969659E7</v>
      </c>
      <c r="J1942" s="6">
        <v>1.71733926206E10</v>
      </c>
    </row>
    <row r="1943">
      <c r="A1943" s="4" t="s">
        <v>10</v>
      </c>
      <c r="B1943" s="5">
        <v>44414.0</v>
      </c>
      <c r="C1943" s="6">
        <v>442.49</v>
      </c>
      <c r="D1943" s="13">
        <f>+0.73</f>
        <v>0.73</v>
      </c>
      <c r="E1943" s="14">
        <f>+0.17%</f>
        <v>0.0017</v>
      </c>
      <c r="F1943" s="6">
        <v>442.1</v>
      </c>
      <c r="G1943" s="6">
        <v>441.8</v>
      </c>
      <c r="H1943" s="6">
        <v>442.94</v>
      </c>
      <c r="I1943" s="9">
        <v>4.6930008E7</v>
      </c>
      <c r="J1943" s="6">
        <v>2.075746535842E10</v>
      </c>
    </row>
    <row r="1944">
      <c r="A1944" s="4" t="s">
        <v>10</v>
      </c>
      <c r="B1944" s="5">
        <v>44417.0</v>
      </c>
      <c r="C1944" s="6">
        <v>442.13</v>
      </c>
      <c r="D1944" s="11">
        <v>-0.36</v>
      </c>
      <c r="E1944" s="12">
        <v>-8.0E-4</v>
      </c>
      <c r="F1944" s="6">
        <v>442.46</v>
      </c>
      <c r="G1944" s="6">
        <v>441.31</v>
      </c>
      <c r="H1944" s="6">
        <v>442.8</v>
      </c>
      <c r="I1944" s="9">
        <v>4.1222585E7</v>
      </c>
      <c r="J1944" s="6">
        <v>1.822887838798E10</v>
      </c>
    </row>
    <row r="1945">
      <c r="A1945" s="4" t="s">
        <v>10</v>
      </c>
      <c r="B1945" s="5">
        <v>44418.0</v>
      </c>
      <c r="C1945" s="6">
        <v>442.68</v>
      </c>
      <c r="D1945" s="13">
        <f>+0.55</f>
        <v>0.55</v>
      </c>
      <c r="E1945" s="14">
        <f>+0.12%</f>
        <v>0.0012</v>
      </c>
      <c r="F1945" s="6">
        <v>442.61</v>
      </c>
      <c r="G1945" s="6">
        <v>441.88</v>
      </c>
      <c r="H1945" s="6">
        <v>443.44</v>
      </c>
      <c r="I1945" s="9">
        <v>4.3339275E7</v>
      </c>
      <c r="J1945" s="6">
        <v>1.918156831635E10</v>
      </c>
    </row>
    <row r="1946">
      <c r="A1946" s="4" t="s">
        <v>10</v>
      </c>
      <c r="B1946" s="5">
        <v>44419.0</v>
      </c>
      <c r="C1946" s="6">
        <v>443.78</v>
      </c>
      <c r="D1946" s="13">
        <f>+1.1</f>
        <v>1.1</v>
      </c>
      <c r="E1946" s="14">
        <f>+0.25%</f>
        <v>0.0025</v>
      </c>
      <c r="F1946" s="6">
        <v>443.82</v>
      </c>
      <c r="G1946" s="6">
        <v>442.62</v>
      </c>
      <c r="H1946" s="6">
        <v>443.88</v>
      </c>
      <c r="I1946" s="9">
        <v>4.403434E7</v>
      </c>
      <c r="J1946" s="6">
        <v>1.952450937208E10</v>
      </c>
    </row>
    <row r="1947">
      <c r="A1947" s="4" t="s">
        <v>10</v>
      </c>
      <c r="B1947" s="5">
        <v>44420.0</v>
      </c>
      <c r="C1947" s="6">
        <v>445.11</v>
      </c>
      <c r="D1947" s="13">
        <f>+1.33</f>
        <v>1.33</v>
      </c>
      <c r="E1947" s="14">
        <f>+0.3%</f>
        <v>0.003</v>
      </c>
      <c r="F1947" s="6">
        <v>443.62</v>
      </c>
      <c r="G1947" s="6">
        <v>442.66</v>
      </c>
      <c r="H1947" s="6">
        <v>445.26</v>
      </c>
      <c r="I1947" s="9">
        <v>3.8942418E7</v>
      </c>
      <c r="J1947" s="6">
        <v>1.729765122566E10</v>
      </c>
    </row>
    <row r="1948">
      <c r="A1948" s="4" t="s">
        <v>10</v>
      </c>
      <c r="B1948" s="5">
        <v>44421.0</v>
      </c>
      <c r="C1948" s="6">
        <v>445.92</v>
      </c>
      <c r="D1948" s="13">
        <f>+0.81</f>
        <v>0.81</v>
      </c>
      <c r="E1948" s="14">
        <f>+0.18%</f>
        <v>0.0018</v>
      </c>
      <c r="F1948" s="6">
        <v>445.59</v>
      </c>
      <c r="G1948" s="6">
        <v>445.07</v>
      </c>
      <c r="H1948" s="6">
        <v>445.94</v>
      </c>
      <c r="I1948" s="9">
        <v>3.9470251E7</v>
      </c>
      <c r="J1948" s="6">
        <v>1.758574062907E10</v>
      </c>
    </row>
    <row r="1949">
      <c r="A1949" s="4" t="s">
        <v>10</v>
      </c>
      <c r="B1949" s="5">
        <v>44424.0</v>
      </c>
      <c r="C1949" s="6">
        <v>446.97</v>
      </c>
      <c r="D1949" s="13">
        <f>+1.05</f>
        <v>1.05</v>
      </c>
      <c r="E1949" s="14">
        <f>+0.24%</f>
        <v>0.0024</v>
      </c>
      <c r="F1949" s="6">
        <v>444.53</v>
      </c>
      <c r="G1949" s="6">
        <v>442.87</v>
      </c>
      <c r="H1949" s="6">
        <v>447.11</v>
      </c>
      <c r="I1949" s="9">
        <v>7.3930864E7</v>
      </c>
      <c r="J1949" s="6">
        <v>3.2919806432E10</v>
      </c>
    </row>
    <row r="1950">
      <c r="A1950" s="4" t="s">
        <v>10</v>
      </c>
      <c r="B1950" s="5">
        <v>44425.0</v>
      </c>
      <c r="C1950" s="6">
        <v>444.04</v>
      </c>
      <c r="D1950" s="11">
        <v>-2.93</v>
      </c>
      <c r="E1950" s="12">
        <v>-0.0066</v>
      </c>
      <c r="F1950" s="6">
        <v>444.24</v>
      </c>
      <c r="G1950" s="6">
        <v>440.85</v>
      </c>
      <c r="H1950" s="6">
        <v>444.96</v>
      </c>
      <c r="I1950" s="9">
        <v>9.2673933E7</v>
      </c>
      <c r="J1950" s="6">
        <v>4.1106709956E10</v>
      </c>
    </row>
    <row r="1951">
      <c r="A1951" s="4" t="s">
        <v>10</v>
      </c>
      <c r="B1951" s="5">
        <v>44426.0</v>
      </c>
      <c r="C1951" s="6">
        <v>439.18</v>
      </c>
      <c r="D1951" s="11">
        <v>-4.86</v>
      </c>
      <c r="E1951" s="12">
        <v>-0.0109</v>
      </c>
      <c r="F1951" s="6">
        <v>442.96</v>
      </c>
      <c r="G1951" s="6">
        <v>438.92</v>
      </c>
      <c r="H1951" s="6">
        <v>444.63</v>
      </c>
      <c r="I1951" s="9">
        <v>8.9351931E7</v>
      </c>
      <c r="J1951" s="6">
        <v>3.947514139E10</v>
      </c>
    </row>
    <row r="1952">
      <c r="A1952" s="4" t="s">
        <v>10</v>
      </c>
      <c r="B1952" s="5">
        <v>44427.0</v>
      </c>
      <c r="C1952" s="6">
        <v>439.86</v>
      </c>
      <c r="D1952" s="13">
        <f>+0.68</f>
        <v>0.68</v>
      </c>
      <c r="E1952" s="14">
        <f>+0.15%</f>
        <v>0.0015</v>
      </c>
      <c r="F1952" s="6">
        <v>436.27</v>
      </c>
      <c r="G1952" s="6">
        <v>436.12</v>
      </c>
      <c r="H1952" s="6">
        <v>441.14</v>
      </c>
      <c r="I1952" s="9">
        <v>9.2812246E7</v>
      </c>
      <c r="J1952" s="6">
        <v>4.0753755684E10</v>
      </c>
    </row>
    <row r="1953">
      <c r="A1953" s="4" t="s">
        <v>10</v>
      </c>
      <c r="B1953" s="5">
        <v>44428.0</v>
      </c>
      <c r="C1953" s="6">
        <v>443.36</v>
      </c>
      <c r="D1953" s="13">
        <f>+3.5</f>
        <v>3.5</v>
      </c>
      <c r="E1953" s="14">
        <f>+0.8%</f>
        <v>0.008</v>
      </c>
      <c r="F1953" s="6">
        <v>440.23</v>
      </c>
      <c r="G1953" s="6">
        <v>439.71</v>
      </c>
      <c r="H1953" s="6">
        <v>443.71</v>
      </c>
      <c r="I1953" s="9">
        <v>7.2008712E7</v>
      </c>
      <c r="J1953" s="6">
        <v>3.1846831568E10</v>
      </c>
    </row>
    <row r="1954">
      <c r="A1954" s="4" t="s">
        <v>10</v>
      </c>
      <c r="B1954" s="5">
        <v>44431.0</v>
      </c>
      <c r="C1954" s="6">
        <v>447.26</v>
      </c>
      <c r="D1954" s="13">
        <f>+3.9</f>
        <v>3.9</v>
      </c>
      <c r="E1954" s="14">
        <f>+0.88%</f>
        <v>0.0088</v>
      </c>
      <c r="F1954" s="6">
        <v>445.16</v>
      </c>
      <c r="G1954" s="6">
        <v>443.44</v>
      </c>
      <c r="H1954" s="6">
        <v>448.23</v>
      </c>
      <c r="I1954" s="9">
        <v>5.4973038E7</v>
      </c>
      <c r="J1954" s="6">
        <v>2.4559654988E10</v>
      </c>
    </row>
    <row r="1955">
      <c r="A1955" s="4" t="s">
        <v>10</v>
      </c>
      <c r="B1955" s="5">
        <v>44432.0</v>
      </c>
      <c r="C1955" s="6">
        <v>447.97</v>
      </c>
      <c r="D1955" s="13">
        <f>+0.71</f>
        <v>0.71</v>
      </c>
      <c r="E1955" s="14">
        <f>+0.16%</f>
        <v>0.0016</v>
      </c>
      <c r="F1955" s="6">
        <v>447.97</v>
      </c>
      <c r="G1955" s="6">
        <v>447.42</v>
      </c>
      <c r="H1955" s="6">
        <v>448.54</v>
      </c>
      <c r="I1955" s="9">
        <v>3.8744714E7</v>
      </c>
      <c r="J1955" s="6">
        <v>1.7356267266E10</v>
      </c>
    </row>
    <row r="1956">
      <c r="A1956" s="4" t="s">
        <v>10</v>
      </c>
      <c r="B1956" s="5">
        <v>44433.0</v>
      </c>
      <c r="C1956" s="6">
        <v>448.91</v>
      </c>
      <c r="D1956" s="13">
        <f>+0.94</f>
        <v>0.94</v>
      </c>
      <c r="E1956" s="14">
        <f>+0.21%</f>
        <v>0.0021</v>
      </c>
      <c r="F1956" s="6">
        <v>448.17</v>
      </c>
      <c r="G1956" s="6">
        <v>447.77</v>
      </c>
      <c r="H1956" s="6">
        <v>449.46</v>
      </c>
      <c r="I1956" s="9">
        <v>4.0529711E7</v>
      </c>
      <c r="J1956" s="6">
        <v>1.8189136367E10</v>
      </c>
    </row>
    <row r="1957">
      <c r="A1957" s="4" t="s">
        <v>10</v>
      </c>
      <c r="B1957" s="5">
        <v>44434.0</v>
      </c>
      <c r="C1957" s="6">
        <v>446.26</v>
      </c>
      <c r="D1957" s="11">
        <v>-2.65</v>
      </c>
      <c r="E1957" s="12">
        <v>-0.0059</v>
      </c>
      <c r="F1957" s="6">
        <v>448.61</v>
      </c>
      <c r="G1957" s="6">
        <v>446.16</v>
      </c>
      <c r="H1957" s="6">
        <v>448.86</v>
      </c>
      <c r="I1957" s="9">
        <v>5.7829572E7</v>
      </c>
      <c r="J1957" s="6">
        <v>2.5863474086E10</v>
      </c>
    </row>
    <row r="1958">
      <c r="A1958" s="4" t="s">
        <v>10</v>
      </c>
      <c r="B1958" s="5">
        <v>44435.0</v>
      </c>
      <c r="C1958" s="6">
        <v>450.25</v>
      </c>
      <c r="D1958" s="13">
        <f>+3.99</f>
        <v>3.99</v>
      </c>
      <c r="E1958" s="14">
        <f>+0.89%</f>
        <v>0.0089</v>
      </c>
      <c r="F1958" s="6">
        <v>447.12</v>
      </c>
      <c r="G1958" s="6">
        <v>447.06</v>
      </c>
      <c r="H1958" s="6">
        <v>450.65</v>
      </c>
      <c r="I1958" s="9">
        <v>7.7235113E7</v>
      </c>
      <c r="J1958" s="6">
        <v>3.471308803E10</v>
      </c>
    </row>
    <row r="1959">
      <c r="A1959" s="4" t="s">
        <v>10</v>
      </c>
      <c r="B1959" s="5">
        <v>44438.0</v>
      </c>
      <c r="C1959" s="6">
        <v>452.23</v>
      </c>
      <c r="D1959" s="13">
        <f>+1.98</f>
        <v>1.98</v>
      </c>
      <c r="E1959" s="14">
        <f>+0.44%</f>
        <v>0.0044</v>
      </c>
      <c r="F1959" s="6">
        <v>450.97</v>
      </c>
      <c r="G1959" s="6">
        <v>450.71</v>
      </c>
      <c r="H1959" s="6">
        <v>453.07</v>
      </c>
      <c r="I1959" s="9">
        <v>4.8357355E7</v>
      </c>
      <c r="J1959" s="6">
        <v>2.1860360422E10</v>
      </c>
    </row>
    <row r="1960">
      <c r="A1960" s="4" t="s">
        <v>10</v>
      </c>
      <c r="B1960" s="5">
        <v>44439.0</v>
      </c>
      <c r="C1960" s="6">
        <v>451.56</v>
      </c>
      <c r="D1960" s="11">
        <v>-0.67</v>
      </c>
      <c r="E1960" s="12">
        <v>-0.0015</v>
      </c>
      <c r="F1960" s="6">
        <v>452.13</v>
      </c>
      <c r="G1960" s="6">
        <v>450.92</v>
      </c>
      <c r="H1960" s="6">
        <v>452.49</v>
      </c>
      <c r="I1960" s="9">
        <v>5.9300213E7</v>
      </c>
      <c r="J1960" s="6">
        <v>2.6791543105E10</v>
      </c>
    </row>
    <row r="1961">
      <c r="A1961" s="4" t="s">
        <v>10</v>
      </c>
      <c r="B1961" s="5">
        <v>44440.0</v>
      </c>
      <c r="C1961" s="6">
        <v>451.8</v>
      </c>
      <c r="D1961" s="13">
        <f>+0.24</f>
        <v>0.24</v>
      </c>
      <c r="E1961" s="14">
        <f>+0.05%</f>
        <v>0.0005</v>
      </c>
      <c r="F1961" s="6">
        <v>452.56</v>
      </c>
      <c r="G1961" s="6">
        <v>451.55</v>
      </c>
      <c r="H1961" s="6">
        <v>453.11</v>
      </c>
      <c r="I1961" s="9">
        <v>4.8721378E7</v>
      </c>
      <c r="J1961" s="6">
        <v>2.2036507847E10</v>
      </c>
    </row>
    <row r="1962">
      <c r="A1962" s="4" t="s">
        <v>10</v>
      </c>
      <c r="B1962" s="5">
        <v>44441.0</v>
      </c>
      <c r="C1962" s="6">
        <v>453.19</v>
      </c>
      <c r="D1962" s="13">
        <f>+1.39</f>
        <v>1.39</v>
      </c>
      <c r="E1962" s="14">
        <f>+0.31%</f>
        <v>0.0031</v>
      </c>
      <c r="F1962" s="6">
        <v>453.32</v>
      </c>
      <c r="G1962" s="6">
        <v>451.91</v>
      </c>
      <c r="H1962" s="6">
        <v>454.05</v>
      </c>
      <c r="I1962" s="9">
        <v>4.2830867E7</v>
      </c>
      <c r="J1962" s="6">
        <v>1.9400085252E10</v>
      </c>
    </row>
    <row r="1963">
      <c r="A1963" s="4" t="s">
        <v>10</v>
      </c>
      <c r="B1963" s="5">
        <v>44442.0</v>
      </c>
      <c r="C1963" s="6">
        <v>453.08</v>
      </c>
      <c r="D1963" s="11">
        <v>-0.11</v>
      </c>
      <c r="E1963" s="12">
        <v>-2.0E-4</v>
      </c>
      <c r="F1963" s="6">
        <v>451.98</v>
      </c>
      <c r="G1963" s="6">
        <v>451.55</v>
      </c>
      <c r="H1963" s="6">
        <v>453.63</v>
      </c>
      <c r="I1963" s="9">
        <v>4.7234364E7</v>
      </c>
      <c r="J1963" s="6">
        <v>2.1392591995E10</v>
      </c>
    </row>
    <row r="1964">
      <c r="A1964" s="4" t="s">
        <v>10</v>
      </c>
      <c r="B1964" s="5">
        <v>44445.0</v>
      </c>
      <c r="C1964" s="10"/>
      <c r="D1964" s="7"/>
      <c r="E1964" s="8"/>
      <c r="F1964" s="10"/>
      <c r="G1964" s="10"/>
      <c r="H1964" s="10"/>
      <c r="I1964" s="15"/>
      <c r="J1964" s="10"/>
    </row>
    <row r="1965">
      <c r="A1965" s="4" t="s">
        <v>10</v>
      </c>
      <c r="B1965" s="5">
        <v>44446.0</v>
      </c>
      <c r="C1965" s="6">
        <v>451.46</v>
      </c>
      <c r="D1965" s="11">
        <v>-1.62</v>
      </c>
      <c r="E1965" s="12">
        <v>-0.0036</v>
      </c>
      <c r="F1965" s="6">
        <v>452.71</v>
      </c>
      <c r="G1965" s="6">
        <v>450.74</v>
      </c>
      <c r="H1965" s="6">
        <v>452.81</v>
      </c>
      <c r="I1965" s="9">
        <v>5.1671534E7</v>
      </c>
      <c r="J1965" s="6">
        <v>2.3346746497E10</v>
      </c>
    </row>
    <row r="1966">
      <c r="A1966" s="4" t="s">
        <v>10</v>
      </c>
      <c r="B1966" s="5">
        <v>44447.0</v>
      </c>
      <c r="C1966" s="6">
        <v>450.91</v>
      </c>
      <c r="D1966" s="11">
        <v>-0.55</v>
      </c>
      <c r="E1966" s="12">
        <v>-0.0012</v>
      </c>
      <c r="F1966" s="6">
        <v>450.89</v>
      </c>
      <c r="G1966" s="6">
        <v>448.86</v>
      </c>
      <c r="H1966" s="6">
        <v>451.67</v>
      </c>
      <c r="I1966" s="9">
        <v>5.6181907E7</v>
      </c>
      <c r="J1966" s="6">
        <v>2.531209405E10</v>
      </c>
    </row>
    <row r="1967">
      <c r="A1967" s="4" t="s">
        <v>10</v>
      </c>
      <c r="B1967" s="5">
        <v>44448.0</v>
      </c>
      <c r="C1967" s="6">
        <v>448.98</v>
      </c>
      <c r="D1967" s="11">
        <v>-1.93</v>
      </c>
      <c r="E1967" s="12">
        <v>-0.0043</v>
      </c>
      <c r="F1967" s="6">
        <v>450.7</v>
      </c>
      <c r="G1967" s="6">
        <v>448.72</v>
      </c>
      <c r="H1967" s="6">
        <v>452.57</v>
      </c>
      <c r="I1967" s="9">
        <v>5.7970407E7</v>
      </c>
      <c r="J1967" s="6">
        <v>2.6100377928E10</v>
      </c>
    </row>
    <row r="1968">
      <c r="A1968" s="4" t="s">
        <v>10</v>
      </c>
      <c r="B1968" s="5">
        <v>44449.0</v>
      </c>
      <c r="C1968" s="6">
        <v>445.44</v>
      </c>
      <c r="D1968" s="11">
        <v>-3.54</v>
      </c>
      <c r="E1968" s="12">
        <v>-0.0079</v>
      </c>
      <c r="F1968" s="6">
        <v>451.04</v>
      </c>
      <c r="G1968" s="6">
        <v>445.31</v>
      </c>
      <c r="H1968" s="6">
        <v>451.49</v>
      </c>
      <c r="I1968" s="9">
        <v>8.9948174E7</v>
      </c>
      <c r="J1968" s="6">
        <v>4.0267810267E10</v>
      </c>
    </row>
    <row r="1969">
      <c r="A1969" s="4" t="s">
        <v>10</v>
      </c>
      <c r="B1969" s="5">
        <v>44452.0</v>
      </c>
      <c r="C1969" s="6">
        <v>446.58</v>
      </c>
      <c r="D1969" s="13">
        <f>+1.14</f>
        <v>1.14</v>
      </c>
      <c r="E1969" s="14">
        <f>+0.26%</f>
        <v>0.0026</v>
      </c>
      <c r="F1969" s="6">
        <v>448.64</v>
      </c>
      <c r="G1969" s="6">
        <v>444.11</v>
      </c>
      <c r="H1969" s="6">
        <v>448.92</v>
      </c>
      <c r="I1969" s="9">
        <v>8.3738649E7</v>
      </c>
      <c r="J1969" s="6">
        <v>3.7346847654E10</v>
      </c>
    </row>
    <row r="1970">
      <c r="A1970" s="4" t="s">
        <v>10</v>
      </c>
      <c r="B1970" s="5">
        <v>44453.0</v>
      </c>
      <c r="C1970" s="6">
        <v>444.17</v>
      </c>
      <c r="D1970" s="11">
        <v>-2.41</v>
      </c>
      <c r="E1970" s="12">
        <v>-0.0054</v>
      </c>
      <c r="F1970" s="6">
        <v>448.12</v>
      </c>
      <c r="G1970" s="6">
        <v>443.22</v>
      </c>
      <c r="H1970" s="6">
        <v>448.34</v>
      </c>
      <c r="I1970" s="9">
        <v>7.819714E7</v>
      </c>
      <c r="J1970" s="6">
        <v>3.4796221844E10</v>
      </c>
    </row>
    <row r="1971">
      <c r="A1971" s="4" t="s">
        <v>10</v>
      </c>
      <c r="B1971" s="5">
        <v>44454.0</v>
      </c>
      <c r="C1971" s="6">
        <v>447.88</v>
      </c>
      <c r="D1971" s="13">
        <f>+3.71</f>
        <v>3.71</v>
      </c>
      <c r="E1971" s="14">
        <f>+0.84%</f>
        <v>0.0084</v>
      </c>
      <c r="F1971" s="6">
        <v>444.62</v>
      </c>
      <c r="G1971" s="6">
        <v>443.44</v>
      </c>
      <c r="H1971" s="6">
        <v>448.41</v>
      </c>
      <c r="I1971" s="9">
        <v>7.8792222E7</v>
      </c>
      <c r="J1971" s="6">
        <v>3.5161091093E10</v>
      </c>
    </row>
    <row r="1972">
      <c r="A1972" s="4" t="s">
        <v>10</v>
      </c>
      <c r="B1972" s="5">
        <v>44455.0</v>
      </c>
      <c r="C1972" s="6">
        <v>447.17</v>
      </c>
      <c r="D1972" s="11">
        <v>-0.71</v>
      </c>
      <c r="E1972" s="12">
        <v>-0.0016</v>
      </c>
      <c r="F1972" s="6">
        <v>447.32</v>
      </c>
      <c r="G1972" s="6">
        <v>444.02</v>
      </c>
      <c r="H1972" s="6">
        <v>448.36</v>
      </c>
      <c r="I1972" s="9">
        <v>7.7786735E7</v>
      </c>
      <c r="J1972" s="6">
        <v>3.4734183537E10</v>
      </c>
    </row>
    <row r="1973">
      <c r="A1973" s="4" t="s">
        <v>10</v>
      </c>
      <c r="B1973" s="5">
        <v>44456.0</v>
      </c>
      <c r="C1973" s="6">
        <v>441.4</v>
      </c>
      <c r="D1973" s="11">
        <v>-5.77</v>
      </c>
      <c r="E1973" s="12">
        <v>-0.0129</v>
      </c>
      <c r="F1973" s="6">
        <v>444.92</v>
      </c>
      <c r="G1973" s="6">
        <v>441.02</v>
      </c>
      <c r="H1973" s="6">
        <v>445.37</v>
      </c>
      <c r="I1973" s="9">
        <v>1.18425037E8</v>
      </c>
      <c r="J1973" s="6">
        <v>5.2423998259E10</v>
      </c>
    </row>
    <row r="1974">
      <c r="A1974" s="4" t="s">
        <v>10</v>
      </c>
      <c r="B1974" s="5">
        <v>44459.0</v>
      </c>
      <c r="C1974" s="6">
        <v>434.04</v>
      </c>
      <c r="D1974" s="11">
        <v>-7.36</v>
      </c>
      <c r="E1974" s="12">
        <v>-0.0167</v>
      </c>
      <c r="F1974" s="6">
        <v>434.88</v>
      </c>
      <c r="G1974" s="6">
        <v>428.86</v>
      </c>
      <c r="H1974" s="6">
        <v>436.56</v>
      </c>
      <c r="I1974" s="9">
        <v>1.66445534E8</v>
      </c>
      <c r="J1974" s="6">
        <v>7.2171246875E10</v>
      </c>
    </row>
    <row r="1975">
      <c r="A1975" s="4" t="s">
        <v>10</v>
      </c>
      <c r="B1975" s="5">
        <v>44460.0</v>
      </c>
      <c r="C1975" s="6">
        <v>433.63</v>
      </c>
      <c r="D1975" s="11">
        <v>-0.41</v>
      </c>
      <c r="E1975" s="12">
        <v>-9.0E-4</v>
      </c>
      <c r="F1975" s="6">
        <v>436.53</v>
      </c>
      <c r="G1975" s="6">
        <v>433.07</v>
      </c>
      <c r="H1975" s="6">
        <v>437.91</v>
      </c>
      <c r="I1975" s="9">
        <v>9.2526112E7</v>
      </c>
      <c r="J1975" s="6">
        <v>4.0261938162E10</v>
      </c>
    </row>
    <row r="1976">
      <c r="A1976" s="4" t="s">
        <v>10</v>
      </c>
      <c r="B1976" s="5">
        <v>44461.0</v>
      </c>
      <c r="C1976" s="6">
        <v>437.86</v>
      </c>
      <c r="D1976" s="13">
        <f>+4.23</f>
        <v>4.23</v>
      </c>
      <c r="E1976" s="14">
        <f>+0.98%</f>
        <v>0.0098</v>
      </c>
      <c r="F1976" s="6">
        <v>436.05</v>
      </c>
      <c r="G1976" s="6">
        <v>433.75</v>
      </c>
      <c r="H1976" s="6">
        <v>440.03</v>
      </c>
      <c r="I1976" s="9">
        <v>1.02350143E8</v>
      </c>
      <c r="J1976" s="6">
        <v>4.4819513658E10</v>
      </c>
    </row>
    <row r="1977">
      <c r="A1977" s="4" t="s">
        <v>10</v>
      </c>
      <c r="B1977" s="5">
        <v>44462.0</v>
      </c>
      <c r="C1977" s="6">
        <v>443.18</v>
      </c>
      <c r="D1977" s="13">
        <f>+5.32</f>
        <v>5.32</v>
      </c>
      <c r="E1977" s="14">
        <f>+1.22%</f>
        <v>0.0122</v>
      </c>
      <c r="F1977" s="6">
        <v>439.85</v>
      </c>
      <c r="G1977" s="6">
        <v>439.6</v>
      </c>
      <c r="H1977" s="6">
        <v>444.89</v>
      </c>
      <c r="I1977" s="9">
        <v>7.6395981E7</v>
      </c>
      <c r="J1977" s="6">
        <v>3.3836599845E10</v>
      </c>
    </row>
    <row r="1978">
      <c r="A1978" s="4" t="s">
        <v>10</v>
      </c>
      <c r="B1978" s="5">
        <v>44463.0</v>
      </c>
      <c r="C1978" s="6">
        <v>443.91</v>
      </c>
      <c r="D1978" s="13">
        <f>+0.73</f>
        <v>0.73</v>
      </c>
      <c r="E1978" s="14">
        <f>+0.16%</f>
        <v>0.0016</v>
      </c>
      <c r="F1978" s="6">
        <v>441.44</v>
      </c>
      <c r="G1978" s="6">
        <v>441.21</v>
      </c>
      <c r="H1978" s="6">
        <v>444.67</v>
      </c>
      <c r="I1978" s="9">
        <v>6.2094837E7</v>
      </c>
      <c r="J1978" s="6">
        <v>2.7527898549E10</v>
      </c>
    </row>
    <row r="1979">
      <c r="A1979" s="4" t="s">
        <v>10</v>
      </c>
      <c r="B1979" s="5">
        <v>44466.0</v>
      </c>
      <c r="C1979" s="6">
        <v>442.64</v>
      </c>
      <c r="D1979" s="11">
        <v>-1.27</v>
      </c>
      <c r="E1979" s="12">
        <v>-0.0029</v>
      </c>
      <c r="F1979" s="6">
        <v>442.81</v>
      </c>
      <c r="G1979" s="6">
        <v>441.9</v>
      </c>
      <c r="H1979" s="6">
        <v>444.05</v>
      </c>
      <c r="I1979" s="9">
        <v>6.1371108E7</v>
      </c>
      <c r="J1979" s="6">
        <v>2.7189142502E10</v>
      </c>
    </row>
    <row r="1980">
      <c r="A1980" s="4" t="s">
        <v>10</v>
      </c>
      <c r="B1980" s="5">
        <v>44467.0</v>
      </c>
      <c r="C1980" s="6">
        <v>433.72</v>
      </c>
      <c r="D1980" s="11">
        <v>-8.92</v>
      </c>
      <c r="E1980" s="12">
        <v>-0.0202</v>
      </c>
      <c r="F1980" s="6">
        <v>439.69</v>
      </c>
      <c r="G1980" s="6">
        <v>432.94</v>
      </c>
      <c r="H1980" s="6">
        <v>440.04</v>
      </c>
      <c r="I1980" s="9">
        <v>1.30436306E8</v>
      </c>
      <c r="J1980" s="6">
        <v>5.6825863474E10</v>
      </c>
    </row>
    <row r="1981">
      <c r="A1981" s="4" t="s">
        <v>10</v>
      </c>
      <c r="B1981" s="5">
        <v>44468.0</v>
      </c>
      <c r="C1981" s="6">
        <v>434.45</v>
      </c>
      <c r="D1981" s="13">
        <f>+0.73</f>
        <v>0.73</v>
      </c>
      <c r="E1981" s="14">
        <f>+0.17%</f>
        <v>0.0017</v>
      </c>
      <c r="F1981" s="6">
        <v>435.19</v>
      </c>
      <c r="G1981" s="6">
        <v>433.85</v>
      </c>
      <c r="H1981" s="6">
        <v>437.04</v>
      </c>
      <c r="I1981" s="9">
        <v>8.2329213E7</v>
      </c>
      <c r="J1981" s="6">
        <v>3.5838171246E10</v>
      </c>
    </row>
    <row r="1982">
      <c r="A1982" s="4" t="s">
        <v>10</v>
      </c>
      <c r="B1982" s="5">
        <v>44469.0</v>
      </c>
      <c r="C1982" s="6">
        <v>429.14</v>
      </c>
      <c r="D1982" s="11">
        <v>-5.31</v>
      </c>
      <c r="E1982" s="12">
        <v>-0.0122</v>
      </c>
      <c r="F1982" s="6">
        <v>436.02</v>
      </c>
      <c r="G1982" s="6">
        <v>428.78</v>
      </c>
      <c r="H1982" s="6">
        <v>436.77</v>
      </c>
      <c r="I1982" s="9">
        <v>1.40505979E8</v>
      </c>
      <c r="J1982" s="6">
        <v>6.0708745459E10</v>
      </c>
    </row>
    <row r="1983">
      <c r="A1983" s="4" t="s">
        <v>10</v>
      </c>
      <c r="B1983" s="5">
        <v>44470.0</v>
      </c>
      <c r="C1983" s="6">
        <v>434.24</v>
      </c>
      <c r="D1983" s="13">
        <f>+5.1</f>
        <v>5.1</v>
      </c>
      <c r="E1983" s="14">
        <f>+1.19%</f>
        <v>0.0119</v>
      </c>
      <c r="F1983" s="6">
        <v>430.98</v>
      </c>
      <c r="G1983" s="6">
        <v>427.23</v>
      </c>
      <c r="H1983" s="6">
        <v>436.03</v>
      </c>
      <c r="I1983" s="9">
        <v>1.29240106E8</v>
      </c>
      <c r="J1983" s="6">
        <v>5.5796879144E10</v>
      </c>
    </row>
    <row r="1984">
      <c r="A1984" s="4" t="s">
        <v>10</v>
      </c>
      <c r="B1984" s="5">
        <v>44473.0</v>
      </c>
      <c r="C1984" s="6">
        <v>428.64</v>
      </c>
      <c r="D1984" s="11">
        <v>-5.6</v>
      </c>
      <c r="E1984" s="12">
        <v>-0.0129</v>
      </c>
      <c r="F1984" s="6">
        <v>433.0</v>
      </c>
      <c r="G1984" s="6">
        <v>426.36</v>
      </c>
      <c r="H1984" s="6">
        <v>433.96</v>
      </c>
      <c r="I1984" s="9">
        <v>1.28569957E8</v>
      </c>
      <c r="J1984" s="6">
        <v>5.5166843775E10</v>
      </c>
    </row>
    <row r="1985">
      <c r="A1985" s="4" t="s">
        <v>10</v>
      </c>
      <c r="B1985" s="5">
        <v>44474.0</v>
      </c>
      <c r="C1985" s="6">
        <v>433.1</v>
      </c>
      <c r="D1985" s="13">
        <f>+4.46</f>
        <v>4.46</v>
      </c>
      <c r="E1985" s="14">
        <f>+1.04%</f>
        <v>0.0104</v>
      </c>
      <c r="F1985" s="6">
        <v>430.24</v>
      </c>
      <c r="G1985" s="6">
        <v>429.39</v>
      </c>
      <c r="H1985" s="6">
        <v>435.49</v>
      </c>
      <c r="I1985" s="9">
        <v>9.068252E7</v>
      </c>
      <c r="J1985" s="6">
        <v>3.9277704348E10</v>
      </c>
    </row>
    <row r="1986">
      <c r="A1986" s="4" t="s">
        <v>10</v>
      </c>
      <c r="B1986" s="5">
        <v>44475.0</v>
      </c>
      <c r="C1986" s="6">
        <v>434.9</v>
      </c>
      <c r="D1986" s="13">
        <f>+1.8</f>
        <v>1.8</v>
      </c>
      <c r="E1986" s="14">
        <f>+0.42%</f>
        <v>0.0042</v>
      </c>
      <c r="F1986" s="6">
        <v>429.27</v>
      </c>
      <c r="G1986" s="6">
        <v>427.54</v>
      </c>
      <c r="H1986" s="6">
        <v>435.12</v>
      </c>
      <c r="I1986" s="9">
        <v>1.13032245E8</v>
      </c>
      <c r="J1986" s="6">
        <v>4.8796127788E10</v>
      </c>
    </row>
    <row r="1987">
      <c r="A1987" s="4" t="s">
        <v>10</v>
      </c>
      <c r="B1987" s="5">
        <v>44476.0</v>
      </c>
      <c r="C1987" s="6">
        <v>438.66</v>
      </c>
      <c r="D1987" s="13">
        <f>+3.76</f>
        <v>3.76</v>
      </c>
      <c r="E1987" s="14">
        <f>+0.86%</f>
        <v>0.0086</v>
      </c>
      <c r="F1987" s="6">
        <v>438.39</v>
      </c>
      <c r="G1987" s="6">
        <v>438.2</v>
      </c>
      <c r="H1987" s="6">
        <v>441.68</v>
      </c>
      <c r="I1987" s="9">
        <v>7.2437499E7</v>
      </c>
      <c r="J1987" s="6">
        <v>3.1849142736E10</v>
      </c>
    </row>
    <row r="1988">
      <c r="A1988" s="4" t="s">
        <v>10</v>
      </c>
      <c r="B1988" s="5">
        <v>44477.0</v>
      </c>
      <c r="C1988" s="6">
        <v>437.86</v>
      </c>
      <c r="D1988" s="11">
        <v>-0.8</v>
      </c>
      <c r="E1988" s="12">
        <v>-0.0018</v>
      </c>
      <c r="F1988" s="6">
        <v>439.48</v>
      </c>
      <c r="G1988" s="6">
        <v>437.19</v>
      </c>
      <c r="H1988" s="6">
        <v>439.89</v>
      </c>
      <c r="I1988" s="9">
        <v>7.4557404E7</v>
      </c>
      <c r="J1988" s="6">
        <v>3.2685620695E10</v>
      </c>
    </row>
    <row r="1989">
      <c r="A1989" s="4" t="s">
        <v>10</v>
      </c>
      <c r="B1989" s="5">
        <v>44480.0</v>
      </c>
      <c r="C1989" s="6">
        <v>434.69</v>
      </c>
      <c r="D1989" s="11">
        <v>-3.17</v>
      </c>
      <c r="E1989" s="12">
        <v>-0.0072</v>
      </c>
      <c r="F1989" s="6">
        <v>437.16</v>
      </c>
      <c r="G1989" s="6">
        <v>434.62</v>
      </c>
      <c r="H1989" s="6">
        <v>440.26</v>
      </c>
      <c r="I1989" s="9">
        <v>6.5233285E7</v>
      </c>
      <c r="J1989" s="6">
        <v>2.8515996549E10</v>
      </c>
    </row>
    <row r="1990">
      <c r="A1990" s="4" t="s">
        <v>10</v>
      </c>
      <c r="B1990" s="5">
        <v>44481.0</v>
      </c>
      <c r="C1990" s="6">
        <v>433.62</v>
      </c>
      <c r="D1990" s="11">
        <v>-1.07</v>
      </c>
      <c r="E1990" s="12">
        <v>-0.0025</v>
      </c>
      <c r="F1990" s="6">
        <v>435.67</v>
      </c>
      <c r="G1990" s="6">
        <v>432.78</v>
      </c>
      <c r="H1990" s="6">
        <v>436.1</v>
      </c>
      <c r="I1990" s="9">
        <v>7.1181163E7</v>
      </c>
      <c r="J1990" s="6">
        <v>3.0919281834E10</v>
      </c>
    </row>
    <row r="1991">
      <c r="A1991" s="4" t="s">
        <v>10</v>
      </c>
      <c r="B1991" s="5">
        <v>44482.0</v>
      </c>
      <c r="C1991" s="6">
        <v>435.18</v>
      </c>
      <c r="D1991" s="13">
        <f>+1.56</f>
        <v>1.56</v>
      </c>
      <c r="E1991" s="14">
        <f>+0.36%</f>
        <v>0.0036</v>
      </c>
      <c r="F1991" s="6">
        <v>434.71</v>
      </c>
      <c r="G1991" s="6">
        <v>431.54</v>
      </c>
      <c r="H1991" s="6">
        <v>436.05</v>
      </c>
      <c r="I1991" s="9">
        <v>7.2973979E7</v>
      </c>
      <c r="J1991" s="6">
        <v>3.1676493298E10</v>
      </c>
    </row>
    <row r="1992">
      <c r="A1992" s="4" t="s">
        <v>10</v>
      </c>
      <c r="B1992" s="5">
        <v>44483.0</v>
      </c>
      <c r="C1992" s="6">
        <v>442.5</v>
      </c>
      <c r="D1992" s="13">
        <f>+7.32</f>
        <v>7.32</v>
      </c>
      <c r="E1992" s="14">
        <f>+1.68%</f>
        <v>0.0168</v>
      </c>
      <c r="F1992" s="6">
        <v>439.08</v>
      </c>
      <c r="G1992" s="6">
        <v>438.58</v>
      </c>
      <c r="H1992" s="6">
        <v>442.66</v>
      </c>
      <c r="I1992" s="9">
        <v>7.0236825E7</v>
      </c>
      <c r="J1992" s="6">
        <v>3.0976721986E10</v>
      </c>
    </row>
    <row r="1993">
      <c r="A1993" s="4" t="s">
        <v>10</v>
      </c>
      <c r="B1993" s="5">
        <v>44484.0</v>
      </c>
      <c r="C1993" s="6">
        <v>445.87</v>
      </c>
      <c r="D1993" s="13">
        <f>+3.37</f>
        <v>3.37</v>
      </c>
      <c r="E1993" s="14">
        <f>+0.76%</f>
        <v>0.0076</v>
      </c>
      <c r="F1993" s="6">
        <v>444.75</v>
      </c>
      <c r="G1993" s="6">
        <v>444.09</v>
      </c>
      <c r="H1993" s="6">
        <v>446.26</v>
      </c>
      <c r="I1993" s="9">
        <v>6.626021E7</v>
      </c>
      <c r="J1993" s="6">
        <v>2.9496629685E10</v>
      </c>
    </row>
    <row r="1994">
      <c r="A1994" s="4" t="s">
        <v>10</v>
      </c>
      <c r="B1994" s="5">
        <v>44487.0</v>
      </c>
      <c r="C1994" s="6">
        <v>447.19</v>
      </c>
      <c r="D1994" s="13">
        <f>+1.32</f>
        <v>1.32</v>
      </c>
      <c r="E1994" s="14">
        <f>+0.3%</f>
        <v>0.003</v>
      </c>
      <c r="F1994" s="6">
        <v>443.97</v>
      </c>
      <c r="G1994" s="6">
        <v>443.27</v>
      </c>
      <c r="H1994" s="6">
        <v>447.55</v>
      </c>
      <c r="I1994" s="9">
        <v>6.2213228E7</v>
      </c>
      <c r="J1994" s="6">
        <v>2.7764787177E10</v>
      </c>
    </row>
    <row r="1995">
      <c r="A1995" s="4" t="s">
        <v>10</v>
      </c>
      <c r="B1995" s="5">
        <v>44488.0</v>
      </c>
      <c r="C1995" s="6">
        <v>450.64</v>
      </c>
      <c r="D1995" s="13">
        <f>+3.45</f>
        <v>3.45</v>
      </c>
      <c r="E1995" s="14">
        <f>+0.77%</f>
        <v>0.0077</v>
      </c>
      <c r="F1995" s="6">
        <v>448.92</v>
      </c>
      <c r="G1995" s="6">
        <v>448.27</v>
      </c>
      <c r="H1995" s="6">
        <v>450.71</v>
      </c>
      <c r="I1995" s="9">
        <v>4.6996827E7</v>
      </c>
      <c r="J1995" s="6">
        <v>2.1140700059E10</v>
      </c>
    </row>
    <row r="1996">
      <c r="A1996" s="4" t="s">
        <v>10</v>
      </c>
      <c r="B1996" s="5">
        <v>44489.0</v>
      </c>
      <c r="C1996" s="6">
        <v>452.41</v>
      </c>
      <c r="D1996" s="13">
        <f>+1.77</f>
        <v>1.77</v>
      </c>
      <c r="E1996" s="14">
        <f>+0.39%</f>
        <v>0.0039</v>
      </c>
      <c r="F1996" s="6">
        <v>451.13</v>
      </c>
      <c r="G1996" s="6">
        <v>451.01</v>
      </c>
      <c r="H1996" s="6">
        <v>452.73</v>
      </c>
      <c r="I1996" s="9">
        <v>4.9571569E7</v>
      </c>
      <c r="J1996" s="6">
        <v>2.2401987239E10</v>
      </c>
    </row>
    <row r="1997">
      <c r="A1997" s="4" t="s">
        <v>10</v>
      </c>
      <c r="B1997" s="5">
        <v>44490.0</v>
      </c>
      <c r="C1997" s="6">
        <v>453.59</v>
      </c>
      <c r="D1997" s="13">
        <f>+1.18</f>
        <v>1.18</v>
      </c>
      <c r="E1997" s="14">
        <f>+0.26%</f>
        <v>0.0026</v>
      </c>
      <c r="F1997" s="6">
        <v>451.77</v>
      </c>
      <c r="G1997" s="6">
        <v>451.31</v>
      </c>
      <c r="H1997" s="6">
        <v>453.83</v>
      </c>
      <c r="I1997" s="9">
        <v>4.1305438E7</v>
      </c>
      <c r="J1997" s="6">
        <v>1.8690267077E10</v>
      </c>
    </row>
    <row r="1998">
      <c r="A1998" s="4" t="s">
        <v>10</v>
      </c>
      <c r="B1998" s="5">
        <v>44491.0</v>
      </c>
      <c r="C1998" s="6">
        <v>453.12</v>
      </c>
      <c r="D1998" s="11">
        <v>-0.47</v>
      </c>
      <c r="E1998" s="12">
        <v>-0.001</v>
      </c>
      <c r="F1998" s="6">
        <v>453.13</v>
      </c>
      <c r="G1998" s="6">
        <v>451.05</v>
      </c>
      <c r="H1998" s="6">
        <v>454.67</v>
      </c>
      <c r="I1998" s="9">
        <v>5.8845088E7</v>
      </c>
      <c r="J1998" s="6">
        <v>2.665892935E10</v>
      </c>
    </row>
    <row r="1999">
      <c r="A1999" s="4" t="s">
        <v>10</v>
      </c>
      <c r="B1999" s="5">
        <v>44494.0</v>
      </c>
      <c r="C1999" s="6">
        <v>455.55</v>
      </c>
      <c r="D1999" s="13">
        <f>+2.43</f>
        <v>2.43</v>
      </c>
      <c r="E1999" s="14">
        <f>+0.54%</f>
        <v>0.0054</v>
      </c>
      <c r="F1999" s="6">
        <v>454.28</v>
      </c>
      <c r="G1999" s="6">
        <v>452.39</v>
      </c>
      <c r="H1999" s="6">
        <v>455.9</v>
      </c>
      <c r="I1999" s="9">
        <v>4.5214507E7</v>
      </c>
      <c r="J1999" s="6">
        <v>2.0555801325E10</v>
      </c>
    </row>
    <row r="2000">
      <c r="A2000" s="4" t="s">
        <v>10</v>
      </c>
      <c r="B2000" s="5">
        <v>44495.0</v>
      </c>
      <c r="C2000" s="6">
        <v>455.96</v>
      </c>
      <c r="D2000" s="13">
        <f>+0.41</f>
        <v>0.41</v>
      </c>
      <c r="E2000" s="14">
        <f>+0.09%</f>
        <v>0.0009</v>
      </c>
      <c r="F2000" s="6">
        <v>457.2</v>
      </c>
      <c r="G2000" s="6">
        <v>455.56</v>
      </c>
      <c r="H2000" s="6">
        <v>458.49</v>
      </c>
      <c r="I2000" s="9">
        <v>5.6075116E7</v>
      </c>
      <c r="J2000" s="6">
        <v>2.5619033676E10</v>
      </c>
    </row>
    <row r="2001">
      <c r="A2001" s="4" t="s">
        <v>10</v>
      </c>
      <c r="B2001" s="5">
        <v>44496.0</v>
      </c>
      <c r="C2001" s="6">
        <v>453.94</v>
      </c>
      <c r="D2001" s="11">
        <v>-2.02</v>
      </c>
      <c r="E2001" s="12">
        <v>-0.0044</v>
      </c>
      <c r="F2001" s="6">
        <v>456.45</v>
      </c>
      <c r="G2001" s="6">
        <v>453.86</v>
      </c>
      <c r="H2001" s="6">
        <v>457.16</v>
      </c>
      <c r="I2001" s="9">
        <v>7.2437997E7</v>
      </c>
      <c r="J2001" s="6">
        <v>3.2974957888E10</v>
      </c>
    </row>
    <row r="2002">
      <c r="A2002" s="4" t="s">
        <v>10</v>
      </c>
      <c r="B2002" s="5">
        <v>44497.0</v>
      </c>
      <c r="C2002" s="6">
        <v>458.32</v>
      </c>
      <c r="D2002" s="13">
        <f>+4.38</f>
        <v>4.38</v>
      </c>
      <c r="E2002" s="14">
        <f>+0.96%</f>
        <v>0.0096</v>
      </c>
      <c r="F2002" s="6">
        <v>455.46</v>
      </c>
      <c r="G2002" s="6">
        <v>455.45</v>
      </c>
      <c r="H2002" s="6">
        <v>458.4</v>
      </c>
      <c r="I2002" s="9">
        <v>5.1437944E7</v>
      </c>
      <c r="J2002" s="6">
        <v>2.3499155976E10</v>
      </c>
    </row>
    <row r="2003">
      <c r="A2003" s="4" t="s">
        <v>10</v>
      </c>
      <c r="B2003" s="5">
        <v>44498.0</v>
      </c>
      <c r="C2003" s="6">
        <v>459.25</v>
      </c>
      <c r="D2003" s="13">
        <f>+0.93</f>
        <v>0.93</v>
      </c>
      <c r="E2003" s="14">
        <f>+0.2%</f>
        <v>0.002</v>
      </c>
      <c r="F2003" s="6">
        <v>455.87</v>
      </c>
      <c r="G2003" s="6">
        <v>455.56</v>
      </c>
      <c r="H2003" s="6">
        <v>459.56</v>
      </c>
      <c r="I2003" s="9">
        <v>7.0162424E7</v>
      </c>
      <c r="J2003" s="6">
        <v>3.2155923696E10</v>
      </c>
    </row>
    <row r="2004">
      <c r="A2004" s="4" t="s">
        <v>10</v>
      </c>
      <c r="B2004" s="5">
        <v>44501.0</v>
      </c>
      <c r="C2004" s="6">
        <v>460.04</v>
      </c>
      <c r="D2004" s="13">
        <f>+0.79</f>
        <v>0.79</v>
      </c>
      <c r="E2004" s="14">
        <f>+0.17%</f>
        <v>0.0017</v>
      </c>
      <c r="F2004" s="6">
        <v>460.3</v>
      </c>
      <c r="G2004" s="6">
        <v>458.2</v>
      </c>
      <c r="H2004" s="6">
        <v>460.7</v>
      </c>
      <c r="I2004" s="9">
        <v>4.8433642E7</v>
      </c>
      <c r="J2004" s="6">
        <v>2.2253404853E10</v>
      </c>
    </row>
    <row r="2005">
      <c r="A2005" s="4" t="s">
        <v>10</v>
      </c>
      <c r="B2005" s="5">
        <v>44502.0</v>
      </c>
      <c r="C2005" s="6">
        <v>461.9</v>
      </c>
      <c r="D2005" s="13">
        <f>+1.86</f>
        <v>1.86</v>
      </c>
      <c r="E2005" s="14">
        <f>+0.4%</f>
        <v>0.004</v>
      </c>
      <c r="F2005" s="6">
        <v>460.22</v>
      </c>
      <c r="G2005" s="6">
        <v>460.08</v>
      </c>
      <c r="H2005" s="6">
        <v>462.23</v>
      </c>
      <c r="I2005" s="9">
        <v>4.8908417E7</v>
      </c>
      <c r="J2005" s="6">
        <v>2.2564662849E10</v>
      </c>
    </row>
    <row r="2006">
      <c r="A2006" s="4" t="s">
        <v>10</v>
      </c>
      <c r="B2006" s="5">
        <v>44503.0</v>
      </c>
      <c r="C2006" s="6">
        <v>464.72</v>
      </c>
      <c r="D2006" s="13">
        <f>+2.82</f>
        <v>2.82</v>
      </c>
      <c r="E2006" s="14">
        <f>+0.61%</f>
        <v>0.0061</v>
      </c>
      <c r="F2006" s="6">
        <v>461.3</v>
      </c>
      <c r="G2006" s="6">
        <v>460.83</v>
      </c>
      <c r="H2006" s="6">
        <v>465.15</v>
      </c>
      <c r="I2006" s="9">
        <v>5.2509825E7</v>
      </c>
      <c r="J2006" s="6">
        <v>2.4312536169E10</v>
      </c>
    </row>
    <row r="2007">
      <c r="A2007" s="4" t="s">
        <v>10</v>
      </c>
      <c r="B2007" s="5">
        <v>44504.0</v>
      </c>
      <c r="C2007" s="6">
        <v>466.91</v>
      </c>
      <c r="D2007" s="13">
        <f>+2.19</f>
        <v>2.19</v>
      </c>
      <c r="E2007" s="14">
        <f>+0.47%</f>
        <v>0.0047</v>
      </c>
      <c r="F2007" s="6">
        <v>465.36</v>
      </c>
      <c r="G2007" s="6">
        <v>464.99</v>
      </c>
      <c r="H2007" s="6">
        <v>467.0</v>
      </c>
      <c r="I2007" s="9">
        <v>5.2847087E7</v>
      </c>
      <c r="J2007" s="6">
        <v>2.4624789874E10</v>
      </c>
    </row>
    <row r="2008">
      <c r="A2008" s="4" t="s">
        <v>10</v>
      </c>
      <c r="B2008" s="5">
        <v>44505.0</v>
      </c>
      <c r="C2008" s="6">
        <v>468.53</v>
      </c>
      <c r="D2008" s="13">
        <f>+1.62</f>
        <v>1.62</v>
      </c>
      <c r="E2008" s="14">
        <f>+0.35%</f>
        <v>0.0035</v>
      </c>
      <c r="F2008" s="6">
        <v>469.28</v>
      </c>
      <c r="G2008" s="6">
        <v>466.92</v>
      </c>
      <c r="H2008" s="6">
        <v>470.65</v>
      </c>
      <c r="I2008" s="9">
        <v>6.6390563E7</v>
      </c>
      <c r="J2008" s="6">
        <v>3.1129085025E10</v>
      </c>
    </row>
    <row r="2009">
      <c r="A2009" s="4" t="s">
        <v>10</v>
      </c>
      <c r="B2009" s="5">
        <v>44508.0</v>
      </c>
      <c r="C2009" s="6">
        <v>468.93</v>
      </c>
      <c r="D2009" s="13">
        <f>+0.4</f>
        <v>0.4</v>
      </c>
      <c r="E2009" s="14">
        <f>+0.09%</f>
        <v>0.0009</v>
      </c>
      <c r="F2009" s="6">
        <v>469.7</v>
      </c>
      <c r="G2009" s="6">
        <v>468.2</v>
      </c>
      <c r="H2009" s="6">
        <v>470.23</v>
      </c>
      <c r="I2009" s="9">
        <v>5.0405194E7</v>
      </c>
      <c r="J2009" s="6">
        <v>2.363947917E10</v>
      </c>
    </row>
    <row r="2010">
      <c r="A2010" s="4" t="s">
        <v>10</v>
      </c>
      <c r="B2010" s="5">
        <v>44509.0</v>
      </c>
      <c r="C2010" s="6">
        <v>467.38</v>
      </c>
      <c r="D2010" s="11">
        <v>-1.55</v>
      </c>
      <c r="E2010" s="12">
        <v>-0.0033</v>
      </c>
      <c r="F2010" s="6">
        <v>469.32</v>
      </c>
      <c r="G2010" s="6">
        <v>465.88</v>
      </c>
      <c r="H2010" s="6">
        <v>469.57</v>
      </c>
      <c r="I2010" s="9">
        <v>5.1149147E7</v>
      </c>
      <c r="J2010" s="6">
        <v>2.3902135053E10</v>
      </c>
    </row>
    <row r="2011">
      <c r="A2011" s="4" t="s">
        <v>10</v>
      </c>
      <c r="B2011" s="5">
        <v>44510.0</v>
      </c>
      <c r="C2011" s="6">
        <v>463.62</v>
      </c>
      <c r="D2011" s="11">
        <v>-3.76</v>
      </c>
      <c r="E2011" s="12">
        <v>-0.008</v>
      </c>
      <c r="F2011" s="6">
        <v>465.58</v>
      </c>
      <c r="G2011" s="6">
        <v>462.04</v>
      </c>
      <c r="H2011" s="6">
        <v>467.38</v>
      </c>
      <c r="I2011" s="9">
        <v>6.9429653E7</v>
      </c>
      <c r="J2011" s="6">
        <v>3.2276332466E10</v>
      </c>
    </row>
    <row r="2012">
      <c r="A2012" s="4" t="s">
        <v>10</v>
      </c>
      <c r="B2012" s="5">
        <v>44511.0</v>
      </c>
      <c r="C2012" s="6">
        <v>463.77</v>
      </c>
      <c r="D2012" s="13">
        <f>+0.15</f>
        <v>0.15</v>
      </c>
      <c r="E2012" s="14">
        <f>+0.03%</f>
        <v>0.0003</v>
      </c>
      <c r="F2012" s="6">
        <v>465.21</v>
      </c>
      <c r="G2012" s="6">
        <v>463.75</v>
      </c>
      <c r="H2012" s="6">
        <v>465.29</v>
      </c>
      <c r="I2012" s="9">
        <v>3.4848495E7</v>
      </c>
      <c r="J2012" s="6">
        <v>1.6182484513E10</v>
      </c>
    </row>
    <row r="2013">
      <c r="A2013" s="4" t="s">
        <v>10</v>
      </c>
      <c r="B2013" s="5">
        <v>44512.0</v>
      </c>
      <c r="C2013" s="6">
        <v>467.27</v>
      </c>
      <c r="D2013" s="13">
        <f>+3.5</f>
        <v>3.5</v>
      </c>
      <c r="E2013" s="14">
        <f>+0.75%</f>
        <v>0.0075</v>
      </c>
      <c r="F2013" s="6">
        <v>465.12</v>
      </c>
      <c r="G2013" s="6">
        <v>464.11</v>
      </c>
      <c r="H2013" s="6">
        <v>467.86</v>
      </c>
      <c r="I2013" s="9">
        <v>5.3466654E7</v>
      </c>
      <c r="J2013" s="6">
        <v>2.4931988465E10</v>
      </c>
    </row>
    <row r="2014">
      <c r="A2014" s="4" t="s">
        <v>10</v>
      </c>
      <c r="B2014" s="5">
        <v>44515.0</v>
      </c>
      <c r="C2014" s="6">
        <v>467.43</v>
      </c>
      <c r="D2014" s="13">
        <f>+0.16</f>
        <v>0.16</v>
      </c>
      <c r="E2014" s="14">
        <f>+0.03%</f>
        <v>0.0003</v>
      </c>
      <c r="F2014" s="6">
        <v>468.64</v>
      </c>
      <c r="G2014" s="6">
        <v>466.23</v>
      </c>
      <c r="H2014" s="6">
        <v>468.81</v>
      </c>
      <c r="I2014" s="9">
        <v>4.69805E7</v>
      </c>
      <c r="J2014" s="6">
        <v>2.1957446696E10</v>
      </c>
    </row>
    <row r="2015">
      <c r="A2015" s="4" t="s">
        <v>10</v>
      </c>
      <c r="B2015" s="5">
        <v>44516.0</v>
      </c>
      <c r="C2015" s="6">
        <v>469.28</v>
      </c>
      <c r="D2015" s="13">
        <f>+1.85</f>
        <v>1.85</v>
      </c>
      <c r="E2015" s="14">
        <f>+0.4%</f>
        <v>0.004</v>
      </c>
      <c r="F2015" s="6">
        <v>467.15</v>
      </c>
      <c r="G2015" s="6">
        <v>467.07</v>
      </c>
      <c r="H2015" s="6">
        <v>470.49</v>
      </c>
      <c r="I2015" s="9">
        <v>4.8857502E7</v>
      </c>
      <c r="J2015" s="6">
        <v>2.2916399775E10</v>
      </c>
    </row>
    <row r="2016">
      <c r="A2016" s="4" t="s">
        <v>10</v>
      </c>
      <c r="B2016" s="5">
        <v>44517.0</v>
      </c>
      <c r="C2016" s="6">
        <v>468.14</v>
      </c>
      <c r="D2016" s="11">
        <v>-1.14</v>
      </c>
      <c r="E2016" s="12">
        <v>-0.0024</v>
      </c>
      <c r="F2016" s="6">
        <v>469.0</v>
      </c>
      <c r="G2016" s="6">
        <v>467.48</v>
      </c>
      <c r="H2016" s="6">
        <v>469.19</v>
      </c>
      <c r="I2016" s="9">
        <v>4.7858289E7</v>
      </c>
      <c r="J2016" s="6">
        <v>2.2415496269E10</v>
      </c>
    </row>
    <row r="2017">
      <c r="A2017" s="4" t="s">
        <v>10</v>
      </c>
      <c r="B2017" s="5">
        <v>44518.0</v>
      </c>
      <c r="C2017" s="6">
        <v>469.73</v>
      </c>
      <c r="D2017" s="13">
        <f>+1.59</f>
        <v>1.59</v>
      </c>
      <c r="E2017" s="14">
        <f>+0.34%</f>
        <v>0.0034</v>
      </c>
      <c r="F2017" s="6">
        <v>469.24</v>
      </c>
      <c r="G2017" s="6">
        <v>466.34</v>
      </c>
      <c r="H2017" s="6">
        <v>470.01</v>
      </c>
      <c r="I2017" s="9">
        <v>5.0625607E7</v>
      </c>
      <c r="J2017" s="6">
        <v>2.373219762E10</v>
      </c>
    </row>
    <row r="2018">
      <c r="A2018" s="4" t="s">
        <v>10</v>
      </c>
      <c r="B2018" s="5">
        <v>44519.0</v>
      </c>
      <c r="C2018" s="6">
        <v>468.89</v>
      </c>
      <c r="D2018" s="11">
        <v>-0.84</v>
      </c>
      <c r="E2018" s="12">
        <v>-0.0018</v>
      </c>
      <c r="F2018" s="6">
        <v>469.61</v>
      </c>
      <c r="G2018" s="6">
        <v>468.5</v>
      </c>
      <c r="H2018" s="6">
        <v>470.94</v>
      </c>
      <c r="I2018" s="9">
        <v>5.7315573E7</v>
      </c>
      <c r="J2018" s="6">
        <v>2.6908621054E10</v>
      </c>
    </row>
    <row r="2019">
      <c r="A2019" s="4" t="s">
        <v>10</v>
      </c>
      <c r="B2019" s="5">
        <v>44522.0</v>
      </c>
      <c r="C2019" s="6">
        <v>467.57</v>
      </c>
      <c r="D2019" s="11">
        <v>-1.32</v>
      </c>
      <c r="E2019" s="12">
        <v>-0.0028</v>
      </c>
      <c r="F2019" s="6">
        <v>470.89</v>
      </c>
      <c r="G2019" s="6">
        <v>467.35</v>
      </c>
      <c r="H2019" s="6">
        <v>473.54</v>
      </c>
      <c r="I2019" s="9">
        <v>7.2761954E7</v>
      </c>
      <c r="J2019" s="6">
        <v>3.4230291414E10</v>
      </c>
    </row>
    <row r="2020">
      <c r="A2020" s="4" t="s">
        <v>10</v>
      </c>
      <c r="B2020" s="5">
        <v>44523.0</v>
      </c>
      <c r="C2020" s="6">
        <v>468.19</v>
      </c>
      <c r="D2020" s="13">
        <f>+0.62</f>
        <v>0.62</v>
      </c>
      <c r="E2020" s="14">
        <f>+0.13%</f>
        <v>0.0013</v>
      </c>
      <c r="F2020" s="6">
        <v>467.22</v>
      </c>
      <c r="G2020" s="6">
        <v>464.45</v>
      </c>
      <c r="H2020" s="6">
        <v>469.1</v>
      </c>
      <c r="I2020" s="9">
        <v>7.3206538E7</v>
      </c>
      <c r="J2020" s="6">
        <v>3.4186819991E10</v>
      </c>
    </row>
    <row r="2021">
      <c r="A2021" s="4" t="s">
        <v>10</v>
      </c>
      <c r="B2021" s="5">
        <v>44524.0</v>
      </c>
      <c r="C2021" s="6">
        <v>469.44</v>
      </c>
      <c r="D2021" s="13">
        <f>+1.25</f>
        <v>1.25</v>
      </c>
      <c r="E2021" s="14">
        <f>+0.27%</f>
        <v>0.0027</v>
      </c>
      <c r="F2021" s="6">
        <v>466.06</v>
      </c>
      <c r="G2021" s="6">
        <v>465.19</v>
      </c>
      <c r="H2021" s="6">
        <v>469.57</v>
      </c>
      <c r="I2021" s="9">
        <v>6.1858813E7</v>
      </c>
      <c r="J2021" s="6">
        <v>2.895373058E10</v>
      </c>
    </row>
    <row r="2022">
      <c r="A2022" s="4" t="s">
        <v>10</v>
      </c>
      <c r="B2022" s="5">
        <v>44525.0</v>
      </c>
      <c r="C2022" s="10"/>
      <c r="D2022" s="7"/>
      <c r="E2022" s="8"/>
      <c r="F2022" s="10"/>
      <c r="G2022" s="10"/>
      <c r="H2022" s="10"/>
      <c r="I2022" s="15"/>
      <c r="J2022" s="10"/>
    </row>
    <row r="2023">
      <c r="A2023" s="4" t="s">
        <v>10</v>
      </c>
      <c r="B2023" s="5">
        <v>44526.0</v>
      </c>
      <c r="C2023" s="6">
        <v>458.97</v>
      </c>
      <c r="D2023" s="11">
        <v>-10.47</v>
      </c>
      <c r="E2023" s="12">
        <v>-0.0223</v>
      </c>
      <c r="F2023" s="6">
        <v>462.34</v>
      </c>
      <c r="G2023" s="6">
        <v>457.77</v>
      </c>
      <c r="H2023" s="6">
        <v>463.9</v>
      </c>
      <c r="I2023" s="9">
        <v>1.12669636E8</v>
      </c>
      <c r="J2023" s="6">
        <v>5.1972095011E10</v>
      </c>
    </row>
    <row r="2024">
      <c r="A2024" s="4" t="s">
        <v>10</v>
      </c>
      <c r="B2024" s="5">
        <v>44529.0</v>
      </c>
      <c r="C2024" s="6">
        <v>464.6</v>
      </c>
      <c r="D2024" s="13">
        <f>+5.63</f>
        <v>5.63</v>
      </c>
      <c r="E2024" s="14">
        <f>+1.23%</f>
        <v>0.0123</v>
      </c>
      <c r="F2024" s="6">
        <v>464.07</v>
      </c>
      <c r="G2024" s="6">
        <v>461.73</v>
      </c>
      <c r="H2024" s="6">
        <v>466.56</v>
      </c>
      <c r="I2024" s="9">
        <v>8.6268818E7</v>
      </c>
      <c r="J2024" s="6">
        <v>4.0034636525E10</v>
      </c>
    </row>
    <row r="2025">
      <c r="A2025" s="4" t="s">
        <v>10</v>
      </c>
      <c r="B2025" s="5">
        <v>44530.0</v>
      </c>
      <c r="C2025" s="6">
        <v>455.56</v>
      </c>
      <c r="D2025" s="11">
        <v>-9.04</v>
      </c>
      <c r="E2025" s="12">
        <v>-0.0195</v>
      </c>
      <c r="F2025" s="6">
        <v>462.0</v>
      </c>
      <c r="G2025" s="6">
        <v>455.3</v>
      </c>
      <c r="H2025" s="6">
        <v>464.03</v>
      </c>
      <c r="I2025" s="9">
        <v>1.48559598E8</v>
      </c>
      <c r="J2025" s="6">
        <v>6.8165541423E10</v>
      </c>
    </row>
    <row r="2026">
      <c r="A2026" s="4" t="s">
        <v>10</v>
      </c>
      <c r="B2026" s="5">
        <v>44531.0</v>
      </c>
      <c r="C2026" s="6">
        <v>450.5</v>
      </c>
      <c r="D2026" s="11">
        <v>-5.06</v>
      </c>
      <c r="E2026" s="12">
        <v>-0.0111</v>
      </c>
      <c r="F2026" s="6">
        <v>461.64</v>
      </c>
      <c r="G2026" s="6">
        <v>450.29</v>
      </c>
      <c r="H2026" s="6">
        <v>464.67</v>
      </c>
      <c r="I2026" s="9">
        <v>1.32485835E8</v>
      </c>
      <c r="J2026" s="6">
        <v>6.0601367911E10</v>
      </c>
    </row>
    <row r="2027">
      <c r="A2027" s="4" t="s">
        <v>10</v>
      </c>
      <c r="B2027" s="5">
        <v>44532.0</v>
      </c>
      <c r="C2027" s="6">
        <v>457.4</v>
      </c>
      <c r="D2027" s="13">
        <f>+6.9</f>
        <v>6.9</v>
      </c>
      <c r="E2027" s="14">
        <f>+1.53%</f>
        <v>0.0153</v>
      </c>
      <c r="F2027" s="6">
        <v>450.73</v>
      </c>
      <c r="G2027" s="6">
        <v>450.31</v>
      </c>
      <c r="H2027" s="6">
        <v>459.07</v>
      </c>
      <c r="I2027" s="9">
        <v>1.27637758E8</v>
      </c>
      <c r="J2027" s="6">
        <v>5.816507245E10</v>
      </c>
    </row>
    <row r="2028">
      <c r="A2028" s="4" t="s">
        <v>10</v>
      </c>
      <c r="B2028" s="5">
        <v>44533.0</v>
      </c>
      <c r="C2028" s="6">
        <v>453.42</v>
      </c>
      <c r="D2028" s="11">
        <v>-3.98</v>
      </c>
      <c r="E2028" s="12">
        <v>-0.0087</v>
      </c>
      <c r="F2028" s="6">
        <v>459.17</v>
      </c>
      <c r="G2028" s="6">
        <v>448.92</v>
      </c>
      <c r="H2028" s="6">
        <v>460.3</v>
      </c>
      <c r="I2028" s="9">
        <v>1.37331647E8</v>
      </c>
      <c r="J2028" s="6">
        <v>6.2217270785E10</v>
      </c>
    </row>
    <row r="2029">
      <c r="A2029" s="4" t="s">
        <v>10</v>
      </c>
      <c r="B2029" s="5">
        <v>44536.0</v>
      </c>
      <c r="C2029" s="6">
        <v>458.79</v>
      </c>
      <c r="D2029" s="13">
        <f>+5.37</f>
        <v>5.37</v>
      </c>
      <c r="E2029" s="14">
        <f>+1.18%</f>
        <v>0.0118</v>
      </c>
      <c r="F2029" s="6">
        <v>456.13</v>
      </c>
      <c r="G2029" s="6">
        <v>453.56</v>
      </c>
      <c r="H2029" s="6">
        <v>460.79</v>
      </c>
      <c r="I2029" s="9">
        <v>9.8977532E7</v>
      </c>
      <c r="J2029" s="6">
        <v>4.5289347451E10</v>
      </c>
    </row>
    <row r="2030">
      <c r="A2030" s="4" t="s">
        <v>10</v>
      </c>
      <c r="B2030" s="5">
        <v>44537.0</v>
      </c>
      <c r="C2030" s="6">
        <v>468.28</v>
      </c>
      <c r="D2030" s="13">
        <f>+9.49</f>
        <v>9.49</v>
      </c>
      <c r="E2030" s="14">
        <f>+2.07%</f>
        <v>0.0207</v>
      </c>
      <c r="F2030" s="6">
        <v>464.41</v>
      </c>
      <c r="G2030" s="6">
        <v>458.65</v>
      </c>
      <c r="H2030" s="6">
        <v>468.88</v>
      </c>
      <c r="I2030" s="9">
        <v>9.5484688E7</v>
      </c>
      <c r="J2030" s="6">
        <v>4.4573511192E10</v>
      </c>
    </row>
    <row r="2031">
      <c r="A2031" s="4" t="s">
        <v>10</v>
      </c>
      <c r="B2031" s="5">
        <v>44538.0</v>
      </c>
      <c r="C2031" s="6">
        <v>469.52</v>
      </c>
      <c r="D2031" s="13">
        <f>+1.24</f>
        <v>1.24</v>
      </c>
      <c r="E2031" s="14">
        <f>+0.26%</f>
        <v>0.0026</v>
      </c>
      <c r="F2031" s="6">
        <v>468.7</v>
      </c>
      <c r="G2031" s="6">
        <v>466.83</v>
      </c>
      <c r="H2031" s="6">
        <v>470.0</v>
      </c>
      <c r="I2031" s="9">
        <v>7.2238777E7</v>
      </c>
      <c r="J2031" s="6">
        <v>3.3850008929E10</v>
      </c>
    </row>
    <row r="2032">
      <c r="A2032" s="4" t="s">
        <v>10</v>
      </c>
      <c r="B2032" s="5">
        <v>44539.0</v>
      </c>
      <c r="C2032" s="6">
        <v>466.35</v>
      </c>
      <c r="D2032" s="11">
        <v>-3.17</v>
      </c>
      <c r="E2032" s="12">
        <v>-0.0068</v>
      </c>
      <c r="F2032" s="6">
        <v>468.15</v>
      </c>
      <c r="G2032" s="6">
        <v>466.14</v>
      </c>
      <c r="H2032" s="6">
        <v>469.63</v>
      </c>
      <c r="I2032" s="9">
        <v>6.1272568E7</v>
      </c>
      <c r="J2032" s="6">
        <v>2.8673143285E10</v>
      </c>
    </row>
    <row r="2033">
      <c r="A2033" s="4" t="s">
        <v>10</v>
      </c>
      <c r="B2033" s="5">
        <v>44540.0</v>
      </c>
      <c r="C2033" s="6">
        <v>470.74</v>
      </c>
      <c r="D2033" s="13">
        <f>+4.39</f>
        <v>4.39</v>
      </c>
      <c r="E2033" s="14">
        <f>+0.94%</f>
        <v>0.0094</v>
      </c>
      <c r="F2033" s="6">
        <v>469.23</v>
      </c>
      <c r="G2033" s="6">
        <v>466.51</v>
      </c>
      <c r="H2033" s="6">
        <v>470.9</v>
      </c>
      <c r="I2033" s="9">
        <v>7.7159757E7</v>
      </c>
      <c r="J2033" s="6">
        <v>3.6182484119E10</v>
      </c>
    </row>
    <row r="2034">
      <c r="A2034" s="4" t="s">
        <v>10</v>
      </c>
      <c r="B2034" s="5">
        <v>44543.0</v>
      </c>
      <c r="C2034" s="6">
        <v>466.57</v>
      </c>
      <c r="D2034" s="11">
        <v>-4.17</v>
      </c>
      <c r="E2034" s="12">
        <v>-0.0089</v>
      </c>
      <c r="F2034" s="6">
        <v>470.19</v>
      </c>
      <c r="G2034" s="6">
        <v>466.27</v>
      </c>
      <c r="H2034" s="6">
        <v>470.56</v>
      </c>
      <c r="I2034" s="9">
        <v>8.772468E7</v>
      </c>
      <c r="J2034" s="6">
        <v>4.1060401116E10</v>
      </c>
    </row>
    <row r="2035">
      <c r="A2035" s="4" t="s">
        <v>10</v>
      </c>
      <c r="B2035" s="5">
        <v>44544.0</v>
      </c>
      <c r="C2035" s="6">
        <v>463.36</v>
      </c>
      <c r="D2035" s="11">
        <v>-3.21</v>
      </c>
      <c r="E2035" s="12">
        <v>-0.0069</v>
      </c>
      <c r="F2035" s="6">
        <v>463.09</v>
      </c>
      <c r="G2035" s="6">
        <v>460.25</v>
      </c>
      <c r="H2035" s="6">
        <v>465.74</v>
      </c>
      <c r="I2035" s="9">
        <v>9.7264128E7</v>
      </c>
      <c r="J2035" s="6">
        <v>4.5052438812E10</v>
      </c>
    </row>
    <row r="2036">
      <c r="A2036" s="4" t="s">
        <v>10</v>
      </c>
      <c r="B2036" s="5">
        <v>44545.0</v>
      </c>
      <c r="C2036" s="6">
        <v>470.6</v>
      </c>
      <c r="D2036" s="13">
        <f>+7.24</f>
        <v>7.24</v>
      </c>
      <c r="E2036" s="14">
        <f>+1.56%</f>
        <v>0.0156</v>
      </c>
      <c r="F2036" s="6">
        <v>463.42</v>
      </c>
      <c r="G2036" s="6">
        <v>460.74</v>
      </c>
      <c r="H2036" s="6">
        <v>470.86</v>
      </c>
      <c r="I2036" s="9">
        <v>1.16899251E8</v>
      </c>
      <c r="J2036" s="6">
        <v>5.4456262182E10</v>
      </c>
    </row>
    <row r="2037">
      <c r="A2037" s="4" t="s">
        <v>10</v>
      </c>
      <c r="B2037" s="5">
        <v>44546.0</v>
      </c>
      <c r="C2037" s="6">
        <v>466.45</v>
      </c>
      <c r="D2037" s="11">
        <v>-4.15</v>
      </c>
      <c r="E2037" s="12">
        <v>-0.0088</v>
      </c>
      <c r="F2037" s="6">
        <v>472.57</v>
      </c>
      <c r="G2037" s="6">
        <v>464.8</v>
      </c>
      <c r="H2037" s="6">
        <v>472.87</v>
      </c>
      <c r="I2037" s="9">
        <v>1.16568626E8</v>
      </c>
      <c r="J2037" s="6">
        <v>5.4636734967E10</v>
      </c>
    </row>
    <row r="2038">
      <c r="A2038" s="4" t="s">
        <v>10</v>
      </c>
      <c r="B2038" s="5">
        <v>44547.0</v>
      </c>
      <c r="C2038" s="6">
        <v>459.87</v>
      </c>
      <c r="D2038" s="11">
        <v>-6.58</v>
      </c>
      <c r="E2038" s="12">
        <v>-0.0141</v>
      </c>
      <c r="F2038" s="6">
        <v>461.55</v>
      </c>
      <c r="G2038" s="6">
        <v>458.06</v>
      </c>
      <c r="H2038" s="6">
        <v>464.74</v>
      </c>
      <c r="I2038" s="9">
        <v>1.3563651E8</v>
      </c>
      <c r="J2038" s="6">
        <v>6.259667475E10</v>
      </c>
    </row>
    <row r="2039">
      <c r="A2039" s="4" t="s">
        <v>10</v>
      </c>
      <c r="B2039" s="5">
        <v>44550.0</v>
      </c>
      <c r="C2039" s="6">
        <v>454.98</v>
      </c>
      <c r="D2039" s="11">
        <v>-4.89</v>
      </c>
      <c r="E2039" s="12">
        <v>-0.0106</v>
      </c>
      <c r="F2039" s="6">
        <v>454.48</v>
      </c>
      <c r="G2039" s="6">
        <v>451.14</v>
      </c>
      <c r="H2039" s="6">
        <v>455.4</v>
      </c>
      <c r="I2039" s="9">
        <v>1.07134822E8</v>
      </c>
      <c r="J2039" s="6">
        <v>4.8659059389E10</v>
      </c>
    </row>
    <row r="2040">
      <c r="A2040" s="4" t="s">
        <v>10</v>
      </c>
      <c r="B2040" s="5">
        <v>44551.0</v>
      </c>
      <c r="C2040" s="6">
        <v>463.06</v>
      </c>
      <c r="D2040" s="13">
        <f>+8.08</f>
        <v>8.08</v>
      </c>
      <c r="E2040" s="14">
        <f>+1.78%</f>
        <v>0.0178</v>
      </c>
      <c r="F2040" s="6">
        <v>458.61</v>
      </c>
      <c r="G2040" s="6">
        <v>456.31</v>
      </c>
      <c r="H2040" s="6">
        <v>463.21</v>
      </c>
      <c r="I2040" s="9">
        <v>6.980626E7</v>
      </c>
      <c r="J2040" s="6">
        <v>3.2131495686E10</v>
      </c>
    </row>
    <row r="2041">
      <c r="A2041" s="4" t="s">
        <v>10</v>
      </c>
      <c r="B2041" s="5">
        <v>44552.0</v>
      </c>
      <c r="C2041" s="6">
        <v>467.69</v>
      </c>
      <c r="D2041" s="13">
        <f>+4.63</f>
        <v>4.63</v>
      </c>
      <c r="E2041" s="14">
        <f>+1%</f>
        <v>0.01</v>
      </c>
      <c r="F2041" s="6">
        <v>462.79</v>
      </c>
      <c r="G2041" s="6">
        <v>462.58</v>
      </c>
      <c r="H2041" s="6">
        <v>467.81</v>
      </c>
      <c r="I2041" s="9">
        <v>5.8890223E7</v>
      </c>
      <c r="J2041" s="6">
        <v>2.7431218372E10</v>
      </c>
    </row>
    <row r="2042">
      <c r="A2042" s="4" t="s">
        <v>10</v>
      </c>
      <c r="B2042" s="5">
        <v>44553.0</v>
      </c>
      <c r="C2042" s="6">
        <v>470.6</v>
      </c>
      <c r="D2042" s="13">
        <f>+2.91</f>
        <v>2.91</v>
      </c>
      <c r="E2042" s="14">
        <f>+0.62%</f>
        <v>0.0062</v>
      </c>
      <c r="F2042" s="6">
        <v>468.75</v>
      </c>
      <c r="G2042" s="6">
        <v>468.64</v>
      </c>
      <c r="H2042" s="6">
        <v>472.19</v>
      </c>
      <c r="I2042" s="9">
        <v>5.6439745E7</v>
      </c>
      <c r="J2042" s="6">
        <v>2.6561183543E10</v>
      </c>
    </row>
    <row r="2043">
      <c r="A2043" s="4" t="s">
        <v>10</v>
      </c>
      <c r="B2043" s="5">
        <v>44554.0</v>
      </c>
      <c r="C2043" s="10"/>
      <c r="D2043" s="7"/>
      <c r="E2043" s="8"/>
      <c r="F2043" s="10"/>
      <c r="G2043" s="10"/>
      <c r="H2043" s="10"/>
      <c r="I2043" s="15"/>
      <c r="J2043" s="10"/>
    </row>
    <row r="2044">
      <c r="A2044" s="4" t="s">
        <v>10</v>
      </c>
      <c r="B2044" s="5">
        <v>44557.0</v>
      </c>
      <c r="C2044" s="6">
        <v>477.26</v>
      </c>
      <c r="D2044" s="13">
        <f>+6.66</f>
        <v>6.66</v>
      </c>
      <c r="E2044" s="14">
        <f>+1.42%</f>
        <v>0.0142</v>
      </c>
      <c r="F2044" s="6">
        <v>472.06</v>
      </c>
      <c r="G2044" s="6">
        <v>472.01</v>
      </c>
      <c r="H2044" s="6">
        <v>477.31</v>
      </c>
      <c r="I2044" s="9">
        <v>5.6808619E7</v>
      </c>
      <c r="J2044" s="6">
        <v>2.6999941693E10</v>
      </c>
    </row>
    <row r="2045">
      <c r="A2045" s="4" t="s">
        <v>10</v>
      </c>
      <c r="B2045" s="5">
        <v>44558.0</v>
      </c>
      <c r="C2045" s="6">
        <v>476.87</v>
      </c>
      <c r="D2045" s="11">
        <v>-0.39</v>
      </c>
      <c r="E2045" s="12">
        <v>-8.0E-4</v>
      </c>
      <c r="F2045" s="6">
        <v>477.72</v>
      </c>
      <c r="G2045" s="6">
        <v>476.06</v>
      </c>
      <c r="H2045" s="6">
        <v>478.81</v>
      </c>
      <c r="I2045" s="9">
        <v>4.7274585E7</v>
      </c>
      <c r="J2045" s="6">
        <v>2.2560949634E10</v>
      </c>
    </row>
    <row r="2046">
      <c r="A2046" s="4" t="s">
        <v>10</v>
      </c>
      <c r="B2046" s="5">
        <v>44559.0</v>
      </c>
      <c r="C2046" s="6">
        <v>477.48</v>
      </c>
      <c r="D2046" s="13">
        <f>+0.61</f>
        <v>0.61</v>
      </c>
      <c r="E2046" s="14">
        <f>+0.13%</f>
        <v>0.0013</v>
      </c>
      <c r="F2046" s="6">
        <v>476.98</v>
      </c>
      <c r="G2046" s="6">
        <v>475.92</v>
      </c>
      <c r="H2046" s="6">
        <v>478.56</v>
      </c>
      <c r="I2046" s="9">
        <v>5.4502964E7</v>
      </c>
      <c r="J2046" s="6">
        <v>2.6012169456E10</v>
      </c>
    </row>
    <row r="2047">
      <c r="A2047" s="4" t="s">
        <v>10</v>
      </c>
      <c r="B2047" s="5">
        <v>44560.0</v>
      </c>
      <c r="C2047" s="6">
        <v>476.16</v>
      </c>
      <c r="D2047" s="11">
        <v>-1.32</v>
      </c>
      <c r="E2047" s="12">
        <v>-0.0028</v>
      </c>
      <c r="F2047" s="6">
        <v>477.93</v>
      </c>
      <c r="G2047" s="6">
        <v>475.67</v>
      </c>
      <c r="H2047" s="6">
        <v>479.0</v>
      </c>
      <c r="I2047" s="9">
        <v>5.5329041E7</v>
      </c>
      <c r="J2047" s="6">
        <v>2.641733006E10</v>
      </c>
    </row>
    <row r="2048">
      <c r="A2048" s="4" t="s">
        <v>10</v>
      </c>
      <c r="B2048" s="5">
        <v>44561.0</v>
      </c>
      <c r="C2048" s="6">
        <v>474.96</v>
      </c>
      <c r="D2048" s="11">
        <v>-1.2</v>
      </c>
      <c r="E2048" s="12">
        <v>-0.0025</v>
      </c>
      <c r="F2048" s="6">
        <v>475.64</v>
      </c>
      <c r="G2048" s="6">
        <v>474.67</v>
      </c>
      <c r="H2048" s="6">
        <v>476.86</v>
      </c>
      <c r="I2048" s="9">
        <v>6.5237431E7</v>
      </c>
      <c r="J2048" s="6">
        <v>3.1028081104E10</v>
      </c>
    </row>
    <row r="2049">
      <c r="A2049" s="4" t="s">
        <v>10</v>
      </c>
      <c r="B2049" s="5">
        <v>44564.0</v>
      </c>
      <c r="C2049" s="6">
        <v>477.71</v>
      </c>
      <c r="D2049" s="13">
        <f>+2.75</f>
        <v>2.75</v>
      </c>
      <c r="E2049" s="14">
        <f>+0.58%</f>
        <v>0.0058</v>
      </c>
      <c r="F2049" s="6">
        <v>476.3</v>
      </c>
      <c r="G2049" s="6">
        <v>473.85</v>
      </c>
      <c r="H2049" s="6">
        <v>477.85</v>
      </c>
      <c r="I2049" s="9">
        <v>7.2668233E7</v>
      </c>
      <c r="J2049" s="6">
        <v>3.4628376936E10</v>
      </c>
    </row>
    <row r="2050">
      <c r="A2050" s="4" t="s">
        <v>10</v>
      </c>
      <c r="B2050" s="5">
        <v>44565.0</v>
      </c>
      <c r="C2050" s="6">
        <v>477.55</v>
      </c>
      <c r="D2050" s="11">
        <v>-0.16</v>
      </c>
      <c r="E2050" s="12">
        <v>-3.0E-4</v>
      </c>
      <c r="F2050" s="6">
        <v>479.22</v>
      </c>
      <c r="G2050" s="6">
        <v>475.58</v>
      </c>
      <c r="H2050" s="6">
        <v>479.98</v>
      </c>
      <c r="I2050" s="9">
        <v>7.1178678E7</v>
      </c>
      <c r="J2050" s="6">
        <v>3.401410468E10</v>
      </c>
    </row>
    <row r="2051">
      <c r="A2051" s="4" t="s">
        <v>10</v>
      </c>
      <c r="B2051" s="5">
        <v>44566.0</v>
      </c>
      <c r="C2051" s="6">
        <v>468.38</v>
      </c>
      <c r="D2051" s="11">
        <v>-9.17</v>
      </c>
      <c r="E2051" s="12">
        <v>-0.0192</v>
      </c>
      <c r="F2051" s="6">
        <v>477.16</v>
      </c>
      <c r="G2051" s="6">
        <v>468.28</v>
      </c>
      <c r="H2051" s="6">
        <v>477.98</v>
      </c>
      <c r="I2051" s="9">
        <v>1.0453894E8</v>
      </c>
      <c r="J2051" s="6">
        <v>4.9471262229E10</v>
      </c>
    </row>
    <row r="2052">
      <c r="A2052" s="4" t="s">
        <v>10</v>
      </c>
      <c r="B2052" s="5">
        <v>44567.0</v>
      </c>
      <c r="C2052" s="6">
        <v>467.94</v>
      </c>
      <c r="D2052" s="11">
        <v>-0.44</v>
      </c>
      <c r="E2052" s="12">
        <v>-9.0E-4</v>
      </c>
      <c r="F2052" s="6">
        <v>467.89</v>
      </c>
      <c r="G2052" s="6">
        <v>465.43</v>
      </c>
      <c r="H2052" s="6">
        <v>470.82</v>
      </c>
      <c r="I2052" s="9">
        <v>8.68589E7</v>
      </c>
      <c r="J2052" s="6">
        <v>4.069195765E10</v>
      </c>
    </row>
    <row r="2053">
      <c r="A2053" s="4" t="s">
        <v>10</v>
      </c>
      <c r="B2053" s="5">
        <v>44568.0</v>
      </c>
      <c r="C2053" s="6">
        <v>466.09</v>
      </c>
      <c r="D2053" s="11">
        <v>-1.85</v>
      </c>
      <c r="E2053" s="12">
        <v>-0.004</v>
      </c>
      <c r="F2053" s="6">
        <v>467.95</v>
      </c>
      <c r="G2053" s="6">
        <v>464.65</v>
      </c>
      <c r="H2053" s="6">
        <v>469.2</v>
      </c>
      <c r="I2053" s="9">
        <v>8.5111593E7</v>
      </c>
      <c r="J2053" s="6">
        <v>3.9741922856E10</v>
      </c>
    </row>
    <row r="2054">
      <c r="A2054" s="4" t="s">
        <v>10</v>
      </c>
      <c r="B2054" s="5">
        <v>44571.0</v>
      </c>
      <c r="C2054" s="6">
        <v>465.51</v>
      </c>
      <c r="D2054" s="11">
        <v>-0.58</v>
      </c>
      <c r="E2054" s="12">
        <v>-0.0012</v>
      </c>
      <c r="F2054" s="6">
        <v>462.7</v>
      </c>
      <c r="G2054" s="6">
        <v>456.6</v>
      </c>
      <c r="H2054" s="6">
        <v>465.74</v>
      </c>
      <c r="I2054" s="9">
        <v>1.19361989E8</v>
      </c>
      <c r="J2054" s="6">
        <v>5.5096352145E10</v>
      </c>
    </row>
    <row r="2055">
      <c r="A2055" s="4" t="s">
        <v>10</v>
      </c>
      <c r="B2055" s="5">
        <v>44572.0</v>
      </c>
      <c r="C2055" s="6">
        <v>469.75</v>
      </c>
      <c r="D2055" s="13">
        <f>+4.24</f>
        <v>4.24</v>
      </c>
      <c r="E2055" s="14">
        <f>+0.91%</f>
        <v>0.0091</v>
      </c>
      <c r="F2055" s="6">
        <v>465.23</v>
      </c>
      <c r="G2055" s="6">
        <v>462.05</v>
      </c>
      <c r="H2055" s="6">
        <v>469.85</v>
      </c>
      <c r="I2055" s="9">
        <v>7.4303062E7</v>
      </c>
      <c r="J2055" s="6">
        <v>3.4661539399E10</v>
      </c>
    </row>
    <row r="2056">
      <c r="A2056" s="4" t="s">
        <v>10</v>
      </c>
      <c r="B2056" s="5">
        <v>44573.0</v>
      </c>
      <c r="C2056" s="6">
        <v>471.02</v>
      </c>
      <c r="D2056" s="13">
        <f>+1.27</f>
        <v>1.27</v>
      </c>
      <c r="E2056" s="14">
        <f>+0.27%</f>
        <v>0.0027</v>
      </c>
      <c r="F2056" s="6">
        <v>471.59</v>
      </c>
      <c r="G2056" s="6">
        <v>468.94</v>
      </c>
      <c r="H2056" s="6">
        <v>473.2</v>
      </c>
      <c r="I2056" s="9">
        <v>6.7605444E7</v>
      </c>
      <c r="J2056" s="6">
        <v>3.1841859687E10</v>
      </c>
    </row>
    <row r="2057">
      <c r="A2057" s="4" t="s">
        <v>10</v>
      </c>
      <c r="B2057" s="5">
        <v>44574.0</v>
      </c>
      <c r="C2057" s="6">
        <v>464.53</v>
      </c>
      <c r="D2057" s="11">
        <v>-6.49</v>
      </c>
      <c r="E2057" s="12">
        <v>-0.0138</v>
      </c>
      <c r="F2057" s="6">
        <v>472.19</v>
      </c>
      <c r="G2057" s="6">
        <v>463.44</v>
      </c>
      <c r="H2057" s="6">
        <v>472.88</v>
      </c>
      <c r="I2057" s="9">
        <v>9.1173121E7</v>
      </c>
      <c r="J2057" s="6">
        <v>4.2663326521E10</v>
      </c>
    </row>
    <row r="2058">
      <c r="A2058" s="4" t="s">
        <v>10</v>
      </c>
      <c r="B2058" s="5">
        <v>44575.0</v>
      </c>
      <c r="C2058" s="6">
        <v>464.72</v>
      </c>
      <c r="D2058" s="13">
        <f>+0.19</f>
        <v>0.19</v>
      </c>
      <c r="E2058" s="14">
        <f>+0.04%</f>
        <v>0.0004</v>
      </c>
      <c r="F2058" s="6">
        <v>461.19</v>
      </c>
      <c r="G2058" s="6">
        <v>459.9</v>
      </c>
      <c r="H2058" s="6">
        <v>465.09</v>
      </c>
      <c r="I2058" s="9">
        <v>9.5890948E7</v>
      </c>
      <c r="J2058" s="6">
        <v>4.4392598422E10</v>
      </c>
    </row>
    <row r="2059">
      <c r="A2059" s="4" t="s">
        <v>10</v>
      </c>
      <c r="B2059" s="5">
        <v>44578.0</v>
      </c>
      <c r="C2059" s="10"/>
      <c r="D2059" s="7"/>
      <c r="E2059" s="8"/>
      <c r="F2059" s="10"/>
      <c r="G2059" s="10"/>
      <c r="H2059" s="10"/>
      <c r="I2059" s="15"/>
      <c r="J2059" s="10"/>
    </row>
    <row r="2060">
      <c r="A2060" s="4" t="s">
        <v>10</v>
      </c>
      <c r="B2060" s="5">
        <v>44579.0</v>
      </c>
      <c r="C2060" s="6">
        <v>456.49</v>
      </c>
      <c r="D2060" s="11">
        <v>-8.23</v>
      </c>
      <c r="E2060" s="12">
        <v>-0.0177</v>
      </c>
      <c r="F2060" s="6">
        <v>459.74</v>
      </c>
      <c r="G2060" s="6">
        <v>455.31</v>
      </c>
      <c r="H2060" s="6">
        <v>459.96</v>
      </c>
      <c r="I2060" s="9">
        <v>1.09872376E8</v>
      </c>
      <c r="J2060" s="6">
        <v>5.0318049403E10</v>
      </c>
    </row>
    <row r="2061">
      <c r="A2061" s="4" t="s">
        <v>10</v>
      </c>
      <c r="B2061" s="5">
        <v>44580.0</v>
      </c>
      <c r="C2061" s="6">
        <v>451.75</v>
      </c>
      <c r="D2061" s="11">
        <v>-4.74</v>
      </c>
      <c r="E2061" s="12">
        <v>-0.0104</v>
      </c>
      <c r="F2061" s="6">
        <v>458.13</v>
      </c>
      <c r="G2061" s="6">
        <v>451.46</v>
      </c>
      <c r="H2061" s="6">
        <v>459.61</v>
      </c>
      <c r="I2061" s="9">
        <v>1.09357569E8</v>
      </c>
      <c r="J2061" s="6">
        <v>4.9811709672E10</v>
      </c>
    </row>
    <row r="2062">
      <c r="A2062" s="4" t="s">
        <v>10</v>
      </c>
      <c r="B2062" s="5">
        <v>44581.0</v>
      </c>
      <c r="C2062" s="6">
        <v>446.75</v>
      </c>
      <c r="D2062" s="11">
        <v>-5.0</v>
      </c>
      <c r="E2062" s="12">
        <v>-0.0111</v>
      </c>
      <c r="F2062" s="6">
        <v>453.75</v>
      </c>
      <c r="G2062" s="6">
        <v>444.5</v>
      </c>
      <c r="H2062" s="6">
        <v>458.74</v>
      </c>
      <c r="I2062" s="9">
        <v>1.22379696E8</v>
      </c>
      <c r="J2062" s="6">
        <v>5.5361656506E10</v>
      </c>
    </row>
    <row r="2063">
      <c r="A2063" s="4" t="s">
        <v>10</v>
      </c>
      <c r="B2063" s="5">
        <v>44582.0</v>
      </c>
      <c r="C2063" s="6">
        <v>437.98</v>
      </c>
      <c r="D2063" s="11">
        <v>-8.77</v>
      </c>
      <c r="E2063" s="12">
        <v>-0.0196</v>
      </c>
      <c r="F2063" s="6">
        <v>445.56</v>
      </c>
      <c r="G2063" s="6">
        <v>437.95</v>
      </c>
      <c r="H2063" s="6">
        <v>448.06</v>
      </c>
      <c r="I2063" s="9">
        <v>2.02271241E8</v>
      </c>
      <c r="J2063" s="6">
        <v>8.9513058958E10</v>
      </c>
    </row>
    <row r="2064">
      <c r="A2064" s="4" t="s">
        <v>10</v>
      </c>
      <c r="B2064" s="5">
        <v>44585.0</v>
      </c>
      <c r="C2064" s="6">
        <v>439.84</v>
      </c>
      <c r="D2064" s="13">
        <f>+1.86</f>
        <v>1.86</v>
      </c>
      <c r="E2064" s="14">
        <f>+0.42%</f>
        <v>0.0042</v>
      </c>
      <c r="F2064" s="6">
        <v>432.03</v>
      </c>
      <c r="G2064" s="6">
        <v>420.76</v>
      </c>
      <c r="H2064" s="6">
        <v>440.38</v>
      </c>
      <c r="I2064" s="9">
        <v>2.52496719E8</v>
      </c>
      <c r="J2064" s="6">
        <v>1.08758218678E11</v>
      </c>
    </row>
    <row r="2065">
      <c r="A2065" s="4" t="s">
        <v>10</v>
      </c>
      <c r="B2065" s="5">
        <v>44586.0</v>
      </c>
      <c r="C2065" s="6">
        <v>434.47</v>
      </c>
      <c r="D2065" s="11">
        <v>-5.37</v>
      </c>
      <c r="E2065" s="12">
        <v>-0.0122</v>
      </c>
      <c r="F2065" s="6">
        <v>433.06</v>
      </c>
      <c r="G2065" s="6">
        <v>427.15</v>
      </c>
      <c r="H2065" s="6">
        <v>439.72</v>
      </c>
      <c r="I2065" s="9">
        <v>1.67997325E8</v>
      </c>
      <c r="J2065" s="6">
        <v>7.2858630423E10</v>
      </c>
    </row>
    <row r="2066">
      <c r="A2066" s="4" t="s">
        <v>10</v>
      </c>
      <c r="B2066" s="5">
        <v>44587.0</v>
      </c>
      <c r="C2066" s="6">
        <v>433.38</v>
      </c>
      <c r="D2066" s="11">
        <v>-1.09</v>
      </c>
      <c r="E2066" s="12">
        <v>-0.0025</v>
      </c>
      <c r="F2066" s="6">
        <v>440.72</v>
      </c>
      <c r="G2066" s="6">
        <v>428.86</v>
      </c>
      <c r="H2066" s="6">
        <v>444.04</v>
      </c>
      <c r="I2066" s="9">
        <v>1.86391088E8</v>
      </c>
      <c r="J2066" s="6">
        <v>8.1478024674E10</v>
      </c>
    </row>
    <row r="2067">
      <c r="A2067" s="4" t="s">
        <v>10</v>
      </c>
      <c r="B2067" s="5">
        <v>44588.0</v>
      </c>
      <c r="C2067" s="6">
        <v>431.24</v>
      </c>
      <c r="D2067" s="11">
        <v>-2.14</v>
      </c>
      <c r="E2067" s="12">
        <v>-0.0049</v>
      </c>
      <c r="F2067" s="6">
        <v>438.26</v>
      </c>
      <c r="G2067" s="6">
        <v>429.45</v>
      </c>
      <c r="H2067" s="6">
        <v>441.59</v>
      </c>
      <c r="I2067" s="9">
        <v>1.49878307E8</v>
      </c>
      <c r="J2067" s="6">
        <v>6.5136639445E10</v>
      </c>
    </row>
    <row r="2068">
      <c r="A2068" s="4" t="s">
        <v>10</v>
      </c>
      <c r="B2068" s="5">
        <v>44589.0</v>
      </c>
      <c r="C2068" s="6">
        <v>441.95</v>
      </c>
      <c r="D2068" s="13">
        <f>+10.71</f>
        <v>10.71</v>
      </c>
      <c r="E2068" s="14">
        <f>+2.48%</f>
        <v>0.0248</v>
      </c>
      <c r="F2068" s="6">
        <v>432.68</v>
      </c>
      <c r="G2068" s="6">
        <v>427.82</v>
      </c>
      <c r="H2068" s="6">
        <v>442.0</v>
      </c>
      <c r="I2068" s="9">
        <v>1.6445737E8</v>
      </c>
      <c r="J2068" s="6">
        <v>7.1597148736E10</v>
      </c>
    </row>
    <row r="2069">
      <c r="A2069" s="4" t="s">
        <v>10</v>
      </c>
      <c r="B2069" s="5">
        <v>44592.0</v>
      </c>
      <c r="C2069" s="6">
        <v>449.91</v>
      </c>
      <c r="D2069" s="13">
        <f>+7.96</f>
        <v>7.96</v>
      </c>
      <c r="E2069" s="14">
        <f>+1.8%</f>
        <v>0.018</v>
      </c>
      <c r="F2069" s="6">
        <v>441.24</v>
      </c>
      <c r="G2069" s="6">
        <v>439.81</v>
      </c>
      <c r="H2069" s="6">
        <v>450.28</v>
      </c>
      <c r="I2069" s="9">
        <v>1.52251425E8</v>
      </c>
      <c r="J2069" s="6">
        <v>6.7889438961E10</v>
      </c>
    </row>
    <row r="2070">
      <c r="A2070" s="4" t="s">
        <v>10</v>
      </c>
      <c r="B2070" s="5">
        <v>44593.0</v>
      </c>
      <c r="C2070" s="6">
        <v>452.95</v>
      </c>
      <c r="D2070" s="13">
        <f>+3.04</f>
        <v>3.04</v>
      </c>
      <c r="E2070" s="14">
        <f>+0.68%</f>
        <v>0.0068</v>
      </c>
      <c r="F2070" s="6">
        <v>450.68</v>
      </c>
      <c r="G2070" s="6">
        <v>446.94</v>
      </c>
      <c r="H2070" s="6">
        <v>453.63</v>
      </c>
      <c r="I2070" s="9">
        <v>1.23155382E8</v>
      </c>
      <c r="J2070" s="6">
        <v>5.5507800845E10</v>
      </c>
    </row>
    <row r="2071">
      <c r="A2071" s="4" t="s">
        <v>10</v>
      </c>
      <c r="B2071" s="5">
        <v>44594.0</v>
      </c>
      <c r="C2071" s="6">
        <v>457.35</v>
      </c>
      <c r="D2071" s="13">
        <f>+4.4</f>
        <v>4.4</v>
      </c>
      <c r="E2071" s="14">
        <f>+0.97%</f>
        <v>0.0097</v>
      </c>
      <c r="F2071" s="6">
        <v>455.5</v>
      </c>
      <c r="G2071" s="6">
        <v>453.05</v>
      </c>
      <c r="H2071" s="6">
        <v>458.12</v>
      </c>
      <c r="I2071" s="9">
        <v>1.17360953E8</v>
      </c>
      <c r="J2071" s="6">
        <v>5.347605361E10</v>
      </c>
    </row>
    <row r="2072">
      <c r="A2072" s="4" t="s">
        <v>10</v>
      </c>
      <c r="B2072" s="5">
        <v>44595.0</v>
      </c>
      <c r="C2072" s="6">
        <v>446.6</v>
      </c>
      <c r="D2072" s="11">
        <v>-10.75</v>
      </c>
      <c r="E2072" s="12">
        <v>-0.0235</v>
      </c>
      <c r="F2072" s="6">
        <v>450.95</v>
      </c>
      <c r="G2072" s="6">
        <v>445.71</v>
      </c>
      <c r="H2072" s="6">
        <v>452.97</v>
      </c>
      <c r="I2072" s="9">
        <v>1.18024442E8</v>
      </c>
      <c r="J2072" s="6">
        <v>5.309057536E10</v>
      </c>
    </row>
    <row r="2073">
      <c r="A2073" s="4" t="s">
        <v>10</v>
      </c>
      <c r="B2073" s="5">
        <v>44596.0</v>
      </c>
      <c r="C2073" s="6">
        <v>448.7</v>
      </c>
      <c r="D2073" s="13">
        <f>+2.1</f>
        <v>2.1</v>
      </c>
      <c r="E2073" s="14">
        <f>+0.47%</f>
        <v>0.0047</v>
      </c>
      <c r="F2073" s="6">
        <v>446.35</v>
      </c>
      <c r="G2073" s="6">
        <v>443.83</v>
      </c>
      <c r="H2073" s="6">
        <v>452.78</v>
      </c>
      <c r="I2073" s="9">
        <v>1.18454352E8</v>
      </c>
      <c r="J2073" s="6">
        <v>5.3105767822E10</v>
      </c>
    </row>
    <row r="2074">
      <c r="A2074" s="4" t="s">
        <v>10</v>
      </c>
      <c r="B2074" s="5">
        <v>44599.0</v>
      </c>
      <c r="C2074" s="6">
        <v>447.26</v>
      </c>
      <c r="D2074" s="11">
        <v>-1.44</v>
      </c>
      <c r="E2074" s="12">
        <v>-0.0032</v>
      </c>
      <c r="F2074" s="6">
        <v>449.51</v>
      </c>
      <c r="G2074" s="6">
        <v>445.85</v>
      </c>
      <c r="H2074" s="6">
        <v>450.99</v>
      </c>
      <c r="I2074" s="9">
        <v>8.4472859E7</v>
      </c>
      <c r="J2074" s="6">
        <v>3.7896200281E10</v>
      </c>
    </row>
    <row r="2075">
      <c r="A2075" s="4" t="s">
        <v>10</v>
      </c>
      <c r="B2075" s="5">
        <v>44600.0</v>
      </c>
      <c r="C2075" s="6">
        <v>450.94</v>
      </c>
      <c r="D2075" s="13">
        <f>+3.68</f>
        <v>3.68</v>
      </c>
      <c r="E2075" s="14">
        <f>+0.82%</f>
        <v>0.0082</v>
      </c>
      <c r="F2075" s="6">
        <v>446.73</v>
      </c>
      <c r="G2075" s="6">
        <v>445.22</v>
      </c>
      <c r="H2075" s="6">
        <v>451.92</v>
      </c>
      <c r="I2075" s="9">
        <v>8.1012036E7</v>
      </c>
      <c r="J2075" s="6">
        <v>3.638103419E10</v>
      </c>
    </row>
    <row r="2076">
      <c r="A2076" s="4" t="s">
        <v>10</v>
      </c>
      <c r="B2076" s="5">
        <v>44601.0</v>
      </c>
      <c r="C2076" s="6">
        <v>457.54</v>
      </c>
      <c r="D2076" s="13">
        <f>+6.6</f>
        <v>6.6</v>
      </c>
      <c r="E2076" s="14">
        <f>+1.46%</f>
        <v>0.0146</v>
      </c>
      <c r="F2076" s="6">
        <v>455.22</v>
      </c>
      <c r="G2076" s="6">
        <v>455.01</v>
      </c>
      <c r="H2076" s="6">
        <v>457.88</v>
      </c>
      <c r="I2076" s="9">
        <v>9.2589929E7</v>
      </c>
      <c r="J2076" s="6">
        <v>4.2214564938E10</v>
      </c>
    </row>
    <row r="2077">
      <c r="A2077" s="4" t="s">
        <v>10</v>
      </c>
      <c r="B2077" s="5">
        <v>44602.0</v>
      </c>
      <c r="C2077" s="6">
        <v>449.32</v>
      </c>
      <c r="D2077" s="11">
        <v>-8.22</v>
      </c>
      <c r="E2077" s="12">
        <v>-0.018</v>
      </c>
      <c r="F2077" s="6">
        <v>451.34</v>
      </c>
      <c r="G2077" s="6">
        <v>447.2</v>
      </c>
      <c r="H2077" s="6">
        <v>457.71</v>
      </c>
      <c r="I2077" s="9">
        <v>1.40103712E8</v>
      </c>
      <c r="J2077" s="6">
        <v>6.345467197E10</v>
      </c>
    </row>
    <row r="2078">
      <c r="A2078" s="4" t="s">
        <v>10</v>
      </c>
      <c r="B2078" s="5">
        <v>44603.0</v>
      </c>
      <c r="C2078" s="6">
        <v>440.46</v>
      </c>
      <c r="D2078" s="11">
        <v>-8.86</v>
      </c>
      <c r="E2078" s="12">
        <v>-0.0197</v>
      </c>
      <c r="F2078" s="6">
        <v>449.41</v>
      </c>
      <c r="G2078" s="6">
        <v>438.94</v>
      </c>
      <c r="H2078" s="6">
        <v>451.61</v>
      </c>
      <c r="I2078" s="9">
        <v>1.53214597E8</v>
      </c>
      <c r="J2078" s="6">
        <v>6.8053318337E10</v>
      </c>
    </row>
    <row r="2079">
      <c r="A2079" s="4" t="s">
        <v>10</v>
      </c>
      <c r="B2079" s="5">
        <v>44606.0</v>
      </c>
      <c r="C2079" s="6">
        <v>439.02</v>
      </c>
      <c r="D2079" s="11">
        <v>-1.44</v>
      </c>
      <c r="E2079" s="12">
        <v>-0.0033</v>
      </c>
      <c r="F2079" s="6">
        <v>439.92</v>
      </c>
      <c r="G2079" s="6">
        <v>435.34</v>
      </c>
      <c r="H2079" s="6">
        <v>441.6</v>
      </c>
      <c r="I2079" s="9">
        <v>1.23006262E8</v>
      </c>
      <c r="J2079" s="6">
        <v>5.3988071825E10</v>
      </c>
    </row>
    <row r="2080">
      <c r="A2080" s="4" t="s">
        <v>10</v>
      </c>
      <c r="B2080" s="5">
        <v>44607.0</v>
      </c>
      <c r="C2080" s="6">
        <v>446.1</v>
      </c>
      <c r="D2080" s="13">
        <f>+7.08</f>
        <v>7.08</v>
      </c>
      <c r="E2080" s="14">
        <f>+1.61%</f>
        <v>0.0161</v>
      </c>
      <c r="F2080" s="6">
        <v>443.73</v>
      </c>
      <c r="G2080" s="6">
        <v>443.18</v>
      </c>
      <c r="H2080" s="6">
        <v>446.28</v>
      </c>
      <c r="I2080" s="9">
        <v>8.8659503E7</v>
      </c>
      <c r="J2080" s="6">
        <v>3.942504482E10</v>
      </c>
    </row>
    <row r="2081">
      <c r="A2081" s="4" t="s">
        <v>10</v>
      </c>
      <c r="B2081" s="5">
        <v>44608.0</v>
      </c>
      <c r="C2081" s="6">
        <v>446.6</v>
      </c>
      <c r="D2081" s="13">
        <f>+0.5</f>
        <v>0.5</v>
      </c>
      <c r="E2081" s="14">
        <f>+0.11%</f>
        <v>0.0011</v>
      </c>
      <c r="F2081" s="6">
        <v>443.93</v>
      </c>
      <c r="G2081" s="6">
        <v>441.94</v>
      </c>
      <c r="H2081" s="6">
        <v>448.06</v>
      </c>
      <c r="I2081" s="9">
        <v>8.4863585E7</v>
      </c>
      <c r="J2081" s="6">
        <v>3.7761706984E10</v>
      </c>
    </row>
    <row r="2082">
      <c r="A2082" s="4" t="s">
        <v>10</v>
      </c>
      <c r="B2082" s="5">
        <v>44609.0</v>
      </c>
      <c r="C2082" s="6">
        <v>437.06</v>
      </c>
      <c r="D2082" s="11">
        <v>-9.54</v>
      </c>
      <c r="E2082" s="12">
        <v>-0.0214</v>
      </c>
      <c r="F2082" s="6">
        <v>443.22</v>
      </c>
      <c r="G2082" s="6">
        <v>436.42</v>
      </c>
      <c r="H2082" s="6">
        <v>446.57</v>
      </c>
      <c r="I2082" s="9">
        <v>1.02259108E8</v>
      </c>
      <c r="J2082" s="6">
        <v>4.4991844784E10</v>
      </c>
    </row>
    <row r="2083">
      <c r="A2083" s="4" t="s">
        <v>10</v>
      </c>
      <c r="B2083" s="5">
        <v>44610.0</v>
      </c>
      <c r="C2083" s="6">
        <v>434.23</v>
      </c>
      <c r="D2083" s="11">
        <v>-2.83</v>
      </c>
      <c r="E2083" s="12">
        <v>-0.0065</v>
      </c>
      <c r="F2083" s="6">
        <v>437.33</v>
      </c>
      <c r="G2083" s="6">
        <v>431.82</v>
      </c>
      <c r="H2083" s="6">
        <v>438.66</v>
      </c>
      <c r="I2083" s="9">
        <v>1.32642896E8</v>
      </c>
      <c r="J2083" s="6">
        <v>5.7730133396E10</v>
      </c>
    </row>
    <row r="2084">
      <c r="A2084" s="4" t="s">
        <v>10</v>
      </c>
      <c r="B2084" s="5">
        <v>44613.0</v>
      </c>
      <c r="C2084" s="10"/>
      <c r="D2084" s="7"/>
      <c r="E2084" s="8"/>
      <c r="F2084" s="10"/>
      <c r="G2084" s="10"/>
      <c r="H2084" s="10"/>
      <c r="I2084" s="15"/>
      <c r="J2084" s="10"/>
    </row>
    <row r="2085">
      <c r="A2085" s="4" t="s">
        <v>10</v>
      </c>
      <c r="B2085" s="5">
        <v>44614.0</v>
      </c>
      <c r="C2085" s="6">
        <v>429.57</v>
      </c>
      <c r="D2085" s="11">
        <v>-4.66</v>
      </c>
      <c r="E2085" s="12">
        <v>-0.0107</v>
      </c>
      <c r="F2085" s="6">
        <v>431.89</v>
      </c>
      <c r="G2085" s="6">
        <v>425.86</v>
      </c>
      <c r="H2085" s="6">
        <v>435.5</v>
      </c>
      <c r="I2085" s="9">
        <v>1.2439183E8</v>
      </c>
      <c r="J2085" s="6">
        <v>5.3576416067E10</v>
      </c>
    </row>
    <row r="2086">
      <c r="A2086" s="4" t="s">
        <v>10</v>
      </c>
      <c r="B2086" s="5">
        <v>44615.0</v>
      </c>
      <c r="C2086" s="6">
        <v>421.95</v>
      </c>
      <c r="D2086" s="11">
        <v>-7.62</v>
      </c>
      <c r="E2086" s="12">
        <v>-0.0177</v>
      </c>
      <c r="F2086" s="6">
        <v>432.66</v>
      </c>
      <c r="G2086" s="6">
        <v>421.35</v>
      </c>
      <c r="H2086" s="6">
        <v>433.26</v>
      </c>
      <c r="I2086" s="9">
        <v>1.32578005E8</v>
      </c>
      <c r="J2086" s="6">
        <v>5.646652584E10</v>
      </c>
    </row>
    <row r="2087">
      <c r="A2087" s="4" t="s">
        <v>10</v>
      </c>
      <c r="B2087" s="5">
        <v>44616.0</v>
      </c>
      <c r="C2087" s="6">
        <v>428.3</v>
      </c>
      <c r="D2087" s="13">
        <f>+6.35</f>
        <v>6.35</v>
      </c>
      <c r="E2087" s="14">
        <f>+1.5%</f>
        <v>0.015</v>
      </c>
      <c r="F2087" s="6">
        <v>411.02</v>
      </c>
      <c r="G2087" s="6">
        <v>410.64</v>
      </c>
      <c r="H2087" s="6">
        <v>428.76</v>
      </c>
      <c r="I2087" s="9">
        <v>2.13942946E8</v>
      </c>
      <c r="J2087" s="6">
        <v>8.9802470766E10</v>
      </c>
    </row>
    <row r="2088">
      <c r="A2088" s="4" t="s">
        <v>10</v>
      </c>
      <c r="B2088" s="5">
        <v>44617.0</v>
      </c>
      <c r="C2088" s="6">
        <v>437.75</v>
      </c>
      <c r="D2088" s="13">
        <f>+9.45</f>
        <v>9.45</v>
      </c>
      <c r="E2088" s="14">
        <f>+2.21%</f>
        <v>0.0221</v>
      </c>
      <c r="F2088" s="6">
        <v>429.61</v>
      </c>
      <c r="G2088" s="6">
        <v>427.86</v>
      </c>
      <c r="H2088" s="6">
        <v>437.84</v>
      </c>
      <c r="I2088" s="9">
        <v>1.21804459E8</v>
      </c>
      <c r="J2088" s="6">
        <v>5.2905386271E10</v>
      </c>
    </row>
    <row r="2089">
      <c r="A2089" s="4" t="s">
        <v>10</v>
      </c>
      <c r="B2089" s="5">
        <v>44620.0</v>
      </c>
      <c r="C2089" s="6">
        <v>436.63</v>
      </c>
      <c r="D2089" s="11">
        <v>-1.12</v>
      </c>
      <c r="E2089" s="12">
        <v>-0.0026</v>
      </c>
      <c r="F2089" s="6">
        <v>432.03</v>
      </c>
      <c r="G2089" s="6">
        <v>430.7</v>
      </c>
      <c r="H2089" s="6">
        <v>438.2</v>
      </c>
      <c r="I2089" s="9">
        <v>1.45615029E8</v>
      </c>
      <c r="J2089" s="6">
        <v>6.328025308E10</v>
      </c>
    </row>
    <row r="2090">
      <c r="A2090" s="4" t="s">
        <v>10</v>
      </c>
      <c r="B2090" s="5">
        <v>44621.0</v>
      </c>
      <c r="C2090" s="6">
        <v>429.98</v>
      </c>
      <c r="D2090" s="11">
        <v>-6.65</v>
      </c>
      <c r="E2090" s="12">
        <v>-0.0152</v>
      </c>
      <c r="F2090" s="6">
        <v>435.04</v>
      </c>
      <c r="G2090" s="6">
        <v>427.11</v>
      </c>
      <c r="H2090" s="6">
        <v>437.17</v>
      </c>
      <c r="I2090" s="9">
        <v>1.37785908E8</v>
      </c>
      <c r="J2090" s="6">
        <v>5.9477485834E10</v>
      </c>
    </row>
    <row r="2091">
      <c r="A2091" s="4" t="s">
        <v>10</v>
      </c>
      <c r="B2091" s="5">
        <v>44622.0</v>
      </c>
      <c r="C2091" s="6">
        <v>437.89</v>
      </c>
      <c r="D2091" s="13">
        <f>+7.91</f>
        <v>7.91</v>
      </c>
      <c r="E2091" s="14">
        <f>+1.84%</f>
        <v>0.0184</v>
      </c>
      <c r="F2091" s="6">
        <v>432.37</v>
      </c>
      <c r="G2091" s="6">
        <v>431.57</v>
      </c>
      <c r="H2091" s="6">
        <v>439.72</v>
      </c>
      <c r="I2091" s="9">
        <v>1.17726525E8</v>
      </c>
      <c r="J2091" s="6">
        <v>5.135581882E10</v>
      </c>
    </row>
    <row r="2092">
      <c r="A2092" s="4" t="s">
        <v>10</v>
      </c>
      <c r="B2092" s="5">
        <v>44623.0</v>
      </c>
      <c r="C2092" s="6">
        <v>435.71</v>
      </c>
      <c r="D2092" s="11">
        <v>-2.18</v>
      </c>
      <c r="E2092" s="12">
        <v>-0.005</v>
      </c>
      <c r="F2092" s="6">
        <v>440.47</v>
      </c>
      <c r="G2092" s="6">
        <v>433.8</v>
      </c>
      <c r="H2092" s="6">
        <v>441.11</v>
      </c>
      <c r="I2092" s="9">
        <v>1.05501715E8</v>
      </c>
      <c r="J2092" s="6">
        <v>4.6094591546E10</v>
      </c>
    </row>
    <row r="2093">
      <c r="A2093" s="4" t="s">
        <v>10</v>
      </c>
      <c r="B2093" s="5">
        <v>44624.0</v>
      </c>
      <c r="C2093" s="6">
        <v>432.17</v>
      </c>
      <c r="D2093" s="11">
        <v>-3.54</v>
      </c>
      <c r="E2093" s="12">
        <v>-0.0081</v>
      </c>
      <c r="F2093" s="6">
        <v>431.75</v>
      </c>
      <c r="G2093" s="6">
        <v>427.88</v>
      </c>
      <c r="H2093" s="6">
        <v>433.37</v>
      </c>
      <c r="I2093" s="9">
        <v>1.14083256E8</v>
      </c>
      <c r="J2093" s="6">
        <v>4.9160862779E10</v>
      </c>
    </row>
    <row r="2094">
      <c r="A2094" s="4" t="s">
        <v>10</v>
      </c>
      <c r="B2094" s="5">
        <v>44627.0</v>
      </c>
      <c r="C2094" s="6">
        <v>419.43</v>
      </c>
      <c r="D2094" s="11">
        <v>-12.74</v>
      </c>
      <c r="E2094" s="12">
        <v>-0.0295</v>
      </c>
      <c r="F2094" s="6">
        <v>431.55</v>
      </c>
      <c r="G2094" s="6">
        <v>419.36</v>
      </c>
      <c r="H2094" s="6">
        <v>432.3</v>
      </c>
      <c r="I2094" s="9">
        <v>1.3789656E8</v>
      </c>
      <c r="J2094" s="6">
        <v>5.8462594258E10</v>
      </c>
    </row>
    <row r="2095">
      <c r="A2095" s="4" t="s">
        <v>10</v>
      </c>
      <c r="B2095" s="5">
        <v>44628.0</v>
      </c>
      <c r="C2095" s="6">
        <v>416.25</v>
      </c>
      <c r="D2095" s="11">
        <v>-3.18</v>
      </c>
      <c r="E2095" s="12">
        <v>-0.0076</v>
      </c>
      <c r="F2095" s="6">
        <v>419.62</v>
      </c>
      <c r="G2095" s="6">
        <v>415.12</v>
      </c>
      <c r="H2095" s="6">
        <v>427.21</v>
      </c>
      <c r="I2095" s="9">
        <v>1.64772744E8</v>
      </c>
      <c r="J2095" s="6">
        <v>6.916542909E10</v>
      </c>
    </row>
    <row r="2096">
      <c r="A2096" s="4" t="s">
        <v>10</v>
      </c>
      <c r="B2096" s="5">
        <v>44629.0</v>
      </c>
      <c r="C2096" s="6">
        <v>427.41</v>
      </c>
      <c r="D2096" s="13">
        <f>+11.16</f>
        <v>11.16</v>
      </c>
      <c r="E2096" s="14">
        <f>+2.68%</f>
        <v>0.0268</v>
      </c>
      <c r="F2096" s="6">
        <v>425.14</v>
      </c>
      <c r="G2096" s="6">
        <v>422.82</v>
      </c>
      <c r="H2096" s="6">
        <v>429.51</v>
      </c>
      <c r="I2096" s="9">
        <v>1.16990765E8</v>
      </c>
      <c r="J2096" s="6">
        <v>4.9859370004E10</v>
      </c>
    </row>
    <row r="2097">
      <c r="A2097" s="4" t="s">
        <v>10</v>
      </c>
      <c r="B2097" s="5">
        <v>44630.0</v>
      </c>
      <c r="C2097" s="6">
        <v>425.48</v>
      </c>
      <c r="D2097" s="11">
        <v>-1.93</v>
      </c>
      <c r="E2097" s="12">
        <v>-0.0045</v>
      </c>
      <c r="F2097" s="6">
        <v>422.52</v>
      </c>
      <c r="G2097" s="6">
        <v>420.44</v>
      </c>
      <c r="H2097" s="6">
        <v>426.43</v>
      </c>
      <c r="I2097" s="9">
        <v>9.3972655E7</v>
      </c>
      <c r="J2097" s="6">
        <v>3.9832806928E10</v>
      </c>
    </row>
    <row r="2098">
      <c r="A2098" s="4" t="s">
        <v>10</v>
      </c>
      <c r="B2098" s="5">
        <v>44631.0</v>
      </c>
      <c r="C2098" s="6">
        <v>420.07</v>
      </c>
      <c r="D2098" s="11">
        <v>-5.41</v>
      </c>
      <c r="E2098" s="12">
        <v>-0.0127</v>
      </c>
      <c r="F2098" s="6">
        <v>428.12</v>
      </c>
      <c r="G2098" s="6">
        <v>419.53</v>
      </c>
      <c r="H2098" s="6">
        <v>428.77</v>
      </c>
      <c r="I2098" s="9">
        <v>9.5636277E7</v>
      </c>
      <c r="J2098" s="6">
        <v>4.0545035524E10</v>
      </c>
    </row>
    <row r="2099">
      <c r="A2099" s="4" t="s">
        <v>10</v>
      </c>
      <c r="B2099" s="5">
        <v>44634.0</v>
      </c>
      <c r="C2099" s="6">
        <v>417.0</v>
      </c>
      <c r="D2099" s="11">
        <v>-3.07</v>
      </c>
      <c r="E2099" s="12">
        <v>-0.0073</v>
      </c>
      <c r="F2099" s="6">
        <v>420.89</v>
      </c>
      <c r="G2099" s="6">
        <v>415.79</v>
      </c>
      <c r="H2099" s="6">
        <v>424.55</v>
      </c>
      <c r="I2099" s="9">
        <v>9.5729188E7</v>
      </c>
      <c r="J2099" s="6">
        <v>4.0127532184E10</v>
      </c>
    </row>
    <row r="2100">
      <c r="A2100" s="4" t="s">
        <v>10</v>
      </c>
      <c r="B2100" s="5">
        <v>44635.0</v>
      </c>
      <c r="C2100" s="6">
        <v>426.17</v>
      </c>
      <c r="D2100" s="13">
        <f>+9.17</f>
        <v>9.17</v>
      </c>
      <c r="E2100" s="14">
        <f>+2.2%</f>
        <v>0.022</v>
      </c>
      <c r="F2100" s="6">
        <v>419.77</v>
      </c>
      <c r="G2100" s="6">
        <v>418.42</v>
      </c>
      <c r="H2100" s="6">
        <v>426.84</v>
      </c>
      <c r="I2100" s="9">
        <v>1.06219117E8</v>
      </c>
      <c r="J2100" s="6">
        <v>4.4905508663E10</v>
      </c>
    </row>
    <row r="2101">
      <c r="A2101" s="4" t="s">
        <v>10</v>
      </c>
      <c r="B2101" s="5">
        <v>44636.0</v>
      </c>
      <c r="C2101" s="6">
        <v>435.62</v>
      </c>
      <c r="D2101" s="13">
        <f>+9.45</f>
        <v>9.45</v>
      </c>
      <c r="E2101" s="14">
        <f>+2.22%</f>
        <v>0.0222</v>
      </c>
      <c r="F2101" s="6">
        <v>429.89</v>
      </c>
      <c r="G2101" s="6">
        <v>424.8</v>
      </c>
      <c r="H2101" s="6">
        <v>435.68</v>
      </c>
      <c r="I2101" s="9">
        <v>1.44954805E8</v>
      </c>
      <c r="J2101" s="6">
        <v>6.2532575958E10</v>
      </c>
    </row>
    <row r="2102">
      <c r="A2102" s="4" t="s">
        <v>10</v>
      </c>
      <c r="B2102" s="5">
        <v>44637.0</v>
      </c>
      <c r="C2102" s="6">
        <v>441.07</v>
      </c>
      <c r="D2102" s="13">
        <f>+5.45</f>
        <v>5.45</v>
      </c>
      <c r="E2102" s="14">
        <f>+1.25%</f>
        <v>0.0125</v>
      </c>
      <c r="F2102" s="6">
        <v>433.59</v>
      </c>
      <c r="G2102" s="6">
        <v>433.19</v>
      </c>
      <c r="H2102" s="6">
        <v>441.07</v>
      </c>
      <c r="I2102" s="9">
        <v>1.0267687E8</v>
      </c>
      <c r="J2102" s="6">
        <v>4.4941556755E10</v>
      </c>
    </row>
    <row r="2103">
      <c r="A2103" s="4" t="s">
        <v>10</v>
      </c>
      <c r="B2103" s="5">
        <v>44638.0</v>
      </c>
      <c r="C2103" s="6">
        <v>444.52</v>
      </c>
      <c r="D2103" s="13">
        <f>+3.45</f>
        <v>3.45</v>
      </c>
      <c r="E2103" s="14">
        <f>+0.78%</f>
        <v>0.0078</v>
      </c>
      <c r="F2103" s="6">
        <v>438.0</v>
      </c>
      <c r="G2103" s="6">
        <v>437.22</v>
      </c>
      <c r="H2103" s="6">
        <v>444.86</v>
      </c>
      <c r="I2103" s="9">
        <v>1.06345544E8</v>
      </c>
      <c r="J2103" s="6">
        <v>4.6953553279E10</v>
      </c>
    </row>
    <row r="2104">
      <c r="A2104" s="4" t="s">
        <v>10</v>
      </c>
      <c r="B2104" s="5">
        <v>44641.0</v>
      </c>
      <c r="C2104" s="6">
        <v>444.39</v>
      </c>
      <c r="D2104" s="11">
        <v>-0.13</v>
      </c>
      <c r="E2104" s="12">
        <v>-3.0E-4</v>
      </c>
      <c r="F2104" s="6">
        <v>444.34</v>
      </c>
      <c r="G2104" s="6">
        <v>440.68</v>
      </c>
      <c r="H2104" s="6">
        <v>446.46</v>
      </c>
      <c r="I2104" s="9">
        <v>8.8349763E7</v>
      </c>
      <c r="J2104" s="6">
        <v>3.9209501261E10</v>
      </c>
    </row>
    <row r="2105">
      <c r="A2105" s="4" t="s">
        <v>10</v>
      </c>
      <c r="B2105" s="5">
        <v>44642.0</v>
      </c>
      <c r="C2105" s="6">
        <v>449.59</v>
      </c>
      <c r="D2105" s="13">
        <f>+5.2</f>
        <v>5.2</v>
      </c>
      <c r="E2105" s="14">
        <f>+1.17%</f>
        <v>0.0117</v>
      </c>
      <c r="F2105" s="6">
        <v>445.86</v>
      </c>
      <c r="G2105" s="6">
        <v>445.86</v>
      </c>
      <c r="H2105" s="6">
        <v>450.58</v>
      </c>
      <c r="I2105" s="9">
        <v>7.4650394E7</v>
      </c>
      <c r="J2105" s="6">
        <v>3.3485459728E10</v>
      </c>
    </row>
    <row r="2106">
      <c r="A2106" s="4" t="s">
        <v>10</v>
      </c>
      <c r="B2106" s="5">
        <v>44643.0</v>
      </c>
      <c r="C2106" s="6">
        <v>443.8</v>
      </c>
      <c r="D2106" s="11">
        <v>-5.79</v>
      </c>
      <c r="E2106" s="12">
        <v>-0.0129</v>
      </c>
      <c r="F2106" s="6">
        <v>446.91</v>
      </c>
      <c r="G2106" s="6">
        <v>443.71</v>
      </c>
      <c r="H2106" s="6">
        <v>448.49</v>
      </c>
      <c r="I2106" s="9">
        <v>7.9426098E7</v>
      </c>
      <c r="J2106" s="6">
        <v>3.5428295175E10</v>
      </c>
    </row>
    <row r="2107">
      <c r="A2107" s="4" t="s">
        <v>10</v>
      </c>
      <c r="B2107" s="5">
        <v>44644.0</v>
      </c>
      <c r="C2107" s="6">
        <v>450.49</v>
      </c>
      <c r="D2107" s="13">
        <f>+6.69</f>
        <v>6.69</v>
      </c>
      <c r="E2107" s="14">
        <f>+1.51%</f>
        <v>0.0151</v>
      </c>
      <c r="F2107" s="6">
        <v>445.94</v>
      </c>
      <c r="G2107" s="6">
        <v>444.76</v>
      </c>
      <c r="H2107" s="6">
        <v>450.5</v>
      </c>
      <c r="I2107" s="9">
        <v>6.4736892E7</v>
      </c>
      <c r="J2107" s="6">
        <v>2.8983817916E10</v>
      </c>
    </row>
    <row r="2108">
      <c r="A2108" s="4" t="s">
        <v>10</v>
      </c>
      <c r="B2108" s="5">
        <v>44645.0</v>
      </c>
      <c r="C2108" s="6">
        <v>452.69</v>
      </c>
      <c r="D2108" s="13">
        <f>+2.2</f>
        <v>2.2</v>
      </c>
      <c r="E2108" s="14">
        <f>+0.49%</f>
        <v>0.0049</v>
      </c>
      <c r="F2108" s="6">
        <v>451.16</v>
      </c>
      <c r="G2108" s="6">
        <v>448.43</v>
      </c>
      <c r="H2108" s="6">
        <v>452.98</v>
      </c>
      <c r="I2108" s="9">
        <v>7.7101324E7</v>
      </c>
      <c r="J2108" s="6">
        <v>3.4775896321E10</v>
      </c>
    </row>
    <row r="2109">
      <c r="A2109" s="4" t="s">
        <v>10</v>
      </c>
      <c r="B2109" s="5">
        <v>44648.0</v>
      </c>
      <c r="C2109" s="6">
        <v>455.91</v>
      </c>
      <c r="D2109" s="13">
        <f>+3.22</f>
        <v>3.22</v>
      </c>
      <c r="E2109" s="14">
        <f>+0.71%</f>
        <v>0.0071</v>
      </c>
      <c r="F2109" s="6">
        <v>452.06</v>
      </c>
      <c r="G2109" s="6">
        <v>450.06</v>
      </c>
      <c r="H2109" s="6">
        <v>455.91</v>
      </c>
      <c r="I2109" s="9">
        <v>6.8529767E7</v>
      </c>
      <c r="J2109" s="6">
        <v>3.1063789164E10</v>
      </c>
    </row>
    <row r="2110">
      <c r="A2110" s="4" t="s">
        <v>10</v>
      </c>
      <c r="B2110" s="5">
        <v>44649.0</v>
      </c>
      <c r="C2110" s="6">
        <v>461.55</v>
      </c>
      <c r="D2110" s="13">
        <f>+5.64</f>
        <v>5.64</v>
      </c>
      <c r="E2110" s="14">
        <f>+1.24%</f>
        <v>0.0124</v>
      </c>
      <c r="F2110" s="6">
        <v>460.02</v>
      </c>
      <c r="G2110" s="6">
        <v>457.18</v>
      </c>
      <c r="H2110" s="6">
        <v>462.07</v>
      </c>
      <c r="I2110" s="9">
        <v>8.6581542E7</v>
      </c>
      <c r="J2110" s="6">
        <v>3.9796050078E10</v>
      </c>
    </row>
    <row r="2111">
      <c r="A2111" s="4" t="s">
        <v>10</v>
      </c>
      <c r="B2111" s="5">
        <v>44650.0</v>
      </c>
      <c r="C2111" s="6">
        <v>458.7</v>
      </c>
      <c r="D2111" s="11">
        <v>-2.85</v>
      </c>
      <c r="E2111" s="12">
        <v>-0.0062</v>
      </c>
      <c r="F2111" s="6">
        <v>460.34</v>
      </c>
      <c r="G2111" s="6">
        <v>456.47</v>
      </c>
      <c r="H2111" s="6">
        <v>461.2</v>
      </c>
      <c r="I2111" s="9">
        <v>7.9666942E7</v>
      </c>
      <c r="J2111" s="6">
        <v>3.6579774411E10</v>
      </c>
    </row>
    <row r="2112">
      <c r="A2112" s="4" t="s">
        <v>10</v>
      </c>
      <c r="B2112" s="5">
        <v>44651.0</v>
      </c>
      <c r="C2112" s="6">
        <v>451.64</v>
      </c>
      <c r="D2112" s="11">
        <v>-7.06</v>
      </c>
      <c r="E2112" s="12">
        <v>-0.0154</v>
      </c>
      <c r="F2112" s="6">
        <v>457.89</v>
      </c>
      <c r="G2112" s="6">
        <v>451.16</v>
      </c>
      <c r="H2112" s="6">
        <v>458.76</v>
      </c>
      <c r="I2112" s="9">
        <v>1.21699948E8</v>
      </c>
      <c r="J2112" s="6">
        <v>5.5420660111E10</v>
      </c>
    </row>
    <row r="2113">
      <c r="A2113" s="4" t="s">
        <v>10</v>
      </c>
      <c r="B2113" s="5">
        <v>44652.0</v>
      </c>
      <c r="C2113" s="6">
        <v>452.92</v>
      </c>
      <c r="D2113" s="13">
        <f>+1.28</f>
        <v>1.28</v>
      </c>
      <c r="E2113" s="14">
        <f>+0.28%</f>
        <v>0.0028</v>
      </c>
      <c r="F2113" s="6">
        <v>453.31</v>
      </c>
      <c r="G2113" s="6">
        <v>449.14</v>
      </c>
      <c r="H2113" s="6">
        <v>453.46</v>
      </c>
      <c r="I2113" s="9">
        <v>8.9048773E7</v>
      </c>
      <c r="J2113" s="6">
        <v>4.0236782347E10</v>
      </c>
    </row>
    <row r="2114">
      <c r="A2114" s="4" t="s">
        <v>10</v>
      </c>
      <c r="B2114" s="5">
        <v>44655.0</v>
      </c>
      <c r="C2114" s="6">
        <v>456.8</v>
      </c>
      <c r="D2114" s="13">
        <f>+3.88</f>
        <v>3.88</v>
      </c>
      <c r="E2114" s="14">
        <f>+0.86%</f>
        <v>0.0086</v>
      </c>
      <c r="F2114" s="6">
        <v>453.13</v>
      </c>
      <c r="G2114" s="6">
        <v>452.26</v>
      </c>
      <c r="H2114" s="6">
        <v>456.91</v>
      </c>
      <c r="I2114" s="9">
        <v>5.9601E7</v>
      </c>
      <c r="J2114" s="6">
        <v>2.7137070841E10</v>
      </c>
    </row>
    <row r="2115">
      <c r="A2115" s="4" t="s">
        <v>10</v>
      </c>
      <c r="B2115" s="5">
        <v>44656.0</v>
      </c>
      <c r="C2115" s="6">
        <v>451.03</v>
      </c>
      <c r="D2115" s="11">
        <v>-5.77</v>
      </c>
      <c r="E2115" s="12">
        <v>-0.0126</v>
      </c>
      <c r="F2115" s="6">
        <v>455.22</v>
      </c>
      <c r="G2115" s="6">
        <v>449.82</v>
      </c>
      <c r="H2115" s="6">
        <v>457.83</v>
      </c>
      <c r="I2115" s="9">
        <v>7.4214501E7</v>
      </c>
      <c r="J2115" s="6">
        <v>3.3649608244E10</v>
      </c>
    </row>
    <row r="2116">
      <c r="A2116" s="4" t="s">
        <v>10</v>
      </c>
      <c r="B2116" s="5">
        <v>44657.0</v>
      </c>
      <c r="C2116" s="6">
        <v>446.52</v>
      </c>
      <c r="D2116" s="11">
        <v>-4.51</v>
      </c>
      <c r="E2116" s="12">
        <v>-0.01</v>
      </c>
      <c r="F2116" s="6">
        <v>446.89</v>
      </c>
      <c r="G2116" s="6">
        <v>443.47</v>
      </c>
      <c r="H2116" s="6">
        <v>448.93</v>
      </c>
      <c r="I2116" s="9">
        <v>1.0689797E8</v>
      </c>
      <c r="J2116" s="6">
        <v>4.7713624903E10</v>
      </c>
    </row>
    <row r="2117">
      <c r="A2117" s="4" t="s">
        <v>10</v>
      </c>
      <c r="B2117" s="5">
        <v>44658.0</v>
      </c>
      <c r="C2117" s="6">
        <v>448.77</v>
      </c>
      <c r="D2117" s="13">
        <f>+2.25</f>
        <v>2.25</v>
      </c>
      <c r="E2117" s="14">
        <f>+0.5%</f>
        <v>0.005</v>
      </c>
      <c r="F2117" s="6">
        <v>445.59</v>
      </c>
      <c r="G2117" s="6">
        <v>443.53</v>
      </c>
      <c r="H2117" s="6">
        <v>450.69</v>
      </c>
      <c r="I2117" s="9">
        <v>7.8097214E7</v>
      </c>
      <c r="J2117" s="6">
        <v>3.4918176651E10</v>
      </c>
    </row>
    <row r="2118">
      <c r="A2118" s="4" t="s">
        <v>10</v>
      </c>
      <c r="B2118" s="5">
        <v>44659.0</v>
      </c>
      <c r="C2118" s="6">
        <v>447.57</v>
      </c>
      <c r="D2118" s="11">
        <v>-1.2</v>
      </c>
      <c r="E2118" s="12">
        <v>-0.0027</v>
      </c>
      <c r="F2118" s="6">
        <v>447.97</v>
      </c>
      <c r="G2118" s="6">
        <v>445.94</v>
      </c>
      <c r="H2118" s="6">
        <v>450.63</v>
      </c>
      <c r="I2118" s="9">
        <v>7.9272711E7</v>
      </c>
      <c r="J2118" s="6">
        <v>3.5534013358E10</v>
      </c>
    </row>
    <row r="2119">
      <c r="A2119" s="4" t="s">
        <v>10</v>
      </c>
      <c r="B2119" s="5">
        <v>44662.0</v>
      </c>
      <c r="C2119" s="6">
        <v>439.92</v>
      </c>
      <c r="D2119" s="11">
        <v>-7.65</v>
      </c>
      <c r="E2119" s="12">
        <v>-0.0171</v>
      </c>
      <c r="F2119" s="6">
        <v>444.11</v>
      </c>
      <c r="G2119" s="6">
        <v>439.39</v>
      </c>
      <c r="H2119" s="6">
        <v>445.0</v>
      </c>
      <c r="I2119" s="9">
        <v>8.9770538E7</v>
      </c>
      <c r="J2119" s="6">
        <v>3.9697320317E10</v>
      </c>
    </row>
    <row r="2120">
      <c r="A2120" s="4" t="s">
        <v>10</v>
      </c>
      <c r="B2120" s="5">
        <v>44663.0</v>
      </c>
      <c r="C2120" s="6">
        <v>438.29</v>
      </c>
      <c r="D2120" s="11">
        <v>-1.63</v>
      </c>
      <c r="E2120" s="12">
        <v>-0.0037</v>
      </c>
      <c r="F2120" s="6">
        <v>443.08</v>
      </c>
      <c r="G2120" s="6">
        <v>436.65</v>
      </c>
      <c r="H2120" s="6">
        <v>445.75</v>
      </c>
      <c r="I2120" s="9">
        <v>8.4363635E7</v>
      </c>
      <c r="J2120" s="6">
        <v>3.7188686088E10</v>
      </c>
    </row>
    <row r="2121">
      <c r="A2121" s="4" t="s">
        <v>10</v>
      </c>
      <c r="B2121" s="5">
        <v>44664.0</v>
      </c>
      <c r="C2121" s="6">
        <v>443.31</v>
      </c>
      <c r="D2121" s="13">
        <f>+5.02</f>
        <v>5.02</v>
      </c>
      <c r="E2121" s="14">
        <f>+1.15%</f>
        <v>0.0115</v>
      </c>
      <c r="F2121" s="6">
        <v>438.03</v>
      </c>
      <c r="G2121" s="6">
        <v>437.84</v>
      </c>
      <c r="H2121" s="6">
        <v>444.11</v>
      </c>
      <c r="I2121" s="9">
        <v>7.4070394E7</v>
      </c>
      <c r="J2121" s="6">
        <v>3.2684587573E10</v>
      </c>
    </row>
    <row r="2122">
      <c r="A2122" s="4" t="s">
        <v>10</v>
      </c>
      <c r="B2122" s="5">
        <v>44665.0</v>
      </c>
      <c r="C2122" s="6">
        <v>437.79</v>
      </c>
      <c r="D2122" s="11">
        <v>-5.52</v>
      </c>
      <c r="E2122" s="12">
        <v>-0.0125</v>
      </c>
      <c r="F2122" s="6">
        <v>443.55</v>
      </c>
      <c r="G2122" s="6">
        <v>437.68</v>
      </c>
      <c r="H2122" s="6">
        <v>444.73</v>
      </c>
      <c r="I2122" s="9">
        <v>9.7869451E7</v>
      </c>
      <c r="J2122" s="6">
        <v>4.30890274E10</v>
      </c>
    </row>
    <row r="2123">
      <c r="A2123" s="4" t="s">
        <v>10</v>
      </c>
      <c r="B2123" s="5">
        <v>44666.0</v>
      </c>
      <c r="C2123" s="10"/>
      <c r="D2123" s="7"/>
      <c r="E2123" s="8"/>
      <c r="F2123" s="10"/>
      <c r="G2123" s="10"/>
      <c r="H2123" s="10"/>
      <c r="I2123" s="15"/>
      <c r="J2123" s="10"/>
    </row>
    <row r="2124">
      <c r="A2124" s="4" t="s">
        <v>10</v>
      </c>
      <c r="B2124" s="5">
        <v>44669.0</v>
      </c>
      <c r="C2124" s="6">
        <v>437.97</v>
      </c>
      <c r="D2124" s="13">
        <f>+0.18</f>
        <v>0.18</v>
      </c>
      <c r="E2124" s="14">
        <f>+0.04%</f>
        <v>0.0004</v>
      </c>
      <c r="F2124" s="6">
        <v>436.81</v>
      </c>
      <c r="G2124" s="6">
        <v>435.61</v>
      </c>
      <c r="H2124" s="6">
        <v>439.75</v>
      </c>
      <c r="I2124" s="9">
        <v>6.6002498E7</v>
      </c>
      <c r="J2124" s="6">
        <v>2.8900015072E10</v>
      </c>
    </row>
    <row r="2125">
      <c r="A2125" s="4" t="s">
        <v>10</v>
      </c>
      <c r="B2125" s="5">
        <v>44670.0</v>
      </c>
      <c r="C2125" s="6">
        <v>445.04</v>
      </c>
      <c r="D2125" s="13">
        <f>+7.07</f>
        <v>7.07</v>
      </c>
      <c r="E2125" s="14">
        <f>+1.61%</f>
        <v>0.0161</v>
      </c>
      <c r="F2125" s="6">
        <v>437.86</v>
      </c>
      <c r="G2125" s="6">
        <v>437.68</v>
      </c>
      <c r="H2125" s="6">
        <v>445.8</v>
      </c>
      <c r="I2125" s="9">
        <v>7.7821013E7</v>
      </c>
      <c r="J2125" s="6">
        <v>3.4480416835E10</v>
      </c>
    </row>
    <row r="2126">
      <c r="A2126" s="4" t="s">
        <v>10</v>
      </c>
      <c r="B2126" s="5">
        <v>44671.0</v>
      </c>
      <c r="C2126" s="6">
        <v>444.71</v>
      </c>
      <c r="D2126" s="11">
        <v>-0.33</v>
      </c>
      <c r="E2126" s="12">
        <v>-7.0E-4</v>
      </c>
      <c r="F2126" s="6">
        <v>446.92</v>
      </c>
      <c r="G2126" s="6">
        <v>443.48</v>
      </c>
      <c r="H2126" s="6">
        <v>447.57</v>
      </c>
      <c r="I2126" s="9">
        <v>6.5224449E7</v>
      </c>
      <c r="J2126" s="6">
        <v>2.9064762176E10</v>
      </c>
    </row>
    <row r="2127">
      <c r="A2127" s="4" t="s">
        <v>10</v>
      </c>
      <c r="B2127" s="5">
        <v>44672.0</v>
      </c>
      <c r="C2127" s="6">
        <v>438.06</v>
      </c>
      <c r="D2127" s="11">
        <v>-6.65</v>
      </c>
      <c r="E2127" s="12">
        <v>-0.015</v>
      </c>
      <c r="F2127" s="6">
        <v>448.54</v>
      </c>
      <c r="G2127" s="6">
        <v>437.1</v>
      </c>
      <c r="H2127" s="6">
        <v>450.01</v>
      </c>
      <c r="I2127" s="9">
        <v>8.5417327E7</v>
      </c>
      <c r="J2127" s="6">
        <v>3.7819690172E10</v>
      </c>
    </row>
    <row r="2128">
      <c r="A2128" s="4" t="s">
        <v>10</v>
      </c>
      <c r="B2128" s="5">
        <v>44673.0</v>
      </c>
      <c r="C2128" s="6">
        <v>426.04</v>
      </c>
      <c r="D2128" s="11">
        <v>-12.02</v>
      </c>
      <c r="E2128" s="12">
        <v>-0.0274</v>
      </c>
      <c r="F2128" s="6">
        <v>436.91</v>
      </c>
      <c r="G2128" s="6">
        <v>425.44</v>
      </c>
      <c r="H2128" s="6">
        <v>438.08</v>
      </c>
      <c r="I2128" s="9">
        <v>1.32471772E8</v>
      </c>
      <c r="J2128" s="6">
        <v>5.6938522958E10</v>
      </c>
    </row>
    <row r="2129">
      <c r="A2129" s="4" t="s">
        <v>10</v>
      </c>
      <c r="B2129" s="5">
        <v>44676.0</v>
      </c>
      <c r="C2129" s="6">
        <v>428.51</v>
      </c>
      <c r="D2129" s="13">
        <f>+2.47</f>
        <v>2.47</v>
      </c>
      <c r="E2129" s="14">
        <f>+0.58%</f>
        <v>0.0058</v>
      </c>
      <c r="F2129" s="6">
        <v>423.67</v>
      </c>
      <c r="G2129" s="6">
        <v>418.84</v>
      </c>
      <c r="H2129" s="6">
        <v>428.69</v>
      </c>
      <c r="I2129" s="9">
        <v>1.19647748E8</v>
      </c>
      <c r="J2129" s="6">
        <v>5.0726165729E10</v>
      </c>
    </row>
    <row r="2130">
      <c r="A2130" s="4" t="s">
        <v>10</v>
      </c>
      <c r="B2130" s="5">
        <v>44677.0</v>
      </c>
      <c r="C2130" s="6">
        <v>416.1</v>
      </c>
      <c r="D2130" s="11">
        <v>-12.41</v>
      </c>
      <c r="E2130" s="12">
        <v>-0.029</v>
      </c>
      <c r="F2130" s="6">
        <v>425.83</v>
      </c>
      <c r="G2130" s="6">
        <v>416.07</v>
      </c>
      <c r="H2130" s="6">
        <v>426.04</v>
      </c>
      <c r="I2130" s="9">
        <v>1.03996312E8</v>
      </c>
      <c r="J2130" s="6">
        <v>4.3682432094E10</v>
      </c>
    </row>
    <row r="2131">
      <c r="A2131" s="4" t="s">
        <v>10</v>
      </c>
      <c r="B2131" s="5">
        <v>44678.0</v>
      </c>
      <c r="C2131" s="6">
        <v>417.27</v>
      </c>
      <c r="D2131" s="13">
        <f>+1.17</f>
        <v>1.17</v>
      </c>
      <c r="E2131" s="14">
        <f>+0.28%</f>
        <v>0.0028</v>
      </c>
      <c r="F2131" s="6">
        <v>417.24</v>
      </c>
      <c r="G2131" s="6">
        <v>415.01</v>
      </c>
      <c r="H2131" s="6">
        <v>422.92</v>
      </c>
      <c r="I2131" s="9">
        <v>1.2202999E8</v>
      </c>
      <c r="J2131" s="6">
        <v>5.1110453652E10</v>
      </c>
    </row>
    <row r="2132">
      <c r="A2132" s="4" t="s">
        <v>10</v>
      </c>
      <c r="B2132" s="5">
        <v>44679.0</v>
      </c>
      <c r="C2132" s="6">
        <v>427.81</v>
      </c>
      <c r="D2132" s="13">
        <f>+10.54</f>
        <v>10.54</v>
      </c>
      <c r="E2132" s="14">
        <f>+2.53%</f>
        <v>0.0253</v>
      </c>
      <c r="F2132" s="6">
        <v>422.29</v>
      </c>
      <c r="G2132" s="6">
        <v>417.6</v>
      </c>
      <c r="H2132" s="6">
        <v>429.64</v>
      </c>
      <c r="I2132" s="9">
        <v>1.05449088E8</v>
      </c>
      <c r="J2132" s="6">
        <v>4.4716674666E10</v>
      </c>
    </row>
    <row r="2133">
      <c r="A2133" s="4" t="s">
        <v>10</v>
      </c>
      <c r="B2133" s="5">
        <v>44680.0</v>
      </c>
      <c r="C2133" s="6">
        <v>412.0</v>
      </c>
      <c r="D2133" s="11">
        <v>-15.81</v>
      </c>
      <c r="E2133" s="12">
        <v>-0.037</v>
      </c>
      <c r="F2133" s="6">
        <v>423.59</v>
      </c>
      <c r="G2133" s="6">
        <v>411.21</v>
      </c>
      <c r="H2133" s="6">
        <v>425.87</v>
      </c>
      <c r="I2133" s="9">
        <v>1.45491088E8</v>
      </c>
      <c r="J2133" s="6">
        <v>6.0650074006E10</v>
      </c>
    </row>
    <row r="2134">
      <c r="A2134" s="4" t="s">
        <v>10</v>
      </c>
      <c r="B2134" s="5">
        <v>44683.0</v>
      </c>
      <c r="C2134" s="6">
        <v>414.48</v>
      </c>
      <c r="D2134" s="13">
        <f>+2.48</f>
        <v>2.48</v>
      </c>
      <c r="E2134" s="14">
        <f>+0.6%</f>
        <v>0.006</v>
      </c>
      <c r="F2134" s="6">
        <v>412.07</v>
      </c>
      <c r="G2134" s="6">
        <v>405.02</v>
      </c>
      <c r="H2134" s="6">
        <v>415.92</v>
      </c>
      <c r="I2134" s="9">
        <v>1.58312526E8</v>
      </c>
      <c r="J2134" s="6">
        <v>6.5090674974E10</v>
      </c>
    </row>
    <row r="2135">
      <c r="A2135" s="4" t="s">
        <v>10</v>
      </c>
      <c r="B2135" s="5">
        <v>44684.0</v>
      </c>
      <c r="C2135" s="6">
        <v>416.38</v>
      </c>
      <c r="D2135" s="13">
        <f>+1.9</f>
        <v>1.9</v>
      </c>
      <c r="E2135" s="14">
        <f>+0.46%</f>
        <v>0.0046</v>
      </c>
      <c r="F2135" s="6">
        <v>415.01</v>
      </c>
      <c r="G2135" s="6">
        <v>413.36</v>
      </c>
      <c r="H2135" s="6">
        <v>418.93</v>
      </c>
      <c r="I2135" s="9">
        <v>1.0002819E8</v>
      </c>
      <c r="J2135" s="6">
        <v>4.1622334439E10</v>
      </c>
    </row>
    <row r="2136">
      <c r="A2136" s="4" t="s">
        <v>10</v>
      </c>
      <c r="B2136" s="5">
        <v>44685.0</v>
      </c>
      <c r="C2136" s="6">
        <v>429.06</v>
      </c>
      <c r="D2136" s="13">
        <f>+12.68</f>
        <v>12.68</v>
      </c>
      <c r="E2136" s="14">
        <f>+3.05%</f>
        <v>0.0305</v>
      </c>
      <c r="F2136" s="6">
        <v>417.08</v>
      </c>
      <c r="G2136" s="6">
        <v>413.71</v>
      </c>
      <c r="H2136" s="6">
        <v>429.66</v>
      </c>
      <c r="I2136" s="9">
        <v>1.44247895E8</v>
      </c>
      <c r="J2136" s="6">
        <v>6.076681479E10</v>
      </c>
    </row>
    <row r="2137">
      <c r="A2137" s="4" t="s">
        <v>10</v>
      </c>
      <c r="B2137" s="5">
        <v>44686.0</v>
      </c>
      <c r="C2137" s="6">
        <v>413.81</v>
      </c>
      <c r="D2137" s="11">
        <v>-15.25</v>
      </c>
      <c r="E2137" s="12">
        <v>-0.0355</v>
      </c>
      <c r="F2137" s="6">
        <v>424.55</v>
      </c>
      <c r="G2137" s="6">
        <v>409.44</v>
      </c>
      <c r="H2137" s="6">
        <v>425.0</v>
      </c>
      <c r="I2137" s="9">
        <v>1.72929106E8</v>
      </c>
      <c r="J2137" s="6">
        <v>7.1840827137E10</v>
      </c>
    </row>
    <row r="2138">
      <c r="A2138" s="4" t="s">
        <v>10</v>
      </c>
      <c r="B2138" s="5">
        <v>44687.0</v>
      </c>
      <c r="C2138" s="6">
        <v>411.34</v>
      </c>
      <c r="D2138" s="11">
        <v>-2.47</v>
      </c>
      <c r="E2138" s="12">
        <v>-0.006</v>
      </c>
      <c r="F2138" s="6">
        <v>411.1</v>
      </c>
      <c r="G2138" s="6">
        <v>405.73</v>
      </c>
      <c r="H2138" s="6">
        <v>414.8</v>
      </c>
      <c r="I2138" s="9">
        <v>1.51770811E8</v>
      </c>
      <c r="J2138" s="6">
        <v>6.2304570671E10</v>
      </c>
    </row>
    <row r="2139">
      <c r="A2139" s="4" t="s">
        <v>10</v>
      </c>
      <c r="B2139" s="5">
        <v>44690.0</v>
      </c>
      <c r="C2139" s="6">
        <v>398.17</v>
      </c>
      <c r="D2139" s="11">
        <v>-13.17</v>
      </c>
      <c r="E2139" s="12">
        <v>-0.032</v>
      </c>
      <c r="F2139" s="6">
        <v>405.1</v>
      </c>
      <c r="G2139" s="6">
        <v>396.5</v>
      </c>
      <c r="H2139" s="6">
        <v>406.41</v>
      </c>
      <c r="I2139" s="9">
        <v>1.55586067E8</v>
      </c>
      <c r="J2139" s="6">
        <v>6.253327196E10</v>
      </c>
    </row>
    <row r="2140">
      <c r="A2140" s="4" t="s">
        <v>10</v>
      </c>
      <c r="B2140" s="5">
        <v>44691.0</v>
      </c>
      <c r="C2140" s="6">
        <v>399.09</v>
      </c>
      <c r="D2140" s="13">
        <f>+0.92</f>
        <v>0.92</v>
      </c>
      <c r="E2140" s="14">
        <f>+0.23%</f>
        <v>0.0023</v>
      </c>
      <c r="F2140" s="6">
        <v>404.49</v>
      </c>
      <c r="G2140" s="6">
        <v>394.82</v>
      </c>
      <c r="H2140" s="6">
        <v>406.08</v>
      </c>
      <c r="I2140" s="9">
        <v>1.324972E8</v>
      </c>
      <c r="J2140" s="6">
        <v>5.2977687211E10</v>
      </c>
    </row>
    <row r="2141">
      <c r="A2141" s="4" t="s">
        <v>10</v>
      </c>
      <c r="B2141" s="5">
        <v>44692.0</v>
      </c>
      <c r="C2141" s="6">
        <v>392.75</v>
      </c>
      <c r="D2141" s="11">
        <v>-6.34</v>
      </c>
      <c r="E2141" s="12">
        <v>-0.0159</v>
      </c>
      <c r="F2141" s="6">
        <v>398.07</v>
      </c>
      <c r="G2141" s="6">
        <v>391.96</v>
      </c>
      <c r="H2141" s="6">
        <v>404.04</v>
      </c>
      <c r="I2141" s="9">
        <v>1.42360992E8</v>
      </c>
      <c r="J2141" s="6">
        <v>5.6579671219E10</v>
      </c>
    </row>
    <row r="2142">
      <c r="A2142" s="4" t="s">
        <v>10</v>
      </c>
      <c r="B2142" s="5">
        <v>44693.0</v>
      </c>
      <c r="C2142" s="6">
        <v>392.34</v>
      </c>
      <c r="D2142" s="11">
        <v>-0.41</v>
      </c>
      <c r="E2142" s="12">
        <v>-0.001</v>
      </c>
      <c r="F2142" s="6">
        <v>389.37</v>
      </c>
      <c r="G2142" s="6">
        <v>385.15</v>
      </c>
      <c r="H2142" s="6">
        <v>395.8</v>
      </c>
      <c r="I2142" s="9">
        <v>1.25090753E8</v>
      </c>
      <c r="J2142" s="6">
        <v>4.878471925E10</v>
      </c>
    </row>
    <row r="2143">
      <c r="A2143" s="4" t="s">
        <v>10</v>
      </c>
      <c r="B2143" s="5">
        <v>44694.0</v>
      </c>
      <c r="C2143" s="6">
        <v>401.72</v>
      </c>
      <c r="D2143" s="13">
        <f>+9.38</f>
        <v>9.38</v>
      </c>
      <c r="E2143" s="14">
        <f>+2.39%</f>
        <v>0.0239</v>
      </c>
      <c r="F2143" s="6">
        <v>396.71</v>
      </c>
      <c r="G2143" s="6">
        <v>395.61</v>
      </c>
      <c r="H2143" s="6">
        <v>403.18</v>
      </c>
      <c r="I2143" s="9">
        <v>1.04174421E8</v>
      </c>
      <c r="J2143" s="6">
        <v>4.1656624499E10</v>
      </c>
    </row>
    <row r="2144">
      <c r="A2144" s="4" t="s">
        <v>10</v>
      </c>
      <c r="B2144" s="5">
        <v>44697.0</v>
      </c>
      <c r="C2144" s="6">
        <v>400.09</v>
      </c>
      <c r="D2144" s="11">
        <v>-1.63</v>
      </c>
      <c r="E2144" s="12">
        <v>-0.0041</v>
      </c>
      <c r="F2144" s="6">
        <v>399.98</v>
      </c>
      <c r="G2144" s="6">
        <v>397.6</v>
      </c>
      <c r="H2144" s="6">
        <v>403.97</v>
      </c>
      <c r="I2144" s="9">
        <v>7.8622444E7</v>
      </c>
      <c r="J2144" s="6">
        <v>3.1499580944E10</v>
      </c>
    </row>
    <row r="2145">
      <c r="A2145" s="4" t="s">
        <v>10</v>
      </c>
      <c r="B2145" s="5">
        <v>44698.0</v>
      </c>
      <c r="C2145" s="6">
        <v>408.32</v>
      </c>
      <c r="D2145" s="13">
        <f>+8.23</f>
        <v>8.23</v>
      </c>
      <c r="E2145" s="14">
        <f>+2.06%</f>
        <v>0.0206</v>
      </c>
      <c r="F2145" s="6">
        <v>406.53</v>
      </c>
      <c r="G2145" s="6">
        <v>402.58</v>
      </c>
      <c r="H2145" s="6">
        <v>408.57</v>
      </c>
      <c r="I2145" s="9">
        <v>8.302971E7</v>
      </c>
      <c r="J2145" s="6">
        <v>3.3689335274E10</v>
      </c>
    </row>
    <row r="2146">
      <c r="A2146" s="4" t="s">
        <v>10</v>
      </c>
      <c r="B2146" s="5">
        <v>44699.0</v>
      </c>
      <c r="C2146" s="6">
        <v>391.86</v>
      </c>
      <c r="D2146" s="11">
        <v>-16.46</v>
      </c>
      <c r="E2146" s="12">
        <v>-0.0403</v>
      </c>
      <c r="F2146" s="6">
        <v>403.5</v>
      </c>
      <c r="G2146" s="6">
        <v>390.55</v>
      </c>
      <c r="H2146" s="6">
        <v>403.8</v>
      </c>
      <c r="I2146" s="9">
        <v>1.17674545E8</v>
      </c>
      <c r="J2146" s="6">
        <v>4.6602352627E10</v>
      </c>
    </row>
    <row r="2147">
      <c r="A2147" s="4" t="s">
        <v>10</v>
      </c>
      <c r="B2147" s="5">
        <v>44700.0</v>
      </c>
      <c r="C2147" s="6">
        <v>389.46</v>
      </c>
      <c r="D2147" s="11">
        <v>-2.4</v>
      </c>
      <c r="E2147" s="12">
        <v>-0.0061</v>
      </c>
      <c r="F2147" s="6">
        <v>388.62</v>
      </c>
      <c r="G2147" s="6">
        <v>387.11</v>
      </c>
      <c r="H2147" s="6">
        <v>394.14</v>
      </c>
      <c r="I2147" s="9">
        <v>9.8510715E7</v>
      </c>
      <c r="J2147" s="6">
        <v>3.8454107023E10</v>
      </c>
    </row>
    <row r="2148">
      <c r="A2148" s="4" t="s">
        <v>10</v>
      </c>
      <c r="B2148" s="5">
        <v>44701.0</v>
      </c>
      <c r="C2148" s="6">
        <v>389.63</v>
      </c>
      <c r="D2148" s="13">
        <f>+0.17</f>
        <v>0.17</v>
      </c>
      <c r="E2148" s="14">
        <f>+0.04%</f>
        <v>0.0004</v>
      </c>
      <c r="F2148" s="6">
        <v>393.25</v>
      </c>
      <c r="G2148" s="6">
        <v>380.54</v>
      </c>
      <c r="H2148" s="6">
        <v>397.03</v>
      </c>
      <c r="I2148" s="9">
        <v>1.31432197E8</v>
      </c>
      <c r="J2148" s="6">
        <v>5.0871239488E10</v>
      </c>
    </row>
    <row r="2149">
      <c r="A2149" s="4" t="s">
        <v>10</v>
      </c>
      <c r="B2149" s="5">
        <v>44704.0</v>
      </c>
      <c r="C2149" s="6">
        <v>396.92</v>
      </c>
      <c r="D2149" s="13">
        <f>+7.29</f>
        <v>7.29</v>
      </c>
      <c r="E2149" s="14">
        <f>+1.87%</f>
        <v>0.0187</v>
      </c>
      <c r="F2149" s="6">
        <v>392.83</v>
      </c>
      <c r="G2149" s="6">
        <v>390.38</v>
      </c>
      <c r="H2149" s="6">
        <v>397.73</v>
      </c>
      <c r="I2149" s="9">
        <v>7.6414878E7</v>
      </c>
      <c r="J2149" s="6">
        <v>3.0197396671E10</v>
      </c>
    </row>
    <row r="2150">
      <c r="A2150" s="4" t="s">
        <v>10</v>
      </c>
      <c r="B2150" s="5">
        <v>44705.0</v>
      </c>
      <c r="C2150" s="6">
        <v>393.89</v>
      </c>
      <c r="D2150" s="11">
        <v>-3.03</v>
      </c>
      <c r="E2150" s="12">
        <v>-0.0076</v>
      </c>
      <c r="F2150" s="6">
        <v>392.56</v>
      </c>
      <c r="G2150" s="6">
        <v>386.96</v>
      </c>
      <c r="H2150" s="6">
        <v>395.15</v>
      </c>
      <c r="I2150" s="9">
        <v>9.1448831E7</v>
      </c>
      <c r="J2150" s="6">
        <v>3.5807212163E10</v>
      </c>
    </row>
    <row r="2151">
      <c r="A2151" s="4" t="s">
        <v>10</v>
      </c>
      <c r="B2151" s="5">
        <v>44706.0</v>
      </c>
      <c r="C2151" s="6">
        <v>397.37</v>
      </c>
      <c r="D2151" s="13">
        <f>+3.48</f>
        <v>3.48</v>
      </c>
      <c r="E2151" s="14">
        <f>+0.88%</f>
        <v>0.0088</v>
      </c>
      <c r="F2151" s="6">
        <v>392.31</v>
      </c>
      <c r="G2151" s="6">
        <v>391.89</v>
      </c>
      <c r="H2151" s="6">
        <v>399.45</v>
      </c>
      <c r="I2151" s="9">
        <v>9.1472866E7</v>
      </c>
      <c r="J2151" s="6">
        <v>3.6203381499E10</v>
      </c>
    </row>
    <row r="2152">
      <c r="A2152" s="4" t="s">
        <v>10</v>
      </c>
      <c r="B2152" s="5">
        <v>44707.0</v>
      </c>
      <c r="C2152" s="6">
        <v>405.31</v>
      </c>
      <c r="D2152" s="13">
        <f>+7.94</f>
        <v>7.94</v>
      </c>
      <c r="E2152" s="14">
        <f>+2%</f>
        <v>0.02</v>
      </c>
      <c r="F2152" s="6">
        <v>398.67</v>
      </c>
      <c r="G2152" s="6">
        <v>398.45</v>
      </c>
      <c r="H2152" s="6">
        <v>407.04</v>
      </c>
      <c r="I2152" s="9">
        <v>8.2168339E7</v>
      </c>
      <c r="J2152" s="6">
        <v>3.3217700726E10</v>
      </c>
    </row>
    <row r="2153">
      <c r="A2153" s="4" t="s">
        <v>10</v>
      </c>
      <c r="B2153" s="5">
        <v>44708.0</v>
      </c>
      <c r="C2153" s="6">
        <v>415.26</v>
      </c>
      <c r="D2153" s="13">
        <f>+9.95</f>
        <v>9.95</v>
      </c>
      <c r="E2153" s="14">
        <f>+2.45%</f>
        <v>0.0245</v>
      </c>
      <c r="F2153" s="6">
        <v>407.91</v>
      </c>
      <c r="G2153" s="6">
        <v>407.7</v>
      </c>
      <c r="H2153" s="6">
        <v>415.38</v>
      </c>
      <c r="I2153" s="9">
        <v>8.476871E7</v>
      </c>
      <c r="J2153" s="6">
        <v>3.4965638275E10</v>
      </c>
    </row>
    <row r="2154">
      <c r="A2154" s="4" t="s">
        <v>10</v>
      </c>
      <c r="B2154" s="5">
        <v>44711.0</v>
      </c>
      <c r="C2154" s="10"/>
      <c r="D2154" s="7"/>
      <c r="E2154" s="8"/>
      <c r="F2154" s="10"/>
      <c r="G2154" s="10"/>
      <c r="H2154" s="10"/>
      <c r="I2154" s="15"/>
      <c r="J2154" s="10"/>
    </row>
    <row r="2155">
      <c r="A2155" s="4" t="s">
        <v>10</v>
      </c>
      <c r="B2155" s="5">
        <v>44712.0</v>
      </c>
      <c r="C2155" s="6">
        <v>412.93</v>
      </c>
      <c r="D2155" s="11">
        <v>-2.33</v>
      </c>
      <c r="E2155" s="12">
        <v>-0.0056</v>
      </c>
      <c r="F2155" s="6">
        <v>413.55</v>
      </c>
      <c r="G2155" s="6">
        <v>410.03</v>
      </c>
      <c r="H2155" s="6">
        <v>416.46</v>
      </c>
      <c r="I2155" s="9">
        <v>9.593698E7</v>
      </c>
      <c r="J2155" s="6">
        <v>3.9660112442E10</v>
      </c>
    </row>
    <row r="2156">
      <c r="A2156" s="4" t="s">
        <v>10</v>
      </c>
      <c r="B2156" s="5">
        <v>44713.0</v>
      </c>
      <c r="C2156" s="6">
        <v>409.59</v>
      </c>
      <c r="D2156" s="11">
        <v>-3.34</v>
      </c>
      <c r="E2156" s="12">
        <v>-0.0081</v>
      </c>
      <c r="F2156" s="6">
        <v>415.17</v>
      </c>
      <c r="G2156" s="6">
        <v>406.93</v>
      </c>
      <c r="H2156" s="6">
        <v>416.24</v>
      </c>
      <c r="I2156" s="9">
        <v>8.6585813E7</v>
      </c>
      <c r="J2156" s="6">
        <v>3.5568434207E10</v>
      </c>
    </row>
    <row r="2157">
      <c r="A2157" s="4" t="s">
        <v>10</v>
      </c>
      <c r="B2157" s="5">
        <v>44714.0</v>
      </c>
      <c r="C2157" s="6">
        <v>417.39</v>
      </c>
      <c r="D2157" s="13">
        <f>+7.8</f>
        <v>7.8</v>
      </c>
      <c r="E2157" s="14">
        <f>+1.9%</f>
        <v>0.019</v>
      </c>
      <c r="F2157" s="6">
        <v>409.42</v>
      </c>
      <c r="G2157" s="6">
        <v>407.04</v>
      </c>
      <c r="H2157" s="6">
        <v>417.44</v>
      </c>
      <c r="I2157" s="9">
        <v>7.9609633E7</v>
      </c>
      <c r="J2157" s="6">
        <v>3.2908646902E10</v>
      </c>
    </row>
    <row r="2158">
      <c r="A2158" s="4" t="s">
        <v>10</v>
      </c>
      <c r="B2158" s="5">
        <v>44715.0</v>
      </c>
      <c r="C2158" s="6">
        <v>410.54</v>
      </c>
      <c r="D2158" s="11">
        <v>-6.85</v>
      </c>
      <c r="E2158" s="12">
        <v>-0.0164</v>
      </c>
      <c r="F2158" s="6">
        <v>412.4</v>
      </c>
      <c r="G2158" s="6">
        <v>409.51</v>
      </c>
      <c r="H2158" s="6">
        <v>414.04</v>
      </c>
      <c r="I2158" s="9">
        <v>7.1874281E7</v>
      </c>
      <c r="J2158" s="6">
        <v>2.9602045192E10</v>
      </c>
    </row>
    <row r="2159">
      <c r="A2159" s="4" t="s">
        <v>10</v>
      </c>
      <c r="B2159" s="5">
        <v>44718.0</v>
      </c>
      <c r="C2159" s="6">
        <v>411.79</v>
      </c>
      <c r="D2159" s="13">
        <f>+1.25</f>
        <v>1.25</v>
      </c>
      <c r="E2159" s="14">
        <f>+0.3%</f>
        <v>0.003</v>
      </c>
      <c r="F2159" s="6">
        <v>414.78</v>
      </c>
      <c r="G2159" s="6">
        <v>410.55</v>
      </c>
      <c r="H2159" s="6">
        <v>416.61</v>
      </c>
      <c r="I2159" s="9">
        <v>5.7508858E7</v>
      </c>
      <c r="J2159" s="6">
        <v>2.3754428886E10</v>
      </c>
    </row>
    <row r="2160">
      <c r="A2160" s="4" t="s">
        <v>10</v>
      </c>
      <c r="B2160" s="5">
        <v>44719.0</v>
      </c>
      <c r="C2160" s="6">
        <v>415.74</v>
      </c>
      <c r="D2160" s="13">
        <f>+3.95</f>
        <v>3.95</v>
      </c>
      <c r="E2160" s="14">
        <f>+0.96%</f>
        <v>0.0096</v>
      </c>
      <c r="F2160" s="6">
        <v>408.1</v>
      </c>
      <c r="G2160" s="6">
        <v>407.61</v>
      </c>
      <c r="H2160" s="6">
        <v>416.22</v>
      </c>
      <c r="I2160" s="9">
        <v>5.9272373E7</v>
      </c>
      <c r="J2160" s="6">
        <v>2.4478781829E10</v>
      </c>
    </row>
    <row r="2161">
      <c r="A2161" s="4" t="s">
        <v>10</v>
      </c>
      <c r="B2161" s="5">
        <v>44720.0</v>
      </c>
      <c r="C2161" s="6">
        <v>411.22</v>
      </c>
      <c r="D2161" s="11">
        <v>-4.52</v>
      </c>
      <c r="E2161" s="12">
        <v>-0.0109</v>
      </c>
      <c r="F2161" s="6">
        <v>413.93</v>
      </c>
      <c r="G2161" s="6">
        <v>410.38</v>
      </c>
      <c r="H2161" s="6">
        <v>415.82</v>
      </c>
      <c r="I2161" s="9">
        <v>6.4349966E7</v>
      </c>
      <c r="J2161" s="6">
        <v>2.6559643159E10</v>
      </c>
    </row>
    <row r="2162">
      <c r="A2162" s="4" t="s">
        <v>10</v>
      </c>
      <c r="B2162" s="5">
        <v>44721.0</v>
      </c>
      <c r="C2162" s="6">
        <v>401.44</v>
      </c>
      <c r="D2162" s="11">
        <v>-9.78</v>
      </c>
      <c r="E2162" s="12">
        <v>-0.0238</v>
      </c>
      <c r="F2162" s="6">
        <v>409.34</v>
      </c>
      <c r="G2162" s="6">
        <v>401.44</v>
      </c>
      <c r="H2162" s="6">
        <v>411.74</v>
      </c>
      <c r="I2162" s="9">
        <v>8.6289796E7</v>
      </c>
      <c r="J2162" s="6">
        <v>3.510641475E10</v>
      </c>
    </row>
    <row r="2163">
      <c r="A2163" s="4" t="s">
        <v>10</v>
      </c>
      <c r="B2163" s="5">
        <v>44722.0</v>
      </c>
      <c r="C2163" s="6">
        <v>389.8</v>
      </c>
      <c r="D2163" s="11">
        <v>-11.64</v>
      </c>
      <c r="E2163" s="12">
        <v>-0.029</v>
      </c>
      <c r="F2163" s="6">
        <v>394.88</v>
      </c>
      <c r="G2163" s="6">
        <v>389.75</v>
      </c>
      <c r="H2163" s="6">
        <v>395.78</v>
      </c>
      <c r="I2163" s="9">
        <v>1.32893864E8</v>
      </c>
      <c r="J2163" s="6">
        <v>5.2211696415E10</v>
      </c>
    </row>
    <row r="2164">
      <c r="A2164" s="4" t="s">
        <v>10</v>
      </c>
      <c r="B2164" s="5">
        <v>44725.0</v>
      </c>
      <c r="C2164" s="6">
        <v>375.0</v>
      </c>
      <c r="D2164" s="11">
        <v>-14.8</v>
      </c>
      <c r="E2164" s="12">
        <v>-0.038</v>
      </c>
      <c r="F2164" s="6">
        <v>379.85</v>
      </c>
      <c r="G2164" s="6">
        <v>373.3</v>
      </c>
      <c r="H2164" s="6">
        <v>381.81</v>
      </c>
      <c r="I2164" s="9">
        <v>1.70004861E8</v>
      </c>
      <c r="J2164" s="6">
        <v>6.4377011074E10</v>
      </c>
    </row>
    <row r="2165">
      <c r="A2165" s="4" t="s">
        <v>10</v>
      </c>
      <c r="B2165" s="5">
        <v>44726.0</v>
      </c>
      <c r="C2165" s="6">
        <v>373.87</v>
      </c>
      <c r="D2165" s="11">
        <v>-1.13</v>
      </c>
      <c r="E2165" s="12">
        <v>-0.003</v>
      </c>
      <c r="F2165" s="6">
        <v>376.85</v>
      </c>
      <c r="G2165" s="6">
        <v>370.59</v>
      </c>
      <c r="H2165" s="6">
        <v>377.94</v>
      </c>
      <c r="I2165" s="9">
        <v>1.04011831E8</v>
      </c>
      <c r="J2165" s="6">
        <v>3.8933967887E10</v>
      </c>
    </row>
    <row r="2166">
      <c r="A2166" s="4" t="s">
        <v>10</v>
      </c>
      <c r="B2166" s="5">
        <v>44727.0</v>
      </c>
      <c r="C2166" s="6">
        <v>379.2</v>
      </c>
      <c r="D2166" s="13">
        <f>+5.33</f>
        <v>5.33</v>
      </c>
      <c r="E2166" s="14">
        <f>+1.43%</f>
        <v>0.0143</v>
      </c>
      <c r="F2166" s="6">
        <v>377.36</v>
      </c>
      <c r="G2166" s="6">
        <v>372.12</v>
      </c>
      <c r="H2166" s="6">
        <v>383.9</v>
      </c>
      <c r="I2166" s="9">
        <v>1.25666797E8</v>
      </c>
      <c r="J2166" s="6">
        <v>4.750860627E10</v>
      </c>
    </row>
    <row r="2167">
      <c r="A2167" s="4" t="s">
        <v>10</v>
      </c>
      <c r="B2167" s="5">
        <v>44728.0</v>
      </c>
      <c r="C2167" s="6">
        <v>366.65</v>
      </c>
      <c r="D2167" s="11">
        <v>-12.55</v>
      </c>
      <c r="E2167" s="12">
        <v>-0.0331</v>
      </c>
      <c r="F2167" s="6">
        <v>370.51</v>
      </c>
      <c r="G2167" s="6">
        <v>364.08</v>
      </c>
      <c r="H2167" s="6">
        <v>370.94</v>
      </c>
      <c r="I2167" s="9">
        <v>1.34473288E8</v>
      </c>
      <c r="J2167" s="6">
        <v>4.9548776569E10</v>
      </c>
    </row>
    <row r="2168">
      <c r="A2168" s="4" t="s">
        <v>10</v>
      </c>
      <c r="B2168" s="5">
        <v>44729.0</v>
      </c>
      <c r="C2168" s="6">
        <v>365.86</v>
      </c>
      <c r="D2168" s="11">
        <v>-0.79</v>
      </c>
      <c r="E2168" s="12">
        <v>-0.0022</v>
      </c>
      <c r="F2168" s="6">
        <v>365.51</v>
      </c>
      <c r="G2168" s="6">
        <v>362.17</v>
      </c>
      <c r="H2168" s="6">
        <v>369.38</v>
      </c>
      <c r="I2168" s="9">
        <v>1.11113904E8</v>
      </c>
      <c r="J2168" s="6">
        <v>4.0696320593E10</v>
      </c>
    </row>
    <row r="2169">
      <c r="A2169" s="4" t="s">
        <v>10</v>
      </c>
      <c r="B2169" s="5">
        <v>44732.0</v>
      </c>
      <c r="C2169" s="10"/>
      <c r="D2169" s="7"/>
      <c r="E2169" s="8"/>
      <c r="F2169" s="10"/>
      <c r="G2169" s="10"/>
      <c r="H2169" s="10"/>
      <c r="I2169" s="15"/>
      <c r="J2169" s="10"/>
    </row>
    <row r="2170">
      <c r="A2170" s="4" t="s">
        <v>10</v>
      </c>
      <c r="B2170" s="5">
        <v>44733.0</v>
      </c>
      <c r="C2170" s="6">
        <v>375.07</v>
      </c>
      <c r="D2170" s="13">
        <f>+9.21</f>
        <v>9.21</v>
      </c>
      <c r="E2170" s="14">
        <f>+2.52%</f>
        <v>0.0252</v>
      </c>
      <c r="F2170" s="6">
        <v>371.89</v>
      </c>
      <c r="G2170" s="6">
        <v>371.81</v>
      </c>
      <c r="H2170" s="6">
        <v>376.53</v>
      </c>
      <c r="I2170" s="9">
        <v>7.6811861E7</v>
      </c>
      <c r="J2170" s="6">
        <v>2.8756599226E10</v>
      </c>
    </row>
    <row r="2171">
      <c r="A2171" s="4" t="s">
        <v>10</v>
      </c>
      <c r="B2171" s="5">
        <v>44734.0</v>
      </c>
      <c r="C2171" s="6">
        <v>374.39</v>
      </c>
      <c r="D2171" s="11">
        <v>-0.68</v>
      </c>
      <c r="E2171" s="12">
        <v>-0.0018</v>
      </c>
      <c r="F2171" s="6">
        <v>370.62</v>
      </c>
      <c r="G2171" s="6">
        <v>370.18</v>
      </c>
      <c r="H2171" s="6">
        <v>378.72</v>
      </c>
      <c r="I2171" s="9">
        <v>9.0059424E7</v>
      </c>
      <c r="J2171" s="6">
        <v>3.3785774394E10</v>
      </c>
    </row>
    <row r="2172">
      <c r="A2172" s="4" t="s">
        <v>10</v>
      </c>
      <c r="B2172" s="5">
        <v>44735.0</v>
      </c>
      <c r="C2172" s="6">
        <v>378.06</v>
      </c>
      <c r="D2172" s="13">
        <f>+3.67</f>
        <v>3.67</v>
      </c>
      <c r="E2172" s="14">
        <f>+0.98%</f>
        <v>0.0098</v>
      </c>
      <c r="F2172" s="6">
        <v>376.64</v>
      </c>
      <c r="G2172" s="6">
        <v>372.89</v>
      </c>
      <c r="H2172" s="6">
        <v>378.83</v>
      </c>
      <c r="I2172" s="9">
        <v>7.9292135E7</v>
      </c>
      <c r="J2172" s="6">
        <v>2.9831992585E10</v>
      </c>
    </row>
    <row r="2173">
      <c r="A2173" s="4" t="s">
        <v>10</v>
      </c>
      <c r="B2173" s="5">
        <v>44736.0</v>
      </c>
      <c r="C2173" s="6">
        <v>390.08</v>
      </c>
      <c r="D2173" s="13">
        <f>+12.02</f>
        <v>12.02</v>
      </c>
      <c r="E2173" s="14">
        <f>+3.18%</f>
        <v>0.0318</v>
      </c>
      <c r="F2173" s="6">
        <v>381.4</v>
      </c>
      <c r="G2173" s="6">
        <v>381.37</v>
      </c>
      <c r="H2173" s="6">
        <v>390.09</v>
      </c>
      <c r="I2173" s="9">
        <v>9.8050333E7</v>
      </c>
      <c r="J2173" s="6">
        <v>3.7917943627E10</v>
      </c>
    </row>
    <row r="2174">
      <c r="A2174" s="4" t="s">
        <v>10</v>
      </c>
      <c r="B2174" s="5">
        <v>44739.0</v>
      </c>
      <c r="C2174" s="6">
        <v>388.59</v>
      </c>
      <c r="D2174" s="11">
        <v>-1.49</v>
      </c>
      <c r="E2174" s="12">
        <v>-0.0038</v>
      </c>
      <c r="F2174" s="6">
        <v>391.05</v>
      </c>
      <c r="G2174" s="6">
        <v>387.44</v>
      </c>
      <c r="H2174" s="6">
        <v>391.36</v>
      </c>
      <c r="I2174" s="9">
        <v>6.6009617E7</v>
      </c>
      <c r="J2174" s="6">
        <v>2.5683262856E10</v>
      </c>
    </row>
    <row r="2175">
      <c r="A2175" s="4" t="s">
        <v>10</v>
      </c>
      <c r="B2175" s="5">
        <v>44740.0</v>
      </c>
      <c r="C2175" s="6">
        <v>380.65</v>
      </c>
      <c r="D2175" s="11">
        <v>-7.94</v>
      </c>
      <c r="E2175" s="12">
        <v>-0.0204</v>
      </c>
      <c r="F2175" s="6">
        <v>390.23</v>
      </c>
      <c r="G2175" s="6">
        <v>380.53</v>
      </c>
      <c r="H2175" s="6">
        <v>393.16</v>
      </c>
      <c r="I2175" s="9">
        <v>8.6689824E7</v>
      </c>
      <c r="J2175" s="6">
        <v>3.3367640618E10</v>
      </c>
    </row>
    <row r="2176">
      <c r="A2176" s="4" t="s">
        <v>10</v>
      </c>
      <c r="B2176" s="5">
        <v>44741.0</v>
      </c>
      <c r="C2176" s="6">
        <v>380.34</v>
      </c>
      <c r="D2176" s="11">
        <v>-0.31</v>
      </c>
      <c r="E2176" s="12">
        <v>-8.0E-4</v>
      </c>
      <c r="F2176" s="6">
        <v>381.23</v>
      </c>
      <c r="G2176" s="6">
        <v>378.42</v>
      </c>
      <c r="H2176" s="6">
        <v>382.27</v>
      </c>
      <c r="I2176" s="9">
        <v>6.5675999E7</v>
      </c>
      <c r="J2176" s="6">
        <v>2.4982553562E10</v>
      </c>
    </row>
    <row r="2177">
      <c r="A2177" s="4" t="s">
        <v>10</v>
      </c>
      <c r="B2177" s="5">
        <v>44742.0</v>
      </c>
      <c r="C2177" s="6">
        <v>377.25</v>
      </c>
      <c r="D2177" s="11">
        <v>-3.09</v>
      </c>
      <c r="E2177" s="12">
        <v>-0.0081</v>
      </c>
      <c r="F2177" s="6">
        <v>376.24</v>
      </c>
      <c r="G2177" s="6">
        <v>372.56</v>
      </c>
      <c r="H2177" s="6">
        <v>380.66</v>
      </c>
      <c r="I2177" s="9">
        <v>1.12508273E8</v>
      </c>
      <c r="J2177" s="6">
        <v>4.2424035459E10</v>
      </c>
    </row>
    <row r="2178">
      <c r="A2178" s="4" t="s">
        <v>10</v>
      </c>
      <c r="B2178" s="5">
        <v>44743.0</v>
      </c>
      <c r="C2178" s="6">
        <v>381.24</v>
      </c>
      <c r="D2178" s="13">
        <f>+3.99</f>
        <v>3.99</v>
      </c>
      <c r="E2178" s="14">
        <f>+1.06%</f>
        <v>0.0106</v>
      </c>
      <c r="F2178" s="6">
        <v>376.56</v>
      </c>
      <c r="G2178" s="6">
        <v>373.8</v>
      </c>
      <c r="H2178" s="6">
        <v>381.7</v>
      </c>
      <c r="I2178" s="9">
        <v>7.4839729E7</v>
      </c>
      <c r="J2178" s="6">
        <v>2.8306919249E10</v>
      </c>
    </row>
    <row r="2179">
      <c r="A2179" s="4" t="s">
        <v>10</v>
      </c>
      <c r="B2179" s="5">
        <v>44746.0</v>
      </c>
      <c r="C2179" s="10"/>
      <c r="D2179" s="7"/>
      <c r="E2179" s="8"/>
      <c r="F2179" s="10"/>
      <c r="G2179" s="10"/>
      <c r="H2179" s="10"/>
      <c r="I2179" s="15"/>
      <c r="J2179" s="10"/>
    </row>
    <row r="2180">
      <c r="A2180" s="4" t="s">
        <v>10</v>
      </c>
      <c r="B2180" s="5">
        <v>44747.0</v>
      </c>
      <c r="C2180" s="6">
        <v>381.96</v>
      </c>
      <c r="D2180" s="13">
        <f>+0.72</f>
        <v>0.72</v>
      </c>
      <c r="E2180" s="14">
        <f>+0.19%</f>
        <v>0.0019</v>
      </c>
      <c r="F2180" s="6">
        <v>375.88</v>
      </c>
      <c r="G2180" s="6">
        <v>372.9</v>
      </c>
      <c r="H2180" s="6">
        <v>381.98</v>
      </c>
      <c r="I2180" s="9">
        <v>8.1437965E7</v>
      </c>
      <c r="J2180" s="6">
        <v>3.074395257E10</v>
      </c>
    </row>
    <row r="2181">
      <c r="A2181" s="4" t="s">
        <v>10</v>
      </c>
      <c r="B2181" s="5">
        <v>44748.0</v>
      </c>
      <c r="C2181" s="6">
        <v>383.25</v>
      </c>
      <c r="D2181" s="13">
        <f>+1.29</f>
        <v>1.29</v>
      </c>
      <c r="E2181" s="14">
        <f>+0.34%</f>
        <v>0.0034</v>
      </c>
      <c r="F2181" s="6">
        <v>382.11</v>
      </c>
      <c r="G2181" s="6">
        <v>379.6</v>
      </c>
      <c r="H2181" s="6">
        <v>385.87</v>
      </c>
      <c r="I2181" s="9">
        <v>7.0426244E7</v>
      </c>
      <c r="J2181" s="6">
        <v>2.6938878215E10</v>
      </c>
    </row>
    <row r="2182">
      <c r="A2182" s="4" t="s">
        <v>10</v>
      </c>
      <c r="B2182" s="5">
        <v>44749.0</v>
      </c>
      <c r="C2182" s="6">
        <v>388.99</v>
      </c>
      <c r="D2182" s="13">
        <f>+5.74</f>
        <v>5.74</v>
      </c>
      <c r="E2182" s="14">
        <f>+1.5%</f>
        <v>0.015</v>
      </c>
      <c r="F2182" s="6">
        <v>385.12</v>
      </c>
      <c r="G2182" s="6">
        <v>383.27</v>
      </c>
      <c r="H2182" s="6">
        <v>389.83</v>
      </c>
      <c r="I2182" s="9">
        <v>6.4525919E7</v>
      </c>
      <c r="J2182" s="6">
        <v>2.5011962148E10</v>
      </c>
    </row>
    <row r="2183">
      <c r="A2183" s="4" t="s">
        <v>10</v>
      </c>
      <c r="B2183" s="5">
        <v>44750.0</v>
      </c>
      <c r="C2183" s="6">
        <v>388.67</v>
      </c>
      <c r="D2183" s="11">
        <v>-0.32</v>
      </c>
      <c r="E2183" s="12">
        <v>-8.0E-4</v>
      </c>
      <c r="F2183" s="6">
        <v>387.27</v>
      </c>
      <c r="G2183" s="6">
        <v>385.66</v>
      </c>
      <c r="H2183" s="6">
        <v>390.64</v>
      </c>
      <c r="I2183" s="9">
        <v>7.2397765E7</v>
      </c>
      <c r="J2183" s="6">
        <v>2.8137686237E10</v>
      </c>
    </row>
    <row r="2184">
      <c r="A2184" s="4" t="s">
        <v>10</v>
      </c>
      <c r="B2184" s="5">
        <v>44753.0</v>
      </c>
      <c r="C2184" s="6">
        <v>384.23</v>
      </c>
      <c r="D2184" s="11">
        <v>-4.44</v>
      </c>
      <c r="E2184" s="12">
        <v>-0.0114</v>
      </c>
      <c r="F2184" s="6">
        <v>385.85</v>
      </c>
      <c r="G2184" s="6">
        <v>383.5</v>
      </c>
      <c r="H2184" s="6">
        <v>386.87</v>
      </c>
      <c r="I2184" s="9">
        <v>5.8366945E7</v>
      </c>
      <c r="J2184" s="6">
        <v>2.2463753899E10</v>
      </c>
    </row>
    <row r="2185">
      <c r="A2185" s="4" t="s">
        <v>10</v>
      </c>
      <c r="B2185" s="5">
        <v>44754.0</v>
      </c>
      <c r="C2185" s="6">
        <v>380.83</v>
      </c>
      <c r="D2185" s="11">
        <v>-3.4</v>
      </c>
      <c r="E2185" s="12">
        <v>-0.0088</v>
      </c>
      <c r="F2185" s="6">
        <v>383.65</v>
      </c>
      <c r="G2185" s="6">
        <v>378.99</v>
      </c>
      <c r="H2185" s="6">
        <v>386.16</v>
      </c>
      <c r="I2185" s="9">
        <v>6.2219178E7</v>
      </c>
      <c r="J2185" s="6">
        <v>2.3806181749E10</v>
      </c>
    </row>
    <row r="2186">
      <c r="A2186" s="4" t="s">
        <v>10</v>
      </c>
      <c r="B2186" s="5">
        <v>44755.0</v>
      </c>
      <c r="C2186" s="6">
        <v>378.83</v>
      </c>
      <c r="D2186" s="11">
        <v>-2.0</v>
      </c>
      <c r="E2186" s="12">
        <v>-0.0053</v>
      </c>
      <c r="F2186" s="6">
        <v>375.1</v>
      </c>
      <c r="G2186" s="6">
        <v>374.66</v>
      </c>
      <c r="H2186" s="6">
        <v>381.92</v>
      </c>
      <c r="I2186" s="9">
        <v>8.4224649E7</v>
      </c>
      <c r="J2186" s="6">
        <v>3.190667415E10</v>
      </c>
    </row>
    <row r="2187">
      <c r="A2187" s="4" t="s">
        <v>10</v>
      </c>
      <c r="B2187" s="5">
        <v>44756.0</v>
      </c>
      <c r="C2187" s="6">
        <v>377.91</v>
      </c>
      <c r="D2187" s="11">
        <v>-0.92</v>
      </c>
      <c r="E2187" s="12">
        <v>-0.0024</v>
      </c>
      <c r="F2187" s="6">
        <v>373.61</v>
      </c>
      <c r="G2187" s="6">
        <v>371.04</v>
      </c>
      <c r="H2187" s="6">
        <v>379.05</v>
      </c>
      <c r="I2187" s="9">
        <v>8.9704819E7</v>
      </c>
      <c r="J2187" s="6">
        <v>3.3691620748E10</v>
      </c>
    </row>
    <row r="2188">
      <c r="A2188" s="4" t="s">
        <v>10</v>
      </c>
      <c r="B2188" s="5">
        <v>44757.0</v>
      </c>
      <c r="C2188" s="6">
        <v>385.13</v>
      </c>
      <c r="D2188" s="13">
        <f>+7.22</f>
        <v>7.22</v>
      </c>
      <c r="E2188" s="14">
        <f>+1.91%</f>
        <v>0.0191</v>
      </c>
      <c r="F2188" s="6">
        <v>382.55</v>
      </c>
      <c r="G2188" s="6">
        <v>380.54</v>
      </c>
      <c r="H2188" s="6">
        <v>385.25</v>
      </c>
      <c r="I2188" s="9">
        <v>7.9060383E7</v>
      </c>
      <c r="J2188" s="6">
        <v>3.0305824468E10</v>
      </c>
    </row>
    <row r="2189">
      <c r="A2189" s="4" t="s">
        <v>10</v>
      </c>
      <c r="B2189" s="5">
        <v>44760.0</v>
      </c>
      <c r="C2189" s="6">
        <v>381.95</v>
      </c>
      <c r="D2189" s="11">
        <v>-3.18</v>
      </c>
      <c r="E2189" s="12">
        <v>-0.0083</v>
      </c>
      <c r="F2189" s="6">
        <v>388.38</v>
      </c>
      <c r="G2189" s="6">
        <v>380.66</v>
      </c>
      <c r="H2189" s="6">
        <v>389.09</v>
      </c>
      <c r="I2189" s="9">
        <v>6.3203626E7</v>
      </c>
      <c r="J2189" s="6">
        <v>2.4339145997E10</v>
      </c>
    </row>
    <row r="2190">
      <c r="A2190" s="4" t="s">
        <v>10</v>
      </c>
      <c r="B2190" s="5">
        <v>44761.0</v>
      </c>
      <c r="C2190" s="6">
        <v>392.27</v>
      </c>
      <c r="D2190" s="13">
        <f>+10.32</f>
        <v>10.32</v>
      </c>
      <c r="E2190" s="14">
        <f>+2.7%</f>
        <v>0.027</v>
      </c>
      <c r="F2190" s="6">
        <v>386.08</v>
      </c>
      <c r="G2190" s="6">
        <v>385.39</v>
      </c>
      <c r="H2190" s="6">
        <v>392.87</v>
      </c>
      <c r="I2190" s="9">
        <v>7.8505972E7</v>
      </c>
      <c r="J2190" s="6">
        <v>3.0567544052E10</v>
      </c>
    </row>
    <row r="2191">
      <c r="A2191" s="4" t="s">
        <v>10</v>
      </c>
      <c r="B2191" s="5">
        <v>44762.0</v>
      </c>
      <c r="C2191" s="6">
        <v>394.77</v>
      </c>
      <c r="D2191" s="13">
        <f>+2.5</f>
        <v>2.5</v>
      </c>
      <c r="E2191" s="14">
        <f>+0.64%</f>
        <v>0.0064</v>
      </c>
      <c r="F2191" s="6">
        <v>392.47</v>
      </c>
      <c r="G2191" s="6">
        <v>391.03</v>
      </c>
      <c r="H2191" s="6">
        <v>396.26</v>
      </c>
      <c r="I2191" s="9">
        <v>7.1843769E7</v>
      </c>
      <c r="J2191" s="6">
        <v>2.831872743E10</v>
      </c>
    </row>
    <row r="2192">
      <c r="A2192" s="4" t="s">
        <v>10</v>
      </c>
      <c r="B2192" s="5">
        <v>44763.0</v>
      </c>
      <c r="C2192" s="6">
        <v>398.79</v>
      </c>
      <c r="D2192" s="13">
        <f>+4.02</f>
        <v>4.02</v>
      </c>
      <c r="E2192" s="14">
        <f>+1.02%</f>
        <v>0.0102</v>
      </c>
      <c r="F2192" s="6">
        <v>394.16</v>
      </c>
      <c r="G2192" s="6">
        <v>391.63</v>
      </c>
      <c r="H2192" s="6">
        <v>398.84</v>
      </c>
      <c r="I2192" s="9">
        <v>6.4903856E7</v>
      </c>
      <c r="J2192" s="6">
        <v>2.5709835362E10</v>
      </c>
    </row>
    <row r="2193">
      <c r="A2193" s="4" t="s">
        <v>10</v>
      </c>
      <c r="B2193" s="5">
        <v>44764.0</v>
      </c>
      <c r="C2193" s="6">
        <v>395.09</v>
      </c>
      <c r="D2193" s="11">
        <v>-3.7</v>
      </c>
      <c r="E2193" s="12">
        <v>-0.0093</v>
      </c>
      <c r="F2193" s="6">
        <v>398.92</v>
      </c>
      <c r="G2193" s="6">
        <v>392.75</v>
      </c>
      <c r="H2193" s="6">
        <v>400.18</v>
      </c>
      <c r="I2193" s="9">
        <v>7.2197332E7</v>
      </c>
      <c r="J2193" s="6">
        <v>2.8586041412E10</v>
      </c>
    </row>
    <row r="2194">
      <c r="A2194" s="4" t="s">
        <v>10</v>
      </c>
      <c r="B2194" s="5">
        <v>44767.0</v>
      </c>
      <c r="C2194" s="6">
        <v>395.57</v>
      </c>
      <c r="D2194" s="13">
        <f>+0.48</f>
        <v>0.48</v>
      </c>
      <c r="E2194" s="14">
        <f>+0.12%</f>
        <v>0.0012</v>
      </c>
      <c r="F2194" s="6">
        <v>395.75</v>
      </c>
      <c r="G2194" s="6">
        <v>393.21</v>
      </c>
      <c r="H2194" s="6">
        <v>396.47</v>
      </c>
      <c r="I2194" s="9">
        <v>5.3631485E7</v>
      </c>
      <c r="J2194" s="6">
        <v>2.118683799E10</v>
      </c>
    </row>
    <row r="2195">
      <c r="A2195" s="4" t="s">
        <v>10</v>
      </c>
      <c r="B2195" s="5">
        <v>44768.0</v>
      </c>
      <c r="C2195" s="6">
        <v>390.89</v>
      </c>
      <c r="D2195" s="11">
        <v>-4.68</v>
      </c>
      <c r="E2195" s="12">
        <v>-0.0118</v>
      </c>
      <c r="F2195" s="6">
        <v>393.84</v>
      </c>
      <c r="G2195" s="6">
        <v>389.95</v>
      </c>
      <c r="H2195" s="6">
        <v>394.06</v>
      </c>
      <c r="I2195" s="9">
        <v>5.2946393E7</v>
      </c>
      <c r="J2195" s="6">
        <v>2.0747335686E10</v>
      </c>
    </row>
    <row r="2196">
      <c r="A2196" s="4" t="s">
        <v>10</v>
      </c>
      <c r="B2196" s="5">
        <v>44769.0</v>
      </c>
      <c r="C2196" s="6">
        <v>401.04</v>
      </c>
      <c r="D2196" s="13">
        <f>+10.15</f>
        <v>10.15</v>
      </c>
      <c r="E2196" s="14">
        <f>+2.6%</f>
        <v>0.026</v>
      </c>
      <c r="F2196" s="6">
        <v>394.36</v>
      </c>
      <c r="G2196" s="6">
        <v>394.05</v>
      </c>
      <c r="H2196" s="6">
        <v>402.88</v>
      </c>
      <c r="I2196" s="9">
        <v>8.2342106E7</v>
      </c>
      <c r="J2196" s="6">
        <v>3.2797090756E10</v>
      </c>
    </row>
    <row r="2197">
      <c r="A2197" s="4" t="s">
        <v>10</v>
      </c>
      <c r="B2197" s="5">
        <v>44770.0</v>
      </c>
      <c r="C2197" s="6">
        <v>406.07</v>
      </c>
      <c r="D2197" s="13">
        <f>+5.03</f>
        <v>5.03</v>
      </c>
      <c r="E2197" s="14">
        <f>+1.25%</f>
        <v>0.0125</v>
      </c>
      <c r="F2197" s="6">
        <v>401.89</v>
      </c>
      <c r="G2197" s="6">
        <v>398.15</v>
      </c>
      <c r="H2197" s="6">
        <v>406.8</v>
      </c>
      <c r="I2197" s="9">
        <v>7.3966563E7</v>
      </c>
      <c r="J2197" s="6">
        <v>2.9856181912E10</v>
      </c>
    </row>
    <row r="2198">
      <c r="A2198" s="4" t="s">
        <v>10</v>
      </c>
      <c r="B2198" s="5">
        <v>44771.0</v>
      </c>
      <c r="C2198" s="6">
        <v>411.99</v>
      </c>
      <c r="D2198" s="13">
        <f>+5.92</f>
        <v>5.92</v>
      </c>
      <c r="E2198" s="14">
        <f>+1.46%</f>
        <v>0.0146</v>
      </c>
      <c r="F2198" s="6">
        <v>407.58</v>
      </c>
      <c r="G2198" s="6">
        <v>406.77</v>
      </c>
      <c r="H2198" s="6">
        <v>413.03</v>
      </c>
      <c r="I2198" s="9">
        <v>8.7003672E7</v>
      </c>
      <c r="J2198" s="6">
        <v>3.5729947028E10</v>
      </c>
    </row>
    <row r="2199">
      <c r="A2199" s="4" t="s">
        <v>10</v>
      </c>
      <c r="B2199" s="5">
        <v>44774.0</v>
      </c>
      <c r="C2199" s="6">
        <v>410.77</v>
      </c>
      <c r="D2199" s="11">
        <v>-1.22</v>
      </c>
      <c r="E2199" s="12">
        <v>-0.003</v>
      </c>
      <c r="F2199" s="6">
        <v>409.15</v>
      </c>
      <c r="G2199" s="6">
        <v>408.4</v>
      </c>
      <c r="H2199" s="6">
        <v>413.41</v>
      </c>
      <c r="I2199" s="9">
        <v>6.9997471E7</v>
      </c>
      <c r="J2199" s="6">
        <v>2.8774301027E10</v>
      </c>
    </row>
    <row r="2200">
      <c r="A2200" s="4" t="s">
        <v>10</v>
      </c>
      <c r="B2200" s="5">
        <v>44775.0</v>
      </c>
      <c r="C2200" s="6">
        <v>408.06</v>
      </c>
      <c r="D2200" s="11">
        <v>-2.71</v>
      </c>
      <c r="E2200" s="12">
        <v>-0.0066</v>
      </c>
      <c r="F2200" s="6">
        <v>409.12</v>
      </c>
      <c r="G2200" s="6">
        <v>406.82</v>
      </c>
      <c r="H2200" s="6">
        <v>413.0</v>
      </c>
      <c r="I2200" s="9">
        <v>6.3435418E7</v>
      </c>
      <c r="J2200" s="6">
        <v>2.5985155095E10</v>
      </c>
    </row>
    <row r="2201">
      <c r="A2201" s="4" t="s">
        <v>10</v>
      </c>
      <c r="B2201" s="5">
        <v>44776.0</v>
      </c>
      <c r="C2201" s="6">
        <v>414.45</v>
      </c>
      <c r="D2201" s="13">
        <f>+6.39</f>
        <v>6.39</v>
      </c>
      <c r="E2201" s="14">
        <f>+1.57%</f>
        <v>0.0157</v>
      </c>
      <c r="F2201" s="6">
        <v>410.3</v>
      </c>
      <c r="G2201" s="6">
        <v>410.0</v>
      </c>
      <c r="H2201" s="6">
        <v>415.68</v>
      </c>
      <c r="I2201" s="9">
        <v>6.7820555E7</v>
      </c>
      <c r="J2201" s="6">
        <v>2.802818364E10</v>
      </c>
    </row>
    <row r="2202">
      <c r="A2202" s="4" t="s">
        <v>10</v>
      </c>
      <c r="B2202" s="5">
        <v>44777.0</v>
      </c>
      <c r="C2202" s="6">
        <v>414.17</v>
      </c>
      <c r="D2202" s="11">
        <v>-0.28</v>
      </c>
      <c r="E2202" s="12">
        <v>-7.0E-4</v>
      </c>
      <c r="F2202" s="6">
        <v>414.37</v>
      </c>
      <c r="G2202" s="6">
        <v>412.44</v>
      </c>
      <c r="H2202" s="6">
        <v>415.09</v>
      </c>
      <c r="I2202" s="9">
        <v>4.5656574E7</v>
      </c>
      <c r="J2202" s="6">
        <v>1.8905495077E10</v>
      </c>
    </row>
    <row r="2203">
      <c r="A2203" s="4" t="s">
        <v>10</v>
      </c>
      <c r="B2203" s="5">
        <v>44778.0</v>
      </c>
      <c r="C2203" s="6">
        <v>413.47</v>
      </c>
      <c r="D2203" s="11">
        <v>-0.7</v>
      </c>
      <c r="E2203" s="12">
        <v>-0.0017</v>
      </c>
      <c r="F2203" s="6">
        <v>409.66</v>
      </c>
      <c r="G2203" s="6">
        <v>409.6</v>
      </c>
      <c r="H2203" s="6">
        <v>414.15</v>
      </c>
      <c r="I2203" s="9">
        <v>5.6814929E7</v>
      </c>
      <c r="J2203" s="6">
        <v>2.342435996E10</v>
      </c>
    </row>
    <row r="2204">
      <c r="A2204" s="4" t="s">
        <v>10</v>
      </c>
      <c r="B2204" s="5">
        <v>44781.0</v>
      </c>
      <c r="C2204" s="6">
        <v>412.99</v>
      </c>
      <c r="D2204" s="11">
        <v>-0.48</v>
      </c>
      <c r="E2204" s="12">
        <v>-0.0012</v>
      </c>
      <c r="F2204" s="6">
        <v>415.25</v>
      </c>
      <c r="G2204" s="6">
        <v>411.83</v>
      </c>
      <c r="H2204" s="6">
        <v>417.62</v>
      </c>
      <c r="I2204" s="9">
        <v>5.4025965E7</v>
      </c>
      <c r="J2204" s="6">
        <v>2.2389580107E10</v>
      </c>
    </row>
    <row r="2205">
      <c r="A2205" s="4" t="s">
        <v>10</v>
      </c>
      <c r="B2205" s="5">
        <v>44782.0</v>
      </c>
      <c r="C2205" s="6">
        <v>411.35</v>
      </c>
      <c r="D2205" s="11">
        <v>-1.64</v>
      </c>
      <c r="E2205" s="12">
        <v>-0.004</v>
      </c>
      <c r="F2205" s="6">
        <v>412.22</v>
      </c>
      <c r="G2205" s="6">
        <v>410.22</v>
      </c>
      <c r="H2205" s="6">
        <v>412.75</v>
      </c>
      <c r="I2205" s="9">
        <v>4.4931772E7</v>
      </c>
      <c r="J2205" s="6">
        <v>1.8481902403E10</v>
      </c>
    </row>
    <row r="2206">
      <c r="A2206" s="4" t="s">
        <v>10</v>
      </c>
      <c r="B2206" s="5">
        <v>44783.0</v>
      </c>
      <c r="C2206" s="6">
        <v>419.99</v>
      </c>
      <c r="D2206" s="13">
        <f>+8.64</f>
        <v>8.64</v>
      </c>
      <c r="E2206" s="14">
        <f>+2.1%</f>
        <v>0.021</v>
      </c>
      <c r="F2206" s="6">
        <v>418.78</v>
      </c>
      <c r="G2206" s="6">
        <v>416.72</v>
      </c>
      <c r="H2206" s="6">
        <v>420.14</v>
      </c>
      <c r="I2206" s="9">
        <v>6.8665712E7</v>
      </c>
      <c r="J2206" s="6">
        <v>2.8715194142E10</v>
      </c>
    </row>
    <row r="2207">
      <c r="A2207" s="4" t="s">
        <v>10</v>
      </c>
      <c r="B2207" s="5">
        <v>44784.0</v>
      </c>
      <c r="C2207" s="6">
        <v>419.99</v>
      </c>
      <c r="D2207" s="11">
        <v>0.0</v>
      </c>
      <c r="E2207" s="12">
        <v>0.0</v>
      </c>
      <c r="F2207" s="6">
        <v>422.99</v>
      </c>
      <c r="G2207" s="6">
        <v>419.21</v>
      </c>
      <c r="H2207" s="6">
        <v>424.95</v>
      </c>
      <c r="I2207" s="9">
        <v>5.9489704E7</v>
      </c>
      <c r="J2207" s="6">
        <v>2.5079439215E10</v>
      </c>
    </row>
    <row r="2208">
      <c r="A2208" s="4" t="s">
        <v>10</v>
      </c>
      <c r="B2208" s="5">
        <v>44785.0</v>
      </c>
      <c r="C2208" s="6">
        <v>427.1</v>
      </c>
      <c r="D2208" s="13">
        <f>+7.11</f>
        <v>7.11</v>
      </c>
      <c r="E2208" s="14">
        <f>+1.69%</f>
        <v>0.0169</v>
      </c>
      <c r="F2208" s="6">
        <v>422.03</v>
      </c>
      <c r="G2208" s="6">
        <v>421.03</v>
      </c>
      <c r="H2208" s="6">
        <v>427.21</v>
      </c>
      <c r="I2208" s="9">
        <v>6.1694542E7</v>
      </c>
      <c r="J2208" s="6">
        <v>2.6192659839E10</v>
      </c>
    </row>
    <row r="2209">
      <c r="A2209" s="4" t="s">
        <v>10</v>
      </c>
      <c r="B2209" s="5">
        <v>44788.0</v>
      </c>
      <c r="C2209" s="6">
        <v>428.86</v>
      </c>
      <c r="D2209" s="13">
        <f>+1.76</f>
        <v>1.76</v>
      </c>
      <c r="E2209" s="14">
        <f>+0.41%</f>
        <v>0.0041</v>
      </c>
      <c r="F2209" s="6">
        <v>424.77</v>
      </c>
      <c r="G2209" s="6">
        <v>424.71</v>
      </c>
      <c r="H2209" s="6">
        <v>429.41</v>
      </c>
      <c r="I2209" s="9">
        <v>5.404828E7</v>
      </c>
      <c r="J2209" s="6">
        <v>2.3113063425E10</v>
      </c>
    </row>
    <row r="2210">
      <c r="A2210" s="4" t="s">
        <v>10</v>
      </c>
      <c r="B2210" s="5">
        <v>44789.0</v>
      </c>
      <c r="C2210" s="6">
        <v>429.7</v>
      </c>
      <c r="D2210" s="13">
        <f>+0.84</f>
        <v>0.84</v>
      </c>
      <c r="E2210" s="14">
        <f>+0.2%</f>
        <v>0.002</v>
      </c>
      <c r="F2210" s="6">
        <v>427.73</v>
      </c>
      <c r="G2210" s="6">
        <v>426.88</v>
      </c>
      <c r="H2210" s="6">
        <v>431.73</v>
      </c>
      <c r="I2210" s="9">
        <v>5.9289039E7</v>
      </c>
      <c r="J2210" s="6">
        <v>2.5453274164E10</v>
      </c>
    </row>
    <row r="2211">
      <c r="A2211" s="4" t="s">
        <v>10</v>
      </c>
      <c r="B2211" s="5">
        <v>44790.0</v>
      </c>
      <c r="C2211" s="6">
        <v>426.65</v>
      </c>
      <c r="D2211" s="11">
        <v>-3.05</v>
      </c>
      <c r="E2211" s="12">
        <v>-0.0071</v>
      </c>
      <c r="F2211" s="6">
        <v>425.91</v>
      </c>
      <c r="G2211" s="6">
        <v>424.54</v>
      </c>
      <c r="H2211" s="6">
        <v>429.5</v>
      </c>
      <c r="I2211" s="9">
        <v>6.3563394E7</v>
      </c>
      <c r="J2211" s="6">
        <v>2.7139446502E10</v>
      </c>
    </row>
    <row r="2212">
      <c r="A2212" s="4" t="s">
        <v>10</v>
      </c>
      <c r="B2212" s="5">
        <v>44791.0</v>
      </c>
      <c r="C2212" s="6">
        <v>427.89</v>
      </c>
      <c r="D2212" s="13">
        <f>+1.24</f>
        <v>1.24</v>
      </c>
      <c r="E2212" s="14">
        <f>+0.29%</f>
        <v>0.0029</v>
      </c>
      <c r="F2212" s="6">
        <v>426.86</v>
      </c>
      <c r="G2212" s="6">
        <v>425.5</v>
      </c>
      <c r="H2212" s="6">
        <v>428.61</v>
      </c>
      <c r="I2212" s="9">
        <v>4.9023206E7</v>
      </c>
      <c r="J2212" s="6">
        <v>2.0940346661E10</v>
      </c>
    </row>
    <row r="2213">
      <c r="A2213" s="4" t="s">
        <v>10</v>
      </c>
      <c r="B2213" s="5">
        <v>44792.0</v>
      </c>
      <c r="C2213" s="6">
        <v>422.14</v>
      </c>
      <c r="D2213" s="11">
        <v>-5.75</v>
      </c>
      <c r="E2213" s="12">
        <v>-0.0134</v>
      </c>
      <c r="F2213" s="6">
        <v>424.98</v>
      </c>
      <c r="G2213" s="6">
        <v>421.22</v>
      </c>
      <c r="H2213" s="6">
        <v>425.26</v>
      </c>
      <c r="I2213" s="9">
        <v>6.8016902E7</v>
      </c>
      <c r="J2213" s="6">
        <v>2.8777648288E10</v>
      </c>
    </row>
    <row r="2214">
      <c r="A2214" s="4" t="s">
        <v>10</v>
      </c>
      <c r="B2214" s="5">
        <v>44795.0</v>
      </c>
      <c r="C2214" s="6">
        <v>413.35</v>
      </c>
      <c r="D2214" s="11">
        <v>-8.79</v>
      </c>
      <c r="E2214" s="12">
        <v>-0.0208</v>
      </c>
      <c r="F2214" s="6">
        <v>417.05</v>
      </c>
      <c r="G2214" s="6">
        <v>412.4</v>
      </c>
      <c r="H2214" s="6">
        <v>417.23</v>
      </c>
      <c r="I2214" s="9">
        <v>7.769564E7</v>
      </c>
      <c r="J2214" s="6">
        <v>3.2247372849E10</v>
      </c>
    </row>
    <row r="2215">
      <c r="A2215" s="4" t="s">
        <v>10</v>
      </c>
      <c r="B2215" s="5">
        <v>44796.0</v>
      </c>
      <c r="C2215" s="6">
        <v>412.35</v>
      </c>
      <c r="D2215" s="11">
        <v>-1.0</v>
      </c>
      <c r="E2215" s="12">
        <v>-0.0024</v>
      </c>
      <c r="F2215" s="6">
        <v>412.9</v>
      </c>
      <c r="G2215" s="6">
        <v>411.77</v>
      </c>
      <c r="H2215" s="6">
        <v>415.42</v>
      </c>
      <c r="I2215" s="9">
        <v>4.9105249E7</v>
      </c>
      <c r="J2215" s="6">
        <v>2.02851871E10</v>
      </c>
    </row>
    <row r="2216">
      <c r="A2216" s="4" t="s">
        <v>10</v>
      </c>
      <c r="B2216" s="5">
        <v>44797.0</v>
      </c>
      <c r="C2216" s="6">
        <v>413.67</v>
      </c>
      <c r="D2216" s="13">
        <f>+1.32</f>
        <v>1.32</v>
      </c>
      <c r="E2216" s="14">
        <f>+0.32%</f>
        <v>0.0032</v>
      </c>
      <c r="F2216" s="6">
        <v>412.11</v>
      </c>
      <c r="G2216" s="6">
        <v>411.39</v>
      </c>
      <c r="H2216" s="6">
        <v>415.11</v>
      </c>
      <c r="I2216" s="9">
        <v>4.9177804E7</v>
      </c>
      <c r="J2216" s="6">
        <v>2.0329311527E10</v>
      </c>
    </row>
    <row r="2217">
      <c r="A2217" s="4" t="s">
        <v>10</v>
      </c>
      <c r="B2217" s="5">
        <v>44798.0</v>
      </c>
      <c r="C2217" s="6">
        <v>419.51</v>
      </c>
      <c r="D2217" s="13">
        <f>+5.84</f>
        <v>5.84</v>
      </c>
      <c r="E2217" s="14">
        <f>+1.41%</f>
        <v>0.0141</v>
      </c>
      <c r="F2217" s="6">
        <v>415.24</v>
      </c>
      <c r="G2217" s="6">
        <v>414.09</v>
      </c>
      <c r="H2217" s="6">
        <v>419.56</v>
      </c>
      <c r="I2217" s="9">
        <v>5.0942252E7</v>
      </c>
      <c r="J2217" s="6">
        <v>2.1238735241E10</v>
      </c>
    </row>
    <row r="2218">
      <c r="A2218" s="4" t="s">
        <v>10</v>
      </c>
      <c r="B2218" s="5">
        <v>44799.0</v>
      </c>
      <c r="C2218" s="6">
        <v>405.31</v>
      </c>
      <c r="D2218" s="11">
        <v>-14.2</v>
      </c>
      <c r="E2218" s="12">
        <v>-0.0338</v>
      </c>
      <c r="F2218" s="6">
        <v>419.39</v>
      </c>
      <c r="G2218" s="6">
        <v>405.25</v>
      </c>
      <c r="H2218" s="6">
        <v>419.96</v>
      </c>
      <c r="I2218" s="9">
        <v>1.03086976E8</v>
      </c>
      <c r="J2218" s="6">
        <v>4.2347043192E10</v>
      </c>
    </row>
    <row r="2219">
      <c r="A2219" s="4" t="s">
        <v>10</v>
      </c>
      <c r="B2219" s="5">
        <v>44802.0</v>
      </c>
      <c r="C2219" s="6">
        <v>402.63</v>
      </c>
      <c r="D2219" s="11">
        <v>-2.68</v>
      </c>
      <c r="E2219" s="12">
        <v>-0.0066</v>
      </c>
      <c r="F2219" s="6">
        <v>402.2</v>
      </c>
      <c r="G2219" s="6">
        <v>401.2</v>
      </c>
      <c r="H2219" s="6">
        <v>405.84</v>
      </c>
      <c r="I2219" s="9">
        <v>6.537081E7</v>
      </c>
      <c r="J2219" s="6">
        <v>2.6380602825E10</v>
      </c>
    </row>
    <row r="2220">
      <c r="A2220" s="4" t="s">
        <v>10</v>
      </c>
      <c r="B2220" s="5">
        <v>44803.0</v>
      </c>
      <c r="C2220" s="6">
        <v>398.21</v>
      </c>
      <c r="D2220" s="11">
        <v>-4.42</v>
      </c>
      <c r="E2220" s="12">
        <v>-0.011</v>
      </c>
      <c r="F2220" s="6">
        <v>403.85</v>
      </c>
      <c r="G2220" s="6">
        <v>396.0</v>
      </c>
      <c r="H2220" s="6">
        <v>404.1</v>
      </c>
      <c r="I2220" s="9">
        <v>8.5652443E7</v>
      </c>
      <c r="J2220" s="6">
        <v>3.4182360885E10</v>
      </c>
    </row>
    <row r="2221">
      <c r="A2221" s="4" t="s">
        <v>10</v>
      </c>
      <c r="B2221" s="5">
        <v>44804.0</v>
      </c>
      <c r="C2221" s="6">
        <v>395.18</v>
      </c>
      <c r="D2221" s="11">
        <v>-3.03</v>
      </c>
      <c r="E2221" s="12">
        <v>-0.0076</v>
      </c>
      <c r="F2221" s="6">
        <v>399.93</v>
      </c>
      <c r="G2221" s="6">
        <v>395.04</v>
      </c>
      <c r="H2221" s="6">
        <v>401.24</v>
      </c>
      <c r="I2221" s="9">
        <v>7.6029671E7</v>
      </c>
      <c r="J2221" s="6">
        <v>3.0200090006E10</v>
      </c>
    </row>
    <row r="2222">
      <c r="A2222" s="4" t="s">
        <v>10</v>
      </c>
      <c r="B2222" s="5">
        <v>44805.0</v>
      </c>
      <c r="C2222" s="6">
        <v>396.42</v>
      </c>
      <c r="D2222" s="13">
        <f>+1.24</f>
        <v>1.24</v>
      </c>
      <c r="E2222" s="14">
        <f>+0.31%</f>
        <v>0.0031</v>
      </c>
      <c r="F2222" s="6">
        <v>392.89</v>
      </c>
      <c r="G2222" s="6">
        <v>390.04</v>
      </c>
      <c r="H2222" s="6">
        <v>396.78</v>
      </c>
      <c r="I2222" s="9">
        <v>7.8740084E7</v>
      </c>
      <c r="J2222" s="6">
        <v>3.0949035079E10</v>
      </c>
    </row>
    <row r="2223">
      <c r="A2223" s="4" t="s">
        <v>10</v>
      </c>
      <c r="B2223" s="5">
        <v>44806.0</v>
      </c>
      <c r="C2223" s="6">
        <v>392.24</v>
      </c>
      <c r="D2223" s="11">
        <v>-4.18</v>
      </c>
      <c r="E2223" s="12">
        <v>-0.0105</v>
      </c>
      <c r="F2223" s="6">
        <v>400.28</v>
      </c>
      <c r="G2223" s="6">
        <v>390.33</v>
      </c>
      <c r="H2223" s="6">
        <v>401.56</v>
      </c>
      <c r="I2223" s="9">
        <v>9.9632149E7</v>
      </c>
      <c r="J2223" s="6">
        <v>3.939244355E10</v>
      </c>
    </row>
    <row r="2224">
      <c r="A2224" s="4" t="s">
        <v>10</v>
      </c>
      <c r="B2224" s="5">
        <v>44809.0</v>
      </c>
      <c r="C2224" s="10"/>
      <c r="D2224" s="7"/>
      <c r="E2224" s="8"/>
      <c r="F2224" s="10"/>
      <c r="G2224" s="10"/>
      <c r="H2224" s="10"/>
      <c r="I2224" s="15"/>
      <c r="J2224" s="10"/>
    </row>
    <row r="2225">
      <c r="A2225" s="4" t="s">
        <v>10</v>
      </c>
      <c r="B2225" s="5">
        <v>44810.0</v>
      </c>
      <c r="C2225" s="6">
        <v>390.76</v>
      </c>
      <c r="D2225" s="11">
        <v>-1.48</v>
      </c>
      <c r="E2225" s="12">
        <v>-0.0038</v>
      </c>
      <c r="F2225" s="6">
        <v>393.13</v>
      </c>
      <c r="G2225" s="6">
        <v>388.42</v>
      </c>
      <c r="H2225" s="6">
        <v>394.12</v>
      </c>
      <c r="I2225" s="9">
        <v>7.66374E7</v>
      </c>
      <c r="J2225" s="6">
        <v>2.9984985311E10</v>
      </c>
    </row>
    <row r="2226">
      <c r="A2226" s="4" t="s">
        <v>10</v>
      </c>
      <c r="B2226" s="5">
        <v>44811.0</v>
      </c>
      <c r="C2226" s="6">
        <v>397.78</v>
      </c>
      <c r="D2226" s="13">
        <f>+7.02</f>
        <v>7.02</v>
      </c>
      <c r="E2226" s="14">
        <f>+1.8%</f>
        <v>0.018</v>
      </c>
      <c r="F2226" s="6">
        <v>390.43</v>
      </c>
      <c r="G2226" s="6">
        <v>390.2</v>
      </c>
      <c r="H2226" s="6">
        <v>398.59</v>
      </c>
      <c r="I2226" s="9">
        <v>7.0964232E7</v>
      </c>
      <c r="J2226" s="6">
        <v>2.8050513856E10</v>
      </c>
    </row>
    <row r="2227">
      <c r="A2227" s="4" t="s">
        <v>10</v>
      </c>
      <c r="B2227" s="5">
        <v>44812.0</v>
      </c>
      <c r="C2227" s="6">
        <v>400.38</v>
      </c>
      <c r="D2227" s="13">
        <f>+2.6</f>
        <v>2.6</v>
      </c>
      <c r="E2227" s="14">
        <f>+0.65%</f>
        <v>0.0065</v>
      </c>
      <c r="F2227" s="6">
        <v>395.39</v>
      </c>
      <c r="G2227" s="6">
        <v>394.12</v>
      </c>
      <c r="H2227" s="6">
        <v>400.86</v>
      </c>
      <c r="I2227" s="9">
        <v>8.0821681E7</v>
      </c>
      <c r="J2227" s="6">
        <v>3.2192378617E10</v>
      </c>
    </row>
    <row r="2228">
      <c r="A2228" s="4" t="s">
        <v>10</v>
      </c>
      <c r="B2228" s="5">
        <v>44813.0</v>
      </c>
      <c r="C2228" s="6">
        <v>406.6</v>
      </c>
      <c r="D2228" s="13">
        <f>+6.22</f>
        <v>6.22</v>
      </c>
      <c r="E2228" s="14">
        <f>+1.55%</f>
        <v>0.0155</v>
      </c>
      <c r="F2228" s="6">
        <v>402.74</v>
      </c>
      <c r="G2228" s="6">
        <v>402.46</v>
      </c>
      <c r="H2228" s="6">
        <v>407.51</v>
      </c>
      <c r="I2228" s="9">
        <v>7.6706918E7</v>
      </c>
      <c r="J2228" s="6">
        <v>3.1103597473E10</v>
      </c>
    </row>
    <row r="2229">
      <c r="A2229" s="4" t="s">
        <v>10</v>
      </c>
      <c r="B2229" s="5">
        <v>44816.0</v>
      </c>
      <c r="C2229" s="6">
        <v>410.97</v>
      </c>
      <c r="D2229" s="13">
        <f>+4.37</f>
        <v>4.37</v>
      </c>
      <c r="E2229" s="14">
        <f>+1.07%</f>
        <v>0.0107</v>
      </c>
      <c r="F2229" s="6">
        <v>408.78</v>
      </c>
      <c r="G2229" s="6">
        <v>408.46</v>
      </c>
      <c r="H2229" s="6">
        <v>411.73</v>
      </c>
      <c r="I2229" s="9">
        <v>6.9256262E7</v>
      </c>
      <c r="J2229" s="6">
        <v>2.8406014111E10</v>
      </c>
    </row>
    <row r="2230">
      <c r="A2230" s="4" t="s">
        <v>10</v>
      </c>
      <c r="B2230" s="5">
        <v>44817.0</v>
      </c>
      <c r="C2230" s="6">
        <v>393.1</v>
      </c>
      <c r="D2230" s="11">
        <v>-17.87</v>
      </c>
      <c r="E2230" s="12">
        <v>-0.0435</v>
      </c>
      <c r="F2230" s="6">
        <v>401.83</v>
      </c>
      <c r="G2230" s="6">
        <v>391.92</v>
      </c>
      <c r="H2230" s="6">
        <v>403.1</v>
      </c>
      <c r="I2230" s="9">
        <v>1.22947081E8</v>
      </c>
      <c r="J2230" s="6">
        <v>4.9036191572E10</v>
      </c>
    </row>
    <row r="2231">
      <c r="A2231" s="4" t="s">
        <v>10</v>
      </c>
      <c r="B2231" s="5">
        <v>44818.0</v>
      </c>
      <c r="C2231" s="6">
        <v>394.6</v>
      </c>
      <c r="D2231" s="13">
        <f>+1.5</f>
        <v>1.5</v>
      </c>
      <c r="E2231" s="14">
        <f>+0.38%</f>
        <v>0.0038</v>
      </c>
      <c r="F2231" s="6">
        <v>394.47</v>
      </c>
      <c r="G2231" s="6">
        <v>391.12</v>
      </c>
      <c r="H2231" s="6">
        <v>396.2</v>
      </c>
      <c r="I2231" s="9">
        <v>8.5023747E7</v>
      </c>
      <c r="J2231" s="6">
        <v>3.3485565614E10</v>
      </c>
    </row>
    <row r="2232">
      <c r="A2232" s="4" t="s">
        <v>10</v>
      </c>
      <c r="B2232" s="5">
        <v>44819.0</v>
      </c>
      <c r="C2232" s="6">
        <v>390.12</v>
      </c>
      <c r="D2232" s="11">
        <v>-4.48</v>
      </c>
      <c r="E2232" s="12">
        <v>-0.0114</v>
      </c>
      <c r="F2232" s="6">
        <v>392.96</v>
      </c>
      <c r="G2232" s="6">
        <v>388.78</v>
      </c>
      <c r="H2232" s="6">
        <v>395.96</v>
      </c>
      <c r="I2232" s="9">
        <v>8.763384E7</v>
      </c>
      <c r="J2232" s="6">
        <v>3.4352878861E10</v>
      </c>
    </row>
    <row r="2233">
      <c r="A2233" s="4" t="s">
        <v>10</v>
      </c>
      <c r="B2233" s="5">
        <v>44820.0</v>
      </c>
      <c r="C2233" s="6">
        <v>385.56</v>
      </c>
      <c r="D2233" s="11">
        <v>-4.56</v>
      </c>
      <c r="E2233" s="12">
        <v>-0.0117</v>
      </c>
      <c r="F2233" s="6">
        <v>384.14</v>
      </c>
      <c r="G2233" s="6">
        <v>382.11</v>
      </c>
      <c r="H2233" s="6">
        <v>386.25</v>
      </c>
      <c r="I2233" s="9">
        <v>1.03084819E8</v>
      </c>
      <c r="J2233" s="6">
        <v>3.9646464928E10</v>
      </c>
    </row>
    <row r="2234">
      <c r="A2234" s="4" t="s">
        <v>10</v>
      </c>
      <c r="B2234" s="5">
        <v>44823.0</v>
      </c>
      <c r="C2234" s="6">
        <v>388.55</v>
      </c>
      <c r="D2234" s="13">
        <f>+2.99</f>
        <v>2.99</v>
      </c>
      <c r="E2234" s="14">
        <f>+0.78%</f>
        <v>0.0078</v>
      </c>
      <c r="F2234" s="6">
        <v>382.26</v>
      </c>
      <c r="G2234" s="6">
        <v>382.18</v>
      </c>
      <c r="H2234" s="6">
        <v>388.55</v>
      </c>
      <c r="I2234" s="9">
        <v>7.327849E7</v>
      </c>
      <c r="J2234" s="6">
        <v>2.8303012288E10</v>
      </c>
    </row>
    <row r="2235">
      <c r="A2235" s="4" t="s">
        <v>10</v>
      </c>
      <c r="B2235" s="5">
        <v>44824.0</v>
      </c>
      <c r="C2235" s="6">
        <v>384.09</v>
      </c>
      <c r="D2235" s="11">
        <v>-4.46</v>
      </c>
      <c r="E2235" s="12">
        <v>-0.0115</v>
      </c>
      <c r="F2235" s="6">
        <v>385.06</v>
      </c>
      <c r="G2235" s="6">
        <v>381.2</v>
      </c>
      <c r="H2235" s="6">
        <v>386.12</v>
      </c>
      <c r="I2235" s="9">
        <v>7.7274882E7</v>
      </c>
      <c r="J2235" s="6">
        <v>2.9684796363E10</v>
      </c>
    </row>
    <row r="2236">
      <c r="A2236" s="4" t="s">
        <v>10</v>
      </c>
      <c r="B2236" s="5">
        <v>44825.0</v>
      </c>
      <c r="C2236" s="6">
        <v>377.39</v>
      </c>
      <c r="D2236" s="11">
        <v>-6.7</v>
      </c>
      <c r="E2236" s="12">
        <v>-0.0174</v>
      </c>
      <c r="F2236" s="6">
        <v>386.11</v>
      </c>
      <c r="G2236" s="6">
        <v>377.38</v>
      </c>
      <c r="H2236" s="6">
        <v>389.31</v>
      </c>
      <c r="I2236" s="9">
        <v>1.06746554E8</v>
      </c>
      <c r="J2236" s="6">
        <v>4.0896377678E10</v>
      </c>
    </row>
    <row r="2237">
      <c r="A2237" s="4" t="s">
        <v>10</v>
      </c>
      <c r="B2237" s="5">
        <v>44826.0</v>
      </c>
      <c r="C2237" s="6">
        <v>374.22</v>
      </c>
      <c r="D2237" s="11">
        <v>-3.17</v>
      </c>
      <c r="E2237" s="12">
        <v>-0.0084</v>
      </c>
      <c r="F2237" s="6">
        <v>376.58</v>
      </c>
      <c r="G2237" s="6">
        <v>373.44</v>
      </c>
      <c r="H2237" s="6">
        <v>378.3</v>
      </c>
      <c r="I2237" s="9">
        <v>8.9472641E7</v>
      </c>
      <c r="J2237" s="6">
        <v>3.3581887509E10</v>
      </c>
    </row>
    <row r="2238">
      <c r="A2238" s="4" t="s">
        <v>10</v>
      </c>
      <c r="B2238" s="5">
        <v>44827.0</v>
      </c>
      <c r="C2238" s="6">
        <v>367.95</v>
      </c>
      <c r="D2238" s="11">
        <v>-6.27</v>
      </c>
      <c r="E2238" s="12">
        <v>-0.0168</v>
      </c>
      <c r="F2238" s="6">
        <v>370.58</v>
      </c>
      <c r="G2238" s="6">
        <v>363.29</v>
      </c>
      <c r="H2238" s="6">
        <v>370.62</v>
      </c>
      <c r="I2238" s="9">
        <v>1.22346933E8</v>
      </c>
      <c r="J2238" s="6">
        <v>4.4971473028E10</v>
      </c>
    </row>
    <row r="2239">
      <c r="A2239" s="4" t="s">
        <v>10</v>
      </c>
      <c r="B2239" s="5">
        <v>44830.0</v>
      </c>
      <c r="C2239" s="6">
        <v>364.31</v>
      </c>
      <c r="D2239" s="11">
        <v>-3.64</v>
      </c>
      <c r="E2239" s="12">
        <v>-0.0099</v>
      </c>
      <c r="F2239" s="6">
        <v>366.41</v>
      </c>
      <c r="G2239" s="6">
        <v>363.03</v>
      </c>
      <c r="H2239" s="6">
        <v>370.21</v>
      </c>
      <c r="I2239" s="9">
        <v>9.2581244E7</v>
      </c>
      <c r="J2239" s="6">
        <v>3.3877719942E10</v>
      </c>
    </row>
    <row r="2240">
      <c r="A2240" s="4" t="s">
        <v>10</v>
      </c>
      <c r="B2240" s="5">
        <v>44831.0</v>
      </c>
      <c r="C2240" s="6">
        <v>363.38</v>
      </c>
      <c r="D2240" s="11">
        <v>-0.93</v>
      </c>
      <c r="E2240" s="12">
        <v>-0.0026</v>
      </c>
      <c r="F2240" s="6">
        <v>368.02</v>
      </c>
      <c r="G2240" s="6">
        <v>360.87</v>
      </c>
      <c r="H2240" s="6">
        <v>370.4</v>
      </c>
      <c r="I2240" s="9">
        <v>1.08294074E8</v>
      </c>
      <c r="J2240" s="6">
        <v>3.9480371689E10</v>
      </c>
    </row>
    <row r="2241">
      <c r="A2241" s="4" t="s">
        <v>10</v>
      </c>
      <c r="B2241" s="5">
        <v>44832.0</v>
      </c>
      <c r="C2241" s="6">
        <v>370.53</v>
      </c>
      <c r="D2241" s="13">
        <f>+7.15</f>
        <v>7.15</v>
      </c>
      <c r="E2241" s="14">
        <f>+1.97%</f>
        <v>0.0197</v>
      </c>
      <c r="F2241" s="6">
        <v>364.38</v>
      </c>
      <c r="G2241" s="6">
        <v>362.6</v>
      </c>
      <c r="H2241" s="6">
        <v>372.3</v>
      </c>
      <c r="I2241" s="9">
        <v>1.10802217E8</v>
      </c>
      <c r="J2241" s="6">
        <v>4.0767332353E10</v>
      </c>
    </row>
    <row r="2242">
      <c r="A2242" s="4" t="s">
        <v>10</v>
      </c>
      <c r="B2242" s="5">
        <v>44833.0</v>
      </c>
      <c r="C2242" s="6">
        <v>362.79</v>
      </c>
      <c r="D2242" s="11">
        <v>-7.74</v>
      </c>
      <c r="E2242" s="12">
        <v>-0.0209</v>
      </c>
      <c r="F2242" s="6">
        <v>366.81</v>
      </c>
      <c r="G2242" s="6">
        <v>359.7</v>
      </c>
      <c r="H2242" s="6">
        <v>367.11</v>
      </c>
      <c r="I2242" s="9">
        <v>1.12952315E8</v>
      </c>
      <c r="J2242" s="6">
        <v>4.0979552579E10</v>
      </c>
    </row>
    <row r="2243">
      <c r="A2243" s="4" t="s">
        <v>10</v>
      </c>
      <c r="B2243" s="5">
        <v>44834.0</v>
      </c>
      <c r="C2243" s="6">
        <v>357.18</v>
      </c>
      <c r="D2243" s="11">
        <v>-5.61</v>
      </c>
      <c r="E2243" s="12">
        <v>-0.0155</v>
      </c>
      <c r="F2243" s="6">
        <v>361.8</v>
      </c>
      <c r="G2243" s="6">
        <v>357.04</v>
      </c>
      <c r="H2243" s="6">
        <v>365.91</v>
      </c>
      <c r="I2243" s="9">
        <v>1.53711243E8</v>
      </c>
      <c r="J2243" s="6">
        <v>5.5437969E10</v>
      </c>
    </row>
    <row r="2244">
      <c r="A2244" s="4" t="s">
        <v>10</v>
      </c>
      <c r="B2244" s="5">
        <v>44837.0</v>
      </c>
      <c r="C2244" s="6">
        <v>366.61</v>
      </c>
      <c r="D2244" s="13">
        <f>+9.43</f>
        <v>9.43</v>
      </c>
      <c r="E2244" s="14">
        <f>+2.64%</f>
        <v>0.0264</v>
      </c>
      <c r="F2244" s="6">
        <v>361.08</v>
      </c>
      <c r="G2244" s="6">
        <v>359.21</v>
      </c>
      <c r="H2244" s="6">
        <v>368.55</v>
      </c>
      <c r="I2244" s="9">
        <v>8.9756479E7</v>
      </c>
      <c r="J2244" s="6">
        <v>3.2735263548E10</v>
      </c>
    </row>
    <row r="2245">
      <c r="A2245" s="4" t="s">
        <v>10</v>
      </c>
      <c r="B2245" s="5">
        <v>44838.0</v>
      </c>
      <c r="C2245" s="6">
        <v>377.97</v>
      </c>
      <c r="D2245" s="13">
        <f>+11.36</f>
        <v>11.36</v>
      </c>
      <c r="E2245" s="14">
        <f>+3.1%</f>
        <v>0.031</v>
      </c>
      <c r="F2245" s="6">
        <v>372.4</v>
      </c>
      <c r="G2245" s="6">
        <v>366.57</v>
      </c>
      <c r="H2245" s="6">
        <v>378.0</v>
      </c>
      <c r="I2245" s="9">
        <v>1.03602775E8</v>
      </c>
      <c r="J2245" s="6">
        <v>3.8926448241E10</v>
      </c>
    </row>
    <row r="2246">
      <c r="A2246" s="4" t="s">
        <v>10</v>
      </c>
      <c r="B2246" s="5">
        <v>44839.0</v>
      </c>
      <c r="C2246" s="6">
        <v>377.09</v>
      </c>
      <c r="D2246" s="11">
        <v>-0.88</v>
      </c>
      <c r="E2246" s="12">
        <v>-0.0023</v>
      </c>
      <c r="F2246" s="6">
        <v>373.39</v>
      </c>
      <c r="G2246" s="6">
        <v>370.95</v>
      </c>
      <c r="H2246" s="6">
        <v>379.46</v>
      </c>
      <c r="I2246" s="9">
        <v>8.8065669E7</v>
      </c>
      <c r="J2246" s="6">
        <v>3.3064935182E10</v>
      </c>
    </row>
    <row r="2247">
      <c r="A2247" s="4" t="s">
        <v>10</v>
      </c>
      <c r="B2247" s="5">
        <v>44840.0</v>
      </c>
      <c r="C2247" s="6">
        <v>373.2</v>
      </c>
      <c r="D2247" s="11">
        <v>-3.89</v>
      </c>
      <c r="E2247" s="12">
        <v>-0.0103</v>
      </c>
      <c r="F2247" s="6">
        <v>375.62</v>
      </c>
      <c r="G2247" s="6">
        <v>372.68</v>
      </c>
      <c r="H2247" s="6">
        <v>378.72</v>
      </c>
      <c r="I2247" s="9">
        <v>8.2333543E7</v>
      </c>
      <c r="J2247" s="6">
        <v>3.0867096988E10</v>
      </c>
    </row>
    <row r="2248">
      <c r="A2248" s="4" t="s">
        <v>10</v>
      </c>
      <c r="B2248" s="5">
        <v>44841.0</v>
      </c>
      <c r="C2248" s="6">
        <v>362.79</v>
      </c>
      <c r="D2248" s="11">
        <v>-10.41</v>
      </c>
      <c r="E2248" s="12">
        <v>-0.0279</v>
      </c>
      <c r="F2248" s="6">
        <v>368.97</v>
      </c>
      <c r="G2248" s="6">
        <v>360.94</v>
      </c>
      <c r="H2248" s="6">
        <v>373.29</v>
      </c>
      <c r="I2248" s="9">
        <v>1.07789498E8</v>
      </c>
      <c r="J2248" s="6">
        <v>3.9349746502E10</v>
      </c>
    </row>
    <row r="2249">
      <c r="A2249" s="4" t="s">
        <v>10</v>
      </c>
      <c r="B2249" s="5">
        <v>44844.0</v>
      </c>
      <c r="C2249" s="6">
        <v>360.02</v>
      </c>
      <c r="D2249" s="11">
        <v>-2.77</v>
      </c>
      <c r="E2249" s="12">
        <v>-0.0076</v>
      </c>
      <c r="F2249" s="6">
        <v>363.96</v>
      </c>
      <c r="G2249" s="6">
        <v>357.67</v>
      </c>
      <c r="H2249" s="6">
        <v>364.21</v>
      </c>
      <c r="I2249" s="9">
        <v>7.6042765E7</v>
      </c>
      <c r="J2249" s="6">
        <v>2.7432283679E10</v>
      </c>
    </row>
    <row r="2250">
      <c r="A2250" s="4" t="s">
        <v>10</v>
      </c>
      <c r="B2250" s="5">
        <v>44845.0</v>
      </c>
      <c r="C2250" s="6">
        <v>357.74</v>
      </c>
      <c r="D2250" s="11">
        <v>-2.28</v>
      </c>
      <c r="E2250" s="12">
        <v>-0.0063</v>
      </c>
      <c r="F2250" s="6">
        <v>358.24</v>
      </c>
      <c r="G2250" s="6">
        <v>355.71</v>
      </c>
      <c r="H2250" s="6">
        <v>363.03</v>
      </c>
      <c r="I2250" s="9">
        <v>9.2482785E7</v>
      </c>
      <c r="J2250" s="6">
        <v>3.3175675863E10</v>
      </c>
    </row>
    <row r="2251">
      <c r="A2251" s="4" t="s">
        <v>10</v>
      </c>
      <c r="B2251" s="5">
        <v>44846.0</v>
      </c>
      <c r="C2251" s="6">
        <v>356.56</v>
      </c>
      <c r="D2251" s="11">
        <v>-1.18</v>
      </c>
      <c r="E2251" s="12">
        <v>-0.0033</v>
      </c>
      <c r="F2251" s="6">
        <v>358.17</v>
      </c>
      <c r="G2251" s="6">
        <v>356.3</v>
      </c>
      <c r="H2251" s="6">
        <v>359.82</v>
      </c>
      <c r="I2251" s="9">
        <v>7.6991799E7</v>
      </c>
      <c r="J2251" s="6">
        <v>2.7563203011E10</v>
      </c>
    </row>
    <row r="2252">
      <c r="A2252" s="4" t="s">
        <v>10</v>
      </c>
      <c r="B2252" s="5">
        <v>44847.0</v>
      </c>
      <c r="C2252" s="6">
        <v>365.97</v>
      </c>
      <c r="D2252" s="13">
        <f>+9.41</f>
        <v>9.41</v>
      </c>
      <c r="E2252" s="14">
        <f>+2.64%</f>
        <v>0.0264</v>
      </c>
      <c r="F2252" s="6">
        <v>349.21</v>
      </c>
      <c r="G2252" s="6">
        <v>348.11</v>
      </c>
      <c r="H2252" s="6">
        <v>367.51</v>
      </c>
      <c r="I2252" s="9">
        <v>1.47254518E8</v>
      </c>
      <c r="J2252" s="6">
        <v>5.2981085211E10</v>
      </c>
    </row>
    <row r="2253">
      <c r="A2253" s="4" t="s">
        <v>10</v>
      </c>
      <c r="B2253" s="5">
        <v>44848.0</v>
      </c>
      <c r="C2253" s="6">
        <v>357.63</v>
      </c>
      <c r="D2253" s="11">
        <v>-8.34</v>
      </c>
      <c r="E2253" s="12">
        <v>-0.0228</v>
      </c>
      <c r="F2253" s="6">
        <v>368.55</v>
      </c>
      <c r="G2253" s="6">
        <v>356.96</v>
      </c>
      <c r="H2253" s="6">
        <v>370.26</v>
      </c>
      <c r="I2253" s="9">
        <v>1.23737013E8</v>
      </c>
      <c r="J2253" s="6">
        <v>4.4713728184E10</v>
      </c>
    </row>
    <row r="2254">
      <c r="A2254" s="4" t="s">
        <v>10</v>
      </c>
      <c r="B2254" s="5">
        <v>44851.0</v>
      </c>
      <c r="C2254" s="6">
        <v>366.82</v>
      </c>
      <c r="D2254" s="13">
        <f>+9.19</f>
        <v>9.19</v>
      </c>
      <c r="E2254" s="14">
        <f>+2.57%</f>
        <v>0.0257</v>
      </c>
      <c r="F2254" s="6">
        <v>364.01</v>
      </c>
      <c r="G2254" s="6">
        <v>357.28</v>
      </c>
      <c r="H2254" s="6">
        <v>367.98</v>
      </c>
      <c r="I2254" s="9">
        <v>9.3168231E7</v>
      </c>
      <c r="J2254" s="6">
        <v>3.4095612658E10</v>
      </c>
    </row>
    <row r="2255">
      <c r="A2255" s="4" t="s">
        <v>10</v>
      </c>
      <c r="B2255" s="5">
        <v>44852.0</v>
      </c>
      <c r="C2255" s="6">
        <v>371.13</v>
      </c>
      <c r="D2255" s="13">
        <f>+4.31</f>
        <v>4.31</v>
      </c>
      <c r="E2255" s="14">
        <f>+1.17%</f>
        <v>0.0117</v>
      </c>
      <c r="F2255" s="6">
        <v>375.13</v>
      </c>
      <c r="G2255" s="6">
        <v>367.52</v>
      </c>
      <c r="H2255" s="6">
        <v>375.45</v>
      </c>
      <c r="I2255" s="9">
        <v>9.716285E7</v>
      </c>
      <c r="J2255" s="6">
        <v>3.6059507184E10</v>
      </c>
    </row>
    <row r="2256">
      <c r="A2256" s="4" t="s">
        <v>10</v>
      </c>
      <c r="B2256" s="5">
        <v>44853.0</v>
      </c>
      <c r="C2256" s="6">
        <v>368.5</v>
      </c>
      <c r="D2256" s="11">
        <v>-2.63</v>
      </c>
      <c r="E2256" s="12">
        <v>-0.0071</v>
      </c>
      <c r="F2256" s="6">
        <v>368.99</v>
      </c>
      <c r="G2256" s="6">
        <v>365.55</v>
      </c>
      <c r="H2256" s="6">
        <v>371.85</v>
      </c>
      <c r="I2256" s="9">
        <v>7.9746863E7</v>
      </c>
      <c r="J2256" s="6">
        <v>2.9399931341E10</v>
      </c>
    </row>
    <row r="2257">
      <c r="A2257" s="4" t="s">
        <v>10</v>
      </c>
      <c r="B2257" s="5">
        <v>44854.0</v>
      </c>
      <c r="C2257" s="6">
        <v>365.41</v>
      </c>
      <c r="D2257" s="11">
        <v>-3.09</v>
      </c>
      <c r="E2257" s="12">
        <v>-0.0084</v>
      </c>
      <c r="F2257" s="6">
        <v>368.03</v>
      </c>
      <c r="G2257" s="6">
        <v>364.61</v>
      </c>
      <c r="H2257" s="6">
        <v>372.67</v>
      </c>
      <c r="I2257" s="9">
        <v>8.8283087E7</v>
      </c>
      <c r="J2257" s="6">
        <v>3.2462831299E10</v>
      </c>
    </row>
    <row r="2258">
      <c r="A2258" s="4" t="s">
        <v>10</v>
      </c>
      <c r="B2258" s="5">
        <v>44855.0</v>
      </c>
      <c r="C2258" s="6">
        <v>374.29</v>
      </c>
      <c r="D2258" s="13">
        <f>+8.88</f>
        <v>8.88</v>
      </c>
      <c r="E2258" s="14">
        <f>+2.43%</f>
        <v>0.0243</v>
      </c>
      <c r="F2258" s="6">
        <v>365.12</v>
      </c>
      <c r="G2258" s="6">
        <v>363.54</v>
      </c>
      <c r="H2258" s="6">
        <v>374.8</v>
      </c>
      <c r="I2258" s="9">
        <v>1.31038379E8</v>
      </c>
      <c r="J2258" s="6">
        <v>4.8466777374E10</v>
      </c>
    </row>
    <row r="2259">
      <c r="A2259" s="4" t="s">
        <v>10</v>
      </c>
      <c r="B2259" s="5">
        <v>44858.0</v>
      </c>
      <c r="C2259" s="6">
        <v>378.87</v>
      </c>
      <c r="D2259" s="13">
        <f>+4.58</f>
        <v>4.58</v>
      </c>
      <c r="E2259" s="14">
        <f>+1.22%</f>
        <v>0.0122</v>
      </c>
      <c r="F2259" s="6">
        <v>375.89</v>
      </c>
      <c r="G2259" s="6">
        <v>373.11</v>
      </c>
      <c r="H2259" s="6">
        <v>380.06</v>
      </c>
      <c r="I2259" s="9">
        <v>8.5436907E7</v>
      </c>
      <c r="J2259" s="6">
        <v>3.2240996462E10</v>
      </c>
    </row>
    <row r="2260">
      <c r="A2260" s="4" t="s">
        <v>10</v>
      </c>
      <c r="B2260" s="5">
        <v>44859.0</v>
      </c>
      <c r="C2260" s="6">
        <v>384.92</v>
      </c>
      <c r="D2260" s="13">
        <f>+6.05</f>
        <v>6.05</v>
      </c>
      <c r="E2260" s="14">
        <f>+1.6%</f>
        <v>0.016</v>
      </c>
      <c r="F2260" s="6">
        <v>378.79</v>
      </c>
      <c r="G2260" s="6">
        <v>378.67</v>
      </c>
      <c r="H2260" s="6">
        <v>385.25</v>
      </c>
      <c r="I2260" s="9">
        <v>7.8846348E7</v>
      </c>
      <c r="J2260" s="6">
        <v>3.0197523089E10</v>
      </c>
    </row>
    <row r="2261">
      <c r="A2261" s="4" t="s">
        <v>10</v>
      </c>
      <c r="B2261" s="5">
        <v>44860.0</v>
      </c>
      <c r="C2261" s="6">
        <v>382.02</v>
      </c>
      <c r="D2261" s="11">
        <v>-2.9</v>
      </c>
      <c r="E2261" s="12">
        <v>-0.0075</v>
      </c>
      <c r="F2261" s="6">
        <v>381.62</v>
      </c>
      <c r="G2261" s="6">
        <v>381.35</v>
      </c>
      <c r="H2261" s="6">
        <v>387.58</v>
      </c>
      <c r="I2261" s="9">
        <v>1.04087348E8</v>
      </c>
      <c r="J2261" s="6">
        <v>3.9956459738E10</v>
      </c>
    </row>
    <row r="2262">
      <c r="A2262" s="4" t="s">
        <v>10</v>
      </c>
      <c r="B2262" s="5">
        <v>44861.0</v>
      </c>
      <c r="C2262" s="6">
        <v>379.98</v>
      </c>
      <c r="D2262" s="11">
        <v>-2.04</v>
      </c>
      <c r="E2262" s="12">
        <v>-0.0053</v>
      </c>
      <c r="F2262" s="6">
        <v>383.07</v>
      </c>
      <c r="G2262" s="6">
        <v>379.33</v>
      </c>
      <c r="H2262" s="6">
        <v>385.0</v>
      </c>
      <c r="I2262" s="9">
        <v>8.1971756E7</v>
      </c>
      <c r="J2262" s="6">
        <v>3.1259225092E10</v>
      </c>
    </row>
    <row r="2263">
      <c r="A2263" s="4" t="s">
        <v>10</v>
      </c>
      <c r="B2263" s="5">
        <v>44862.0</v>
      </c>
      <c r="C2263" s="6">
        <v>389.02</v>
      </c>
      <c r="D2263" s="13">
        <f>+9.04</f>
        <v>9.04</v>
      </c>
      <c r="E2263" s="14">
        <f>+2.38%</f>
        <v>0.0238</v>
      </c>
      <c r="F2263" s="6">
        <v>379.87</v>
      </c>
      <c r="G2263" s="6">
        <v>379.68</v>
      </c>
      <c r="H2263" s="6">
        <v>389.52</v>
      </c>
      <c r="I2263" s="9">
        <v>1.00301958E8</v>
      </c>
      <c r="J2263" s="6">
        <v>3.8680112478E10</v>
      </c>
    </row>
    <row r="2264">
      <c r="A2264" s="4" t="s">
        <v>10</v>
      </c>
      <c r="B2264" s="5">
        <v>44865.0</v>
      </c>
      <c r="C2264" s="6">
        <v>386.21</v>
      </c>
      <c r="D2264" s="11">
        <v>-2.81</v>
      </c>
      <c r="E2264" s="12">
        <v>-0.0072</v>
      </c>
      <c r="F2264" s="6">
        <v>386.44</v>
      </c>
      <c r="G2264" s="6">
        <v>385.26</v>
      </c>
      <c r="H2264" s="6">
        <v>388.4</v>
      </c>
      <c r="I2264" s="9">
        <v>9.6631258E7</v>
      </c>
      <c r="J2264" s="6">
        <v>3.7382944943E10</v>
      </c>
    </row>
    <row r="2265">
      <c r="A2265" s="4" t="s">
        <v>10</v>
      </c>
      <c r="B2265" s="5">
        <v>44866.0</v>
      </c>
      <c r="C2265" s="6">
        <v>384.52</v>
      </c>
      <c r="D2265" s="11">
        <v>-1.69</v>
      </c>
      <c r="E2265" s="12">
        <v>-0.0044</v>
      </c>
      <c r="F2265" s="6">
        <v>390.14</v>
      </c>
      <c r="G2265" s="6">
        <v>383.29</v>
      </c>
      <c r="H2265" s="6">
        <v>390.39</v>
      </c>
      <c r="I2265" s="9">
        <v>8.5407598E7</v>
      </c>
      <c r="J2265" s="6">
        <v>3.2931175823E10</v>
      </c>
    </row>
    <row r="2266">
      <c r="A2266" s="4" t="s">
        <v>10</v>
      </c>
      <c r="B2266" s="5">
        <v>44867.0</v>
      </c>
      <c r="C2266" s="6">
        <v>374.87</v>
      </c>
      <c r="D2266" s="11">
        <v>-9.65</v>
      </c>
      <c r="E2266" s="12">
        <v>-0.0251</v>
      </c>
      <c r="F2266" s="6">
        <v>383.9</v>
      </c>
      <c r="G2266" s="6">
        <v>374.76</v>
      </c>
      <c r="H2266" s="6">
        <v>388.63</v>
      </c>
      <c r="I2266" s="9">
        <v>1.26990356E8</v>
      </c>
      <c r="J2266" s="6">
        <v>4.8459307321E10</v>
      </c>
    </row>
    <row r="2267">
      <c r="A2267" s="4" t="s">
        <v>10</v>
      </c>
      <c r="B2267" s="5">
        <v>44868.0</v>
      </c>
      <c r="C2267" s="6">
        <v>371.01</v>
      </c>
      <c r="D2267" s="11">
        <v>-3.86</v>
      </c>
      <c r="E2267" s="12">
        <v>-0.0103</v>
      </c>
      <c r="F2267" s="6">
        <v>371.47</v>
      </c>
      <c r="G2267" s="6">
        <v>368.79</v>
      </c>
      <c r="H2267" s="6">
        <v>374.2</v>
      </c>
      <c r="I2267" s="9">
        <v>8.7100115E7</v>
      </c>
      <c r="J2267" s="6">
        <v>3.2414612639E10</v>
      </c>
    </row>
    <row r="2268">
      <c r="A2268" s="4" t="s">
        <v>10</v>
      </c>
      <c r="B2268" s="5">
        <v>44869.0</v>
      </c>
      <c r="C2268" s="6">
        <v>376.35</v>
      </c>
      <c r="D2268" s="13">
        <f>+5.34</f>
        <v>5.34</v>
      </c>
      <c r="E2268" s="14">
        <f>+1.44%</f>
        <v>0.0144</v>
      </c>
      <c r="F2268" s="6">
        <v>377.0</v>
      </c>
      <c r="G2268" s="6">
        <v>370.0</v>
      </c>
      <c r="H2268" s="6">
        <v>378.87</v>
      </c>
      <c r="I2268" s="9">
        <v>1.03505182E8</v>
      </c>
      <c r="J2268" s="6">
        <v>3.8735062092E10</v>
      </c>
    </row>
    <row r="2269">
      <c r="A2269" s="4" t="s">
        <v>10</v>
      </c>
      <c r="B2269" s="5">
        <v>44872.0</v>
      </c>
      <c r="C2269" s="6">
        <v>379.95</v>
      </c>
      <c r="D2269" s="13">
        <f>+3.6</f>
        <v>3.6</v>
      </c>
      <c r="E2269" s="14">
        <f>+0.96%</f>
        <v>0.0096</v>
      </c>
      <c r="F2269" s="6">
        <v>377.71</v>
      </c>
      <c r="G2269" s="6">
        <v>375.53</v>
      </c>
      <c r="H2269" s="6">
        <v>380.57</v>
      </c>
      <c r="I2269" s="9">
        <v>6.8286947E7</v>
      </c>
      <c r="J2269" s="6">
        <v>2.5833415088E10</v>
      </c>
    </row>
    <row r="2270">
      <c r="A2270" s="4" t="s">
        <v>10</v>
      </c>
      <c r="B2270" s="5">
        <v>44873.0</v>
      </c>
      <c r="C2270" s="6">
        <v>382.0</v>
      </c>
      <c r="D2270" s="13">
        <f>+2.05</f>
        <v>2.05</v>
      </c>
      <c r="E2270" s="14">
        <f>+0.54%</f>
        <v>0.0054</v>
      </c>
      <c r="F2270" s="6">
        <v>381.11</v>
      </c>
      <c r="G2270" s="6">
        <v>377.72</v>
      </c>
      <c r="H2270" s="6">
        <v>385.12</v>
      </c>
      <c r="I2270" s="9">
        <v>8.4641062E7</v>
      </c>
      <c r="J2270" s="6">
        <v>3.2327352272E10</v>
      </c>
    </row>
    <row r="2271">
      <c r="A2271" s="4" t="s">
        <v>10</v>
      </c>
      <c r="B2271" s="5">
        <v>44874.0</v>
      </c>
      <c r="C2271" s="6">
        <v>374.13</v>
      </c>
      <c r="D2271" s="11">
        <v>-7.87</v>
      </c>
      <c r="E2271" s="12">
        <v>-0.0206</v>
      </c>
      <c r="F2271" s="6">
        <v>379.93</v>
      </c>
      <c r="G2271" s="6">
        <v>373.61</v>
      </c>
      <c r="H2271" s="6">
        <v>381.14</v>
      </c>
      <c r="I2271" s="9">
        <v>7.849547E7</v>
      </c>
      <c r="J2271" s="6">
        <v>2.9606052524E10</v>
      </c>
    </row>
    <row r="2272">
      <c r="A2272" s="4" t="s">
        <v>10</v>
      </c>
      <c r="B2272" s="5">
        <v>44875.0</v>
      </c>
      <c r="C2272" s="6">
        <v>394.69</v>
      </c>
      <c r="D2272" s="13">
        <f>+20.56</f>
        <v>20.56</v>
      </c>
      <c r="E2272" s="14">
        <f>+5.5%</f>
        <v>0.055</v>
      </c>
      <c r="F2272" s="6">
        <v>388.05</v>
      </c>
      <c r="G2272" s="6">
        <v>385.64</v>
      </c>
      <c r="H2272" s="6">
        <v>395.04</v>
      </c>
      <c r="I2272" s="9">
        <v>1.41455847E8</v>
      </c>
      <c r="J2272" s="6">
        <v>5.5081499134E10</v>
      </c>
    </row>
    <row r="2273">
      <c r="A2273" s="4" t="s">
        <v>10</v>
      </c>
      <c r="B2273" s="5">
        <v>44876.0</v>
      </c>
      <c r="C2273" s="6">
        <v>398.51</v>
      </c>
      <c r="D2273" s="13">
        <f>+3.82</f>
        <v>3.82</v>
      </c>
      <c r="E2273" s="14">
        <f>+0.97%</f>
        <v>0.0097</v>
      </c>
      <c r="F2273" s="6">
        <v>395.59</v>
      </c>
      <c r="G2273" s="6">
        <v>393.61</v>
      </c>
      <c r="H2273" s="6">
        <v>399.35</v>
      </c>
      <c r="I2273" s="9">
        <v>9.3839872E7</v>
      </c>
      <c r="J2273" s="6">
        <v>3.7251985024E10</v>
      </c>
    </row>
    <row r="2274">
      <c r="A2274" s="4" t="s">
        <v>10</v>
      </c>
      <c r="B2274" s="5">
        <v>44879.0</v>
      </c>
      <c r="C2274" s="6">
        <v>395.12</v>
      </c>
      <c r="D2274" s="11">
        <v>-3.39</v>
      </c>
      <c r="E2274" s="12">
        <v>-0.0085</v>
      </c>
      <c r="F2274" s="6">
        <v>396.66</v>
      </c>
      <c r="G2274" s="6">
        <v>394.83</v>
      </c>
      <c r="H2274" s="6">
        <v>400.18</v>
      </c>
      <c r="I2274" s="9">
        <v>7.1893165E7</v>
      </c>
      <c r="J2274" s="6">
        <v>2.8586240447E10</v>
      </c>
    </row>
    <row r="2275">
      <c r="A2275" s="4" t="s">
        <v>10</v>
      </c>
      <c r="B2275" s="5">
        <v>44880.0</v>
      </c>
      <c r="C2275" s="6">
        <v>398.49</v>
      </c>
      <c r="D2275" s="13">
        <f>+3.37</f>
        <v>3.37</v>
      </c>
      <c r="E2275" s="14">
        <f>+0.85%</f>
        <v>0.0085</v>
      </c>
      <c r="F2275" s="6">
        <v>401.15</v>
      </c>
      <c r="G2275" s="6">
        <v>394.49</v>
      </c>
      <c r="H2275" s="6">
        <v>402.31</v>
      </c>
      <c r="I2275" s="9">
        <v>9.3194452E7</v>
      </c>
      <c r="J2275" s="6">
        <v>3.7164778385E10</v>
      </c>
    </row>
    <row r="2276">
      <c r="A2276" s="4" t="s">
        <v>10</v>
      </c>
      <c r="B2276" s="5">
        <v>44881.0</v>
      </c>
      <c r="C2276" s="6">
        <v>395.45</v>
      </c>
      <c r="D2276" s="11">
        <v>-3.04</v>
      </c>
      <c r="E2276" s="12">
        <v>-0.0076</v>
      </c>
      <c r="F2276" s="6">
        <v>396.78</v>
      </c>
      <c r="G2276" s="6">
        <v>394.79</v>
      </c>
      <c r="H2276" s="6">
        <v>397.78</v>
      </c>
      <c r="I2276" s="9">
        <v>6.8508454E7</v>
      </c>
      <c r="J2276" s="6">
        <v>2.7135646809E10</v>
      </c>
    </row>
    <row r="2277">
      <c r="A2277" s="4" t="s">
        <v>10</v>
      </c>
      <c r="B2277" s="5">
        <v>44882.0</v>
      </c>
      <c r="C2277" s="6">
        <v>394.24</v>
      </c>
      <c r="D2277" s="11">
        <v>-1.21</v>
      </c>
      <c r="E2277" s="12">
        <v>-0.0031</v>
      </c>
      <c r="F2277" s="6">
        <v>390.46</v>
      </c>
      <c r="G2277" s="6">
        <v>390.14</v>
      </c>
      <c r="H2277" s="6">
        <v>394.95</v>
      </c>
      <c r="I2277" s="9">
        <v>7.4496255E7</v>
      </c>
      <c r="J2277" s="6">
        <v>2.9262902193E10</v>
      </c>
    </row>
    <row r="2278">
      <c r="A2278" s="4" t="s">
        <v>10</v>
      </c>
      <c r="B2278" s="5">
        <v>44883.0</v>
      </c>
      <c r="C2278" s="6">
        <v>396.03</v>
      </c>
      <c r="D2278" s="13">
        <f>+1.79</f>
        <v>1.79</v>
      </c>
      <c r="E2278" s="14">
        <f>+0.45%</f>
        <v>0.0045</v>
      </c>
      <c r="F2278" s="6">
        <v>397.74</v>
      </c>
      <c r="G2278" s="6">
        <v>393.04</v>
      </c>
      <c r="H2278" s="6">
        <v>397.81</v>
      </c>
      <c r="I2278" s="9">
        <v>9.2922451E7</v>
      </c>
      <c r="J2278" s="6">
        <v>3.6742203415E10</v>
      </c>
    </row>
    <row r="2279">
      <c r="A2279" s="4" t="s">
        <v>10</v>
      </c>
      <c r="B2279" s="5">
        <v>44886.0</v>
      </c>
      <c r="C2279" s="6">
        <v>394.59</v>
      </c>
      <c r="D2279" s="11">
        <v>-1.44</v>
      </c>
      <c r="E2279" s="12">
        <v>-0.0036</v>
      </c>
      <c r="F2279" s="6">
        <v>394.64</v>
      </c>
      <c r="G2279" s="6">
        <v>392.66</v>
      </c>
      <c r="H2279" s="6">
        <v>395.82</v>
      </c>
      <c r="I2279" s="9">
        <v>5.1243189E7</v>
      </c>
      <c r="J2279" s="6">
        <v>2.0217141508E10</v>
      </c>
    </row>
    <row r="2280">
      <c r="A2280" s="4" t="s">
        <v>10</v>
      </c>
      <c r="B2280" s="5">
        <v>44887.0</v>
      </c>
      <c r="C2280" s="6">
        <v>399.9</v>
      </c>
      <c r="D2280" s="13">
        <f>+5.31</f>
        <v>5.31</v>
      </c>
      <c r="E2280" s="14">
        <f>+1.35%</f>
        <v>0.0135</v>
      </c>
      <c r="F2280" s="6">
        <v>396.63</v>
      </c>
      <c r="G2280" s="6">
        <v>395.15</v>
      </c>
      <c r="H2280" s="6">
        <v>400.07</v>
      </c>
      <c r="I2280" s="9">
        <v>6.0429025E7</v>
      </c>
      <c r="J2280" s="6">
        <v>2.4065101314E10</v>
      </c>
    </row>
    <row r="2281">
      <c r="A2281" s="4" t="s">
        <v>10</v>
      </c>
      <c r="B2281" s="5">
        <v>44888.0</v>
      </c>
      <c r="C2281" s="6">
        <v>402.42</v>
      </c>
      <c r="D2281" s="13">
        <f>+2.52</f>
        <v>2.52</v>
      </c>
      <c r="E2281" s="14">
        <f>+0.63%</f>
        <v>0.0063</v>
      </c>
      <c r="F2281" s="6">
        <v>399.55</v>
      </c>
      <c r="G2281" s="6">
        <v>399.31</v>
      </c>
      <c r="H2281" s="6">
        <v>402.93</v>
      </c>
      <c r="I2281" s="9">
        <v>6.8261628E7</v>
      </c>
      <c r="J2281" s="6">
        <v>2.7412764376E10</v>
      </c>
    </row>
    <row r="2282">
      <c r="A2282" s="4" t="s">
        <v>10</v>
      </c>
      <c r="B2282" s="5">
        <v>44889.0</v>
      </c>
      <c r="C2282" s="10"/>
      <c r="D2282" s="7"/>
      <c r="E2282" s="8"/>
      <c r="F2282" s="10"/>
      <c r="G2282" s="10"/>
      <c r="H2282" s="10"/>
      <c r="I2282" s="15"/>
      <c r="J2282" s="10"/>
    </row>
    <row r="2283">
      <c r="A2283" s="4" t="s">
        <v>10</v>
      </c>
      <c r="B2283" s="5">
        <v>44890.0</v>
      </c>
      <c r="C2283" s="6">
        <v>402.33</v>
      </c>
      <c r="D2283" s="11">
        <v>-0.09</v>
      </c>
      <c r="E2283" s="12">
        <v>-2.0E-4</v>
      </c>
      <c r="F2283" s="6">
        <v>401.83</v>
      </c>
      <c r="G2283" s="6">
        <v>401.54</v>
      </c>
      <c r="H2283" s="6">
        <v>402.91</v>
      </c>
      <c r="I2283" s="9">
        <v>3.0545434E7</v>
      </c>
      <c r="J2283" s="6">
        <v>1.2287602678E10</v>
      </c>
    </row>
    <row r="2284">
      <c r="A2284" s="4" t="s">
        <v>10</v>
      </c>
      <c r="B2284" s="5">
        <v>44893.0</v>
      </c>
      <c r="C2284" s="6">
        <v>395.91</v>
      </c>
      <c r="D2284" s="11">
        <v>-6.42</v>
      </c>
      <c r="E2284" s="12">
        <v>-0.016</v>
      </c>
      <c r="F2284" s="6">
        <v>399.09</v>
      </c>
      <c r="G2284" s="6">
        <v>395.11</v>
      </c>
      <c r="H2284" s="6">
        <v>400.81</v>
      </c>
      <c r="I2284" s="9">
        <v>6.8021749E7</v>
      </c>
      <c r="J2284" s="6">
        <v>2.7064470526E10</v>
      </c>
    </row>
    <row r="2285">
      <c r="A2285" s="4" t="s">
        <v>10</v>
      </c>
      <c r="B2285" s="5">
        <v>44894.0</v>
      </c>
      <c r="C2285" s="6">
        <v>395.23</v>
      </c>
      <c r="D2285" s="11">
        <v>-0.68</v>
      </c>
      <c r="E2285" s="12">
        <v>-0.0017</v>
      </c>
      <c r="F2285" s="6">
        <v>396.05</v>
      </c>
      <c r="G2285" s="6">
        <v>393.3</v>
      </c>
      <c r="H2285" s="6">
        <v>397.3</v>
      </c>
      <c r="I2285" s="9">
        <v>5.2310039E7</v>
      </c>
      <c r="J2285" s="6">
        <v>2.0671659691E10</v>
      </c>
    </row>
    <row r="2286">
      <c r="A2286" s="4" t="s">
        <v>10</v>
      </c>
      <c r="B2286" s="5">
        <v>44895.0</v>
      </c>
      <c r="C2286" s="6">
        <v>407.68</v>
      </c>
      <c r="D2286" s="13">
        <f>+12.45</f>
        <v>12.45</v>
      </c>
      <c r="E2286" s="14">
        <f>+3.15%</f>
        <v>0.0315</v>
      </c>
      <c r="F2286" s="6">
        <v>395.49</v>
      </c>
      <c r="G2286" s="6">
        <v>393.48</v>
      </c>
      <c r="H2286" s="6">
        <v>407.68</v>
      </c>
      <c r="I2286" s="9">
        <v>1.44566653E8</v>
      </c>
      <c r="J2286" s="6">
        <v>5.8084973958E10</v>
      </c>
    </row>
    <row r="2287">
      <c r="A2287" s="4" t="s">
        <v>10</v>
      </c>
      <c r="B2287" s="5">
        <v>44896.0</v>
      </c>
      <c r="C2287" s="6">
        <v>407.38</v>
      </c>
      <c r="D2287" s="11">
        <v>-0.3</v>
      </c>
      <c r="E2287" s="12">
        <v>-7.0E-4</v>
      </c>
      <c r="F2287" s="6">
        <v>408.77</v>
      </c>
      <c r="G2287" s="6">
        <v>404.75</v>
      </c>
      <c r="H2287" s="6">
        <v>410.0</v>
      </c>
      <c r="I2287" s="9">
        <v>7.639817E7</v>
      </c>
      <c r="J2287" s="6">
        <v>3.1122294022E10</v>
      </c>
    </row>
    <row r="2288">
      <c r="A2288" s="4" t="s">
        <v>10</v>
      </c>
      <c r="B2288" s="5">
        <v>44897.0</v>
      </c>
      <c r="C2288" s="6">
        <v>406.91</v>
      </c>
      <c r="D2288" s="11">
        <v>-0.47</v>
      </c>
      <c r="E2288" s="12">
        <v>-0.0012</v>
      </c>
      <c r="F2288" s="6">
        <v>402.25</v>
      </c>
      <c r="G2288" s="6">
        <v>402.14</v>
      </c>
      <c r="H2288" s="6">
        <v>407.86</v>
      </c>
      <c r="I2288" s="9">
        <v>8.5342731E7</v>
      </c>
      <c r="J2288" s="6">
        <v>3.4572598841E10</v>
      </c>
    </row>
    <row r="2289">
      <c r="A2289" s="4" t="s">
        <v>10</v>
      </c>
      <c r="B2289" s="5">
        <v>44900.0</v>
      </c>
      <c r="C2289" s="6">
        <v>399.59</v>
      </c>
      <c r="D2289" s="11">
        <v>-7.32</v>
      </c>
      <c r="E2289" s="12">
        <v>-0.018</v>
      </c>
      <c r="F2289" s="6">
        <v>403.95</v>
      </c>
      <c r="G2289" s="6">
        <v>398.17</v>
      </c>
      <c r="H2289" s="6">
        <v>404.93</v>
      </c>
      <c r="I2289" s="9">
        <v>7.7289815E7</v>
      </c>
      <c r="J2289" s="6">
        <v>3.1029703553E10</v>
      </c>
    </row>
    <row r="2290">
      <c r="A2290" s="4" t="s">
        <v>10</v>
      </c>
      <c r="B2290" s="5">
        <v>44901.0</v>
      </c>
      <c r="C2290" s="6">
        <v>393.83</v>
      </c>
      <c r="D2290" s="11">
        <v>-5.76</v>
      </c>
      <c r="E2290" s="12">
        <v>-0.0144</v>
      </c>
      <c r="F2290" s="6">
        <v>399.42</v>
      </c>
      <c r="G2290" s="6">
        <v>391.64</v>
      </c>
      <c r="H2290" s="6">
        <v>399.99</v>
      </c>
      <c r="I2290" s="9">
        <v>7.7972217E7</v>
      </c>
      <c r="J2290" s="6">
        <v>3.0786137316E10</v>
      </c>
    </row>
    <row r="2291">
      <c r="A2291" s="4" t="s">
        <v>10</v>
      </c>
      <c r="B2291" s="5">
        <v>44902.0</v>
      </c>
      <c r="C2291" s="6">
        <v>393.16</v>
      </c>
      <c r="D2291" s="11">
        <v>-0.67</v>
      </c>
      <c r="E2291" s="12">
        <v>-0.0017</v>
      </c>
      <c r="F2291" s="6">
        <v>392.94</v>
      </c>
      <c r="G2291" s="6">
        <v>391.97</v>
      </c>
      <c r="H2291" s="6">
        <v>395.64</v>
      </c>
      <c r="I2291" s="9">
        <v>6.5927896E7</v>
      </c>
      <c r="J2291" s="6">
        <v>2.5938486268E10</v>
      </c>
    </row>
    <row r="2292">
      <c r="A2292" s="4" t="s">
        <v>10</v>
      </c>
      <c r="B2292" s="5">
        <v>44903.0</v>
      </c>
      <c r="C2292" s="6">
        <v>396.24</v>
      </c>
      <c r="D2292" s="13">
        <f>+3.08</f>
        <v>3.08</v>
      </c>
      <c r="E2292" s="14">
        <f>+0.78%</f>
        <v>0.0078</v>
      </c>
      <c r="F2292" s="6">
        <v>395.14</v>
      </c>
      <c r="G2292" s="6">
        <v>393.27</v>
      </c>
      <c r="H2292" s="6">
        <v>397.36</v>
      </c>
      <c r="I2292" s="9">
        <v>6.0737912E7</v>
      </c>
      <c r="J2292" s="6">
        <v>2.4034373428E10</v>
      </c>
    </row>
    <row r="2293">
      <c r="A2293" s="4" t="s">
        <v>10</v>
      </c>
      <c r="B2293" s="5">
        <v>44904.0</v>
      </c>
      <c r="C2293" s="6">
        <v>393.28</v>
      </c>
      <c r="D2293" s="11">
        <v>-2.96</v>
      </c>
      <c r="E2293" s="12">
        <v>-0.0075</v>
      </c>
      <c r="F2293" s="6">
        <v>394.94</v>
      </c>
      <c r="G2293" s="6">
        <v>393.15</v>
      </c>
      <c r="H2293" s="6">
        <v>397.62</v>
      </c>
      <c r="I2293" s="9">
        <v>8.1447733E7</v>
      </c>
      <c r="J2293" s="6">
        <v>3.2187087381E10</v>
      </c>
    </row>
    <row r="2294">
      <c r="A2294" s="4" t="s">
        <v>10</v>
      </c>
      <c r="B2294" s="5">
        <v>44907.0</v>
      </c>
      <c r="C2294" s="6">
        <v>398.95</v>
      </c>
      <c r="D2294" s="13">
        <f>+5.67</f>
        <v>5.67</v>
      </c>
      <c r="E2294" s="14">
        <f>+1.44%</f>
        <v>0.0144</v>
      </c>
      <c r="F2294" s="6">
        <v>394.11</v>
      </c>
      <c r="G2294" s="6">
        <v>393.41</v>
      </c>
      <c r="H2294" s="6">
        <v>398.95</v>
      </c>
      <c r="I2294" s="9">
        <v>7.5405835E7</v>
      </c>
      <c r="J2294" s="6">
        <v>2.9874190842E10</v>
      </c>
    </row>
    <row r="2295">
      <c r="A2295" s="4" t="s">
        <v>10</v>
      </c>
      <c r="B2295" s="5">
        <v>44908.0</v>
      </c>
      <c r="C2295" s="6">
        <v>401.97</v>
      </c>
      <c r="D2295" s="13">
        <f>+3.02</f>
        <v>3.02</v>
      </c>
      <c r="E2295" s="14">
        <f>+0.76%</f>
        <v>0.0076</v>
      </c>
      <c r="F2295" s="6">
        <v>410.22</v>
      </c>
      <c r="G2295" s="6">
        <v>399.07</v>
      </c>
      <c r="H2295" s="6">
        <v>410.49</v>
      </c>
      <c r="I2295" s="9">
        <v>1.23782534E8</v>
      </c>
      <c r="J2295" s="6">
        <v>4.9954655263E10</v>
      </c>
    </row>
    <row r="2296">
      <c r="A2296" s="4" t="s">
        <v>10</v>
      </c>
      <c r="B2296" s="5">
        <v>44909.0</v>
      </c>
      <c r="C2296" s="6">
        <v>399.4</v>
      </c>
      <c r="D2296" s="11">
        <v>-2.57</v>
      </c>
      <c r="E2296" s="12">
        <v>-0.0064</v>
      </c>
      <c r="F2296" s="6">
        <v>401.61</v>
      </c>
      <c r="G2296" s="6">
        <v>396.31</v>
      </c>
      <c r="H2296" s="6">
        <v>405.5</v>
      </c>
      <c r="I2296" s="9">
        <v>1.08111349E8</v>
      </c>
      <c r="J2296" s="6">
        <v>4.3366154601E10</v>
      </c>
    </row>
    <row r="2297">
      <c r="A2297" s="4" t="s">
        <v>10</v>
      </c>
      <c r="B2297" s="5">
        <v>44910.0</v>
      </c>
      <c r="C2297" s="6">
        <v>389.63</v>
      </c>
      <c r="D2297" s="11">
        <v>-9.77</v>
      </c>
      <c r="E2297" s="12">
        <v>-0.0245</v>
      </c>
      <c r="F2297" s="6">
        <v>394.3</v>
      </c>
      <c r="G2297" s="6">
        <v>387.89</v>
      </c>
      <c r="H2297" s="6">
        <v>395.25</v>
      </c>
      <c r="I2297" s="9">
        <v>1.17705889E8</v>
      </c>
      <c r="J2297" s="6">
        <v>4.6010327657E10</v>
      </c>
    </row>
    <row r="2298">
      <c r="A2298" s="4" t="s">
        <v>10</v>
      </c>
      <c r="B2298" s="5">
        <v>44911.0</v>
      </c>
      <c r="C2298" s="6">
        <v>383.27</v>
      </c>
      <c r="D2298" s="11">
        <v>-6.36</v>
      </c>
      <c r="E2298" s="12">
        <v>-0.0163</v>
      </c>
      <c r="F2298" s="6">
        <v>385.18</v>
      </c>
      <c r="G2298" s="6">
        <v>381.04</v>
      </c>
      <c r="H2298" s="6">
        <v>386.58</v>
      </c>
      <c r="I2298" s="9">
        <v>1.19857952E8</v>
      </c>
      <c r="J2298" s="6">
        <v>4.5995125827E10</v>
      </c>
    </row>
    <row r="2299">
      <c r="A2299" s="4" t="s">
        <v>10</v>
      </c>
      <c r="B2299" s="5">
        <v>44914.0</v>
      </c>
      <c r="C2299" s="6">
        <v>380.02</v>
      </c>
      <c r="D2299" s="11">
        <v>-3.25</v>
      </c>
      <c r="E2299" s="12">
        <v>-0.0085</v>
      </c>
      <c r="F2299" s="6">
        <v>383.47</v>
      </c>
      <c r="G2299" s="6">
        <v>378.28</v>
      </c>
      <c r="H2299" s="6">
        <v>383.82</v>
      </c>
      <c r="I2299" s="9">
        <v>7.9878103E7</v>
      </c>
      <c r="J2299" s="6">
        <v>3.0401836032E10</v>
      </c>
    </row>
    <row r="2300">
      <c r="A2300" s="4" t="s">
        <v>10</v>
      </c>
      <c r="B2300" s="5">
        <v>44915.0</v>
      </c>
      <c r="C2300" s="6">
        <v>380.54</v>
      </c>
      <c r="D2300" s="13">
        <f>+0.52</f>
        <v>0.52</v>
      </c>
      <c r="E2300" s="14">
        <f>+0.14%</f>
        <v>0.0014</v>
      </c>
      <c r="F2300" s="6">
        <v>379.23</v>
      </c>
      <c r="G2300" s="6">
        <v>377.85</v>
      </c>
      <c r="H2300" s="6">
        <v>382.23</v>
      </c>
      <c r="I2300" s="9">
        <v>7.442724E7</v>
      </c>
      <c r="J2300" s="6">
        <v>2.8329239301E10</v>
      </c>
    </row>
    <row r="2301">
      <c r="A2301" s="4" t="s">
        <v>10</v>
      </c>
      <c r="B2301" s="5">
        <v>44916.0</v>
      </c>
      <c r="C2301" s="6">
        <v>386.23</v>
      </c>
      <c r="D2301" s="13">
        <f>+5.69</f>
        <v>5.69</v>
      </c>
      <c r="E2301" s="14">
        <f>+1.5%</f>
        <v>0.015</v>
      </c>
      <c r="F2301" s="6">
        <v>383.25</v>
      </c>
      <c r="G2301" s="6">
        <v>382.69</v>
      </c>
      <c r="H2301" s="6">
        <v>387.41</v>
      </c>
      <c r="I2301" s="9">
        <v>7.8167369E7</v>
      </c>
      <c r="J2301" s="6">
        <v>3.013125557E10</v>
      </c>
    </row>
    <row r="2302">
      <c r="A2302" s="4" t="s">
        <v>10</v>
      </c>
      <c r="B2302" s="5">
        <v>44917.0</v>
      </c>
      <c r="C2302" s="6">
        <v>380.72</v>
      </c>
      <c r="D2302" s="11">
        <v>-5.51</v>
      </c>
      <c r="E2302" s="12">
        <v>-0.0143</v>
      </c>
      <c r="F2302" s="6">
        <v>383.05</v>
      </c>
      <c r="G2302" s="6">
        <v>374.77</v>
      </c>
      <c r="H2302" s="6">
        <v>386.21</v>
      </c>
      <c r="I2302" s="9">
        <v>1.00120855E8</v>
      </c>
      <c r="J2302" s="6">
        <v>3.8008122585E10</v>
      </c>
    </row>
    <row r="2303">
      <c r="A2303" s="4" t="s">
        <v>10</v>
      </c>
      <c r="B2303" s="5">
        <v>44918.0</v>
      </c>
      <c r="C2303" s="6">
        <v>382.91</v>
      </c>
      <c r="D2303" s="13">
        <f>+2.19</f>
        <v>2.19</v>
      </c>
      <c r="E2303" s="14">
        <f>+0.58%</f>
        <v>0.0058</v>
      </c>
      <c r="F2303" s="6">
        <v>379.65</v>
      </c>
      <c r="G2303" s="6">
        <v>378.03</v>
      </c>
      <c r="H2303" s="6">
        <v>383.06</v>
      </c>
      <c r="I2303" s="9">
        <v>5.9857329E7</v>
      </c>
      <c r="J2303" s="6">
        <v>2.2837156877E10</v>
      </c>
    </row>
    <row r="2304">
      <c r="A2304" s="4" t="s">
        <v>10</v>
      </c>
      <c r="B2304" s="5">
        <v>44921.0</v>
      </c>
      <c r="C2304" s="10"/>
      <c r="D2304" s="7"/>
      <c r="E2304" s="8"/>
      <c r="F2304" s="10"/>
      <c r="G2304" s="10"/>
      <c r="H2304" s="10"/>
      <c r="I2304" s="15"/>
      <c r="J2304" s="10"/>
    </row>
    <row r="2305">
      <c r="A2305" s="4" t="s">
        <v>10</v>
      </c>
      <c r="B2305" s="5">
        <v>44922.0</v>
      </c>
      <c r="C2305" s="6">
        <v>381.4</v>
      </c>
      <c r="D2305" s="11">
        <v>-1.51</v>
      </c>
      <c r="E2305" s="12">
        <v>-0.0039</v>
      </c>
      <c r="F2305" s="6">
        <v>382.79</v>
      </c>
      <c r="G2305" s="6">
        <v>379.65</v>
      </c>
      <c r="H2305" s="6">
        <v>383.15</v>
      </c>
      <c r="I2305" s="9">
        <v>5.163818E7</v>
      </c>
      <c r="J2305" s="6">
        <v>1.971417637E10</v>
      </c>
    </row>
    <row r="2306">
      <c r="A2306" s="4" t="s">
        <v>10</v>
      </c>
      <c r="B2306" s="5">
        <v>44923.0</v>
      </c>
      <c r="C2306" s="6">
        <v>376.66</v>
      </c>
      <c r="D2306" s="11">
        <v>-4.74</v>
      </c>
      <c r="E2306" s="12">
        <v>-0.0124</v>
      </c>
      <c r="F2306" s="6">
        <v>381.33</v>
      </c>
      <c r="G2306" s="6">
        <v>376.42</v>
      </c>
      <c r="H2306" s="6">
        <v>383.39</v>
      </c>
      <c r="I2306" s="9">
        <v>7.091152E7</v>
      </c>
      <c r="J2306" s="6">
        <v>2.6879646583E10</v>
      </c>
    </row>
    <row r="2307">
      <c r="A2307" s="4" t="s">
        <v>10</v>
      </c>
      <c r="B2307" s="5">
        <v>44924.0</v>
      </c>
      <c r="C2307" s="6">
        <v>383.44</v>
      </c>
      <c r="D2307" s="13">
        <f>+6.78</f>
        <v>6.78</v>
      </c>
      <c r="E2307" s="14">
        <f>+1.8%</f>
        <v>0.018</v>
      </c>
      <c r="F2307" s="6">
        <v>379.63</v>
      </c>
      <c r="G2307" s="6">
        <v>379.08</v>
      </c>
      <c r="H2307" s="6">
        <v>384.35</v>
      </c>
      <c r="I2307" s="9">
        <v>6.6970877E7</v>
      </c>
      <c r="J2307" s="6">
        <v>2.5612145173E10</v>
      </c>
    </row>
    <row r="2308">
      <c r="A2308" s="4" t="s">
        <v>10</v>
      </c>
      <c r="B2308" s="5">
        <v>44925.0</v>
      </c>
      <c r="C2308" s="6">
        <v>382.43</v>
      </c>
      <c r="D2308" s="11">
        <v>-1.01</v>
      </c>
      <c r="E2308" s="12">
        <v>-0.0026</v>
      </c>
      <c r="F2308" s="6">
        <v>380.64</v>
      </c>
      <c r="G2308" s="6">
        <v>378.43</v>
      </c>
      <c r="H2308" s="6">
        <v>382.58</v>
      </c>
      <c r="I2308" s="9">
        <v>8.4022205E7</v>
      </c>
      <c r="J2308" s="6">
        <v>3.2030822577E10</v>
      </c>
    </row>
  </sheetData>
  <drawing r:id="rId1"/>
</worksheet>
</file>