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</sheets>
  <definedNames>
    <definedName name="LOW">#REF!</definedName>
    <definedName name="statUpDownTableData">#REF!</definedName>
    <definedName name="statVolumeTableData">#REF!</definedName>
    <definedName name="NET">#REF!</definedName>
    <definedName name="statVolumeTableHeader">#REF!</definedName>
    <definedName name="statUpDownTableHeader">#REF!</definedName>
    <definedName name="phTableHeader">#REF!</definedName>
    <definedName name="chartTableTotal">#REF!</definedName>
    <definedName name="filterValues">#REF!</definedName>
    <definedName name="phTableName">#REF!</definedName>
    <definedName name="statPriceChangeTableData">#REF!</definedName>
    <definedName name="statPriceTableHeader">#REF!</definedName>
    <definedName name="PCC">#REF!</definedName>
    <definedName name="DAT">#REF!</definedName>
    <definedName name="statPriceTableData">#REF!</definedName>
    <definedName name="HIG">#REF!</definedName>
    <definedName name="chartTableData">#REF!</definedName>
    <definedName name="CLS">#REF!</definedName>
    <definedName name="sheetHeader">#REF!</definedName>
    <definedName name="VOL">#REF!</definedName>
    <definedName name="chartTableName">#REF!</definedName>
    <definedName name="statPriceChangeTableHeader">#REF!</definedName>
    <definedName name="statTurnoverTableHeader">#REF!</definedName>
    <definedName name="TRNOVR_UNS">#REF!</definedName>
    <definedName name="statTurnoverTableData">#REF!</definedName>
    <definedName name="phTableData">#REF!</definedName>
    <definedName name="OPN">#REF!</definedName>
    <definedName name="chartTableHeader">#REF!</definedName>
    <definedName name="statTableName">#REF!</definedName>
  </definedNames>
  <calcPr/>
  <extLst>
    <ext uri="GoogleSheetsCustomDataVersion2">
      <go:sheetsCustomData xmlns:go="http://customooxmlschemas.google.com/" r:id="rId5" roundtripDataChecksum="SyX9vAkdlXiQWxC+BuO/GQDmebfi/Kg6CtGMLEgkqCo="/>
    </ext>
  </extLst>
</workbook>
</file>

<file path=xl/sharedStrings.xml><?xml version="1.0" encoding="utf-8"?>
<sst xmlns="http://schemas.openxmlformats.org/spreadsheetml/2006/main" count="2276" uniqueCount="11">
  <si>
    <t>ETF</t>
  </si>
  <si>
    <t>date</t>
  </si>
  <si>
    <t>Close</t>
  </si>
  <si>
    <t>Net</t>
  </si>
  <si>
    <t>%Chg</t>
  </si>
  <si>
    <t>Open</t>
  </si>
  <si>
    <t>Low</t>
  </si>
  <si>
    <t>High</t>
  </si>
  <si>
    <t>Volume</t>
  </si>
  <si>
    <t>Turnover - USD</t>
  </si>
  <si>
    <t>EEM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</si>
</sst>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dd-MMM-yyyy"/>
    <numFmt numFmtId="165" formatCode="#,##0.00;-#,##0.00;#,##0.00;&quot;--&quot;"/>
    <numFmt numFmtId="166" formatCode="+#,##0.00;-#,##0.00;#,##0.00;&quot;--&quot;"/>
    <numFmt numFmtId="167" formatCode="+#,##0.00%;-#,##0.00%;#,##0.00%;&quot;--&quot;"/>
    <numFmt numFmtId="168" formatCode="#,##0;-#,##0;#,##0;&quot;--&quot;"/>
  </numFmts>
  <fonts count="5">
    <font>
      <sz val="11.0"/>
      <color rgb="FF000000"/>
      <name val="Calibri"/>
      <scheme val="minor"/>
    </font>
    <font>
      <b/>
      <sz val="10.0"/>
      <color rgb="FF000000"/>
      <name val="Calibri"/>
    </font>
    <font>
      <b/>
      <color rgb="FF000000"/>
      <name val="Calibri"/>
    </font>
    <font>
      <sz val="10.0"/>
      <color rgb="FF000000"/>
      <name val="Calibri"/>
    </font>
    <font>
      <color rgb="FF00000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A6A6A6"/>
        <bgColor rgb="FFA6A6A6"/>
      </patternFill>
    </fill>
  </fills>
  <borders count="3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6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right" readingOrder="0" shrinkToFit="0" vertical="bottom" wrapText="0"/>
    </xf>
    <xf borderId="2" fillId="2" fontId="2" numFmtId="0" xfId="0" applyAlignment="1" applyBorder="1" applyFont="1">
      <alignment horizontal="right" readingOrder="0" shrinkToFit="0" vertical="bottom" wrapText="0"/>
    </xf>
    <xf borderId="1" fillId="2" fontId="2" numFmtId="0" xfId="0" applyAlignment="1" applyBorder="1" applyFont="1">
      <alignment horizontal="right" readingOrder="0" shrinkToFit="0" vertical="bottom" wrapText="0"/>
    </xf>
    <xf borderId="1" fillId="0" fontId="3" numFmtId="0" xfId="0" applyAlignment="1" applyBorder="1" applyFont="1">
      <alignment readingOrder="0" shrinkToFit="0" vertical="bottom" wrapText="0"/>
    </xf>
    <xf borderId="1" fillId="0" fontId="4" numFmtId="164" xfId="0" applyAlignment="1" applyBorder="1" applyFont="1" applyNumberFormat="1">
      <alignment horizontal="right" readingOrder="0" shrinkToFit="0" vertical="bottom" wrapText="0"/>
    </xf>
    <xf borderId="1" fillId="0" fontId="4" numFmtId="165" xfId="0" applyAlignment="1" applyBorder="1" applyFont="1" applyNumberFormat="1">
      <alignment horizontal="right" readingOrder="0" shrinkToFit="0" vertical="bottom" wrapText="0"/>
    </xf>
    <xf borderId="1" fillId="0" fontId="4" numFmtId="166" xfId="0" applyAlignment="1" applyBorder="1" applyFont="1" applyNumberFormat="1">
      <alignment shrinkToFit="0" vertical="bottom" wrapText="0"/>
    </xf>
    <xf borderId="1" fillId="0" fontId="4" numFmtId="167" xfId="0" applyAlignment="1" applyBorder="1" applyFont="1" applyNumberFormat="1">
      <alignment shrinkToFit="0" vertical="bottom" wrapText="0"/>
    </xf>
    <xf borderId="1" fillId="0" fontId="4" numFmtId="168" xfId="0" applyAlignment="1" applyBorder="1" applyFont="1" applyNumberFormat="1">
      <alignment horizontal="right" readingOrder="0" shrinkToFit="0" vertical="bottom" wrapText="0"/>
    </xf>
    <xf borderId="1" fillId="0" fontId="4" numFmtId="165" xfId="0" applyAlignment="1" applyBorder="1" applyFont="1" applyNumberFormat="1">
      <alignment shrinkToFit="0" vertical="bottom" wrapText="0"/>
    </xf>
    <xf borderId="1" fillId="0" fontId="4" numFmtId="166" xfId="0" applyAlignment="1" applyBorder="1" applyFont="1" applyNumberFormat="1">
      <alignment horizontal="right" readingOrder="0" shrinkToFit="0" vertical="bottom" wrapText="0"/>
    </xf>
    <xf borderId="1" fillId="0" fontId="4" numFmtId="167" xfId="0" applyAlignment="1" applyBorder="1" applyFont="1" applyNumberFormat="1">
      <alignment horizontal="right" readingOrder="0" shrinkToFit="0" vertical="bottom" wrapText="0"/>
    </xf>
    <xf borderId="1" fillId="0" fontId="4" numFmtId="166" xfId="0" applyAlignment="1" applyBorder="1" applyFont="1" applyNumberFormat="1">
      <alignment horizontal="right" shrinkToFit="0" vertical="bottom" wrapText="0"/>
    </xf>
    <xf borderId="1" fillId="0" fontId="4" numFmtId="167" xfId="0" applyAlignment="1" applyBorder="1" applyFont="1" applyNumberFormat="1">
      <alignment horizontal="right" shrinkToFit="0" vertical="bottom" wrapText="0"/>
    </xf>
    <xf borderId="0" fillId="0" fontId="3" numFmtId="0" xfId="0" applyAlignment="1" applyFont="1">
      <alignment readingOrder="0"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1" max="1" width="6.71"/>
    <col customWidth="1" min="10" max="10" width="14.57"/>
  </cols>
  <sheetData>
    <row r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 t="s">
        <v>9</v>
      </c>
    </row>
    <row r="2">
      <c r="A2" s="4" t="s">
        <v>10</v>
      </c>
      <c r="B2" s="5">
        <v>41641.0</v>
      </c>
      <c r="C2" s="6">
        <v>39.95</v>
      </c>
      <c r="D2" s="7"/>
      <c r="E2" s="8"/>
      <c r="F2" s="6">
        <v>40.75</v>
      </c>
      <c r="G2" s="6">
        <v>39.91</v>
      </c>
      <c r="H2" s="6">
        <v>40.76</v>
      </c>
      <c r="I2" s="9">
        <v>1.3848836E8</v>
      </c>
      <c r="J2" s="10"/>
    </row>
    <row r="3">
      <c r="A3" s="4" t="s">
        <v>10</v>
      </c>
      <c r="B3" s="5">
        <v>41642.0</v>
      </c>
      <c r="C3" s="6">
        <v>39.88</v>
      </c>
      <c r="D3" s="11">
        <v>-0.07</v>
      </c>
      <c r="E3" s="12">
        <v>-0.0017</v>
      </c>
      <c r="F3" s="6">
        <v>40.15</v>
      </c>
      <c r="G3" s="6">
        <v>39.7</v>
      </c>
      <c r="H3" s="6">
        <v>40.16</v>
      </c>
      <c r="I3" s="9">
        <v>8.3579679E7</v>
      </c>
      <c r="J3" s="10"/>
    </row>
    <row r="4">
      <c r="A4" s="4" t="s">
        <v>10</v>
      </c>
      <c r="B4" s="5">
        <v>41645.0</v>
      </c>
      <c r="C4" s="6">
        <v>39.5</v>
      </c>
      <c r="D4" s="11">
        <v>-0.38</v>
      </c>
      <c r="E4" s="12">
        <v>-0.0095</v>
      </c>
      <c r="F4" s="6">
        <v>39.72</v>
      </c>
      <c r="G4" s="6">
        <v>39.49</v>
      </c>
      <c r="H4" s="6">
        <v>39.72</v>
      </c>
      <c r="I4" s="9">
        <v>5.5735007E7</v>
      </c>
      <c r="J4" s="10"/>
    </row>
    <row r="5">
      <c r="A5" s="4" t="s">
        <v>10</v>
      </c>
      <c r="B5" s="5">
        <v>41646.0</v>
      </c>
      <c r="C5" s="6">
        <v>39.67</v>
      </c>
      <c r="D5" s="13">
        <f>+0.17</f>
        <v>0.17</v>
      </c>
      <c r="E5" s="14">
        <f>+0.43%</f>
        <v>0.0043</v>
      </c>
      <c r="F5" s="6">
        <v>39.71</v>
      </c>
      <c r="G5" s="6">
        <v>39.55</v>
      </c>
      <c r="H5" s="6">
        <v>39.85</v>
      </c>
      <c r="I5" s="9">
        <v>5.7341433E7</v>
      </c>
      <c r="J5" s="10"/>
    </row>
    <row r="6">
      <c r="A6" s="4" t="s">
        <v>10</v>
      </c>
      <c r="B6" s="5">
        <v>41647.0</v>
      </c>
      <c r="C6" s="6">
        <v>39.54</v>
      </c>
      <c r="D6" s="11">
        <v>-0.13</v>
      </c>
      <c r="E6" s="12">
        <v>-0.0033</v>
      </c>
      <c r="F6" s="6">
        <v>39.73</v>
      </c>
      <c r="G6" s="6">
        <v>39.42</v>
      </c>
      <c r="H6" s="6">
        <v>39.77</v>
      </c>
      <c r="I6" s="9">
        <v>6.3182542E7</v>
      </c>
      <c r="J6" s="10"/>
    </row>
    <row r="7">
      <c r="A7" s="4" t="s">
        <v>10</v>
      </c>
      <c r="B7" s="5">
        <v>41648.0</v>
      </c>
      <c r="C7" s="6">
        <v>39.33</v>
      </c>
      <c r="D7" s="11">
        <v>-0.21</v>
      </c>
      <c r="E7" s="12">
        <v>-0.0053</v>
      </c>
      <c r="F7" s="6">
        <v>39.41</v>
      </c>
      <c r="G7" s="6">
        <v>39.02</v>
      </c>
      <c r="H7" s="6">
        <v>39.48</v>
      </c>
      <c r="I7" s="9">
        <v>7.4405122E7</v>
      </c>
      <c r="J7" s="10"/>
    </row>
    <row r="8">
      <c r="A8" s="4" t="s">
        <v>10</v>
      </c>
      <c r="B8" s="5">
        <v>41649.0</v>
      </c>
      <c r="C8" s="6">
        <v>40.03</v>
      </c>
      <c r="D8" s="13">
        <f>+0.7</f>
        <v>0.7</v>
      </c>
      <c r="E8" s="14">
        <f>+1.77%</f>
        <v>0.0177</v>
      </c>
      <c r="F8" s="6">
        <v>39.56</v>
      </c>
      <c r="G8" s="6">
        <v>39.55</v>
      </c>
      <c r="H8" s="6">
        <v>40.18</v>
      </c>
      <c r="I8" s="9">
        <v>1.10244164E8</v>
      </c>
      <c r="J8" s="10"/>
    </row>
    <row r="9">
      <c r="A9" s="4" t="s">
        <v>10</v>
      </c>
      <c r="B9" s="5">
        <v>41652.0</v>
      </c>
      <c r="C9" s="6">
        <v>39.55</v>
      </c>
      <c r="D9" s="11">
        <v>-0.48</v>
      </c>
      <c r="E9" s="12">
        <v>-0.0119</v>
      </c>
      <c r="F9" s="6">
        <v>40.11</v>
      </c>
      <c r="G9" s="6">
        <v>39.44</v>
      </c>
      <c r="H9" s="6">
        <v>40.16</v>
      </c>
      <c r="I9" s="9">
        <v>6.2209485E7</v>
      </c>
      <c r="J9" s="10"/>
    </row>
    <row r="10">
      <c r="A10" s="4" t="s">
        <v>10</v>
      </c>
      <c r="B10" s="5">
        <v>41653.0</v>
      </c>
      <c r="C10" s="6">
        <v>39.98</v>
      </c>
      <c r="D10" s="13">
        <f>+0.43</f>
        <v>0.43</v>
      </c>
      <c r="E10" s="14">
        <f>+1.08%</f>
        <v>0.0108</v>
      </c>
      <c r="F10" s="6">
        <v>39.77</v>
      </c>
      <c r="G10" s="6">
        <v>39.59</v>
      </c>
      <c r="H10" s="6">
        <v>40.1</v>
      </c>
      <c r="I10" s="9">
        <v>7.5830664E7</v>
      </c>
      <c r="J10" s="10"/>
    </row>
    <row r="11">
      <c r="A11" s="4" t="s">
        <v>10</v>
      </c>
      <c r="B11" s="5">
        <v>41654.0</v>
      </c>
      <c r="C11" s="6">
        <v>39.97</v>
      </c>
      <c r="D11" s="11">
        <v>-0.01</v>
      </c>
      <c r="E11" s="12">
        <v>-2.0E-4</v>
      </c>
      <c r="F11" s="6">
        <v>39.95</v>
      </c>
      <c r="G11" s="6">
        <v>39.88</v>
      </c>
      <c r="H11" s="6">
        <v>40.07</v>
      </c>
      <c r="I11" s="9">
        <v>4.7361841E7</v>
      </c>
      <c r="J11" s="10"/>
    </row>
    <row r="12">
      <c r="A12" s="4" t="s">
        <v>10</v>
      </c>
      <c r="B12" s="5">
        <v>41655.0</v>
      </c>
      <c r="C12" s="6">
        <v>39.75</v>
      </c>
      <c r="D12" s="11">
        <v>-0.22</v>
      </c>
      <c r="E12" s="12">
        <v>-0.0055</v>
      </c>
      <c r="F12" s="6">
        <v>39.92</v>
      </c>
      <c r="G12" s="6">
        <v>39.66</v>
      </c>
      <c r="H12" s="6">
        <v>40.02</v>
      </c>
      <c r="I12" s="9">
        <v>5.667387E7</v>
      </c>
      <c r="J12" s="10"/>
    </row>
    <row r="13">
      <c r="A13" s="4" t="s">
        <v>10</v>
      </c>
      <c r="B13" s="5">
        <v>41656.0</v>
      </c>
      <c r="C13" s="6">
        <v>39.55</v>
      </c>
      <c r="D13" s="11">
        <v>-0.2</v>
      </c>
      <c r="E13" s="12">
        <v>-0.005</v>
      </c>
      <c r="F13" s="6">
        <v>39.73</v>
      </c>
      <c r="G13" s="6">
        <v>39.5</v>
      </c>
      <c r="H13" s="6">
        <v>39.74</v>
      </c>
      <c r="I13" s="9">
        <v>6.1288198E7</v>
      </c>
      <c r="J13" s="10"/>
    </row>
    <row r="14">
      <c r="A14" s="4" t="s">
        <v>10</v>
      </c>
      <c r="B14" s="5">
        <v>41660.0</v>
      </c>
      <c r="C14" s="6">
        <v>39.49</v>
      </c>
      <c r="D14" s="11">
        <v>-0.06</v>
      </c>
      <c r="E14" s="12">
        <v>-0.0015</v>
      </c>
      <c r="F14" s="6">
        <v>39.76</v>
      </c>
      <c r="G14" s="6">
        <v>39.32</v>
      </c>
      <c r="H14" s="6">
        <v>39.81</v>
      </c>
      <c r="I14" s="9">
        <v>4.6683021E7</v>
      </c>
      <c r="J14" s="10"/>
    </row>
    <row r="15">
      <c r="A15" s="4" t="s">
        <v>10</v>
      </c>
      <c r="B15" s="5">
        <v>41661.0</v>
      </c>
      <c r="C15" s="6">
        <v>40.02</v>
      </c>
      <c r="D15" s="13">
        <f>+0.53</f>
        <v>0.53</v>
      </c>
      <c r="E15" s="14">
        <f>+1.33%</f>
        <v>0.0133</v>
      </c>
      <c r="F15" s="6">
        <v>39.82</v>
      </c>
      <c r="G15" s="6">
        <v>39.64</v>
      </c>
      <c r="H15" s="6">
        <v>40.03</v>
      </c>
      <c r="I15" s="9">
        <v>5.6188311E7</v>
      </c>
      <c r="J15" s="10"/>
    </row>
    <row r="16">
      <c r="A16" s="4" t="s">
        <v>10</v>
      </c>
      <c r="B16" s="5">
        <v>41662.0</v>
      </c>
      <c r="C16" s="6">
        <v>39.03</v>
      </c>
      <c r="D16" s="11">
        <v>-0.98</v>
      </c>
      <c r="E16" s="12">
        <v>-0.0246</v>
      </c>
      <c r="F16" s="6">
        <v>39.53</v>
      </c>
      <c r="G16" s="6">
        <v>38.76</v>
      </c>
      <c r="H16" s="6">
        <v>39.53</v>
      </c>
      <c r="I16" s="9">
        <v>1.09930307E8</v>
      </c>
      <c r="J16" s="10"/>
    </row>
    <row r="17">
      <c r="A17" s="4" t="s">
        <v>10</v>
      </c>
      <c r="B17" s="5">
        <v>41663.0</v>
      </c>
      <c r="C17" s="6">
        <v>38.01</v>
      </c>
      <c r="D17" s="11">
        <v>-1.02</v>
      </c>
      <c r="E17" s="12">
        <v>-0.0262</v>
      </c>
      <c r="F17" s="6">
        <v>38.52</v>
      </c>
      <c r="G17" s="6">
        <v>37.97</v>
      </c>
      <c r="H17" s="6">
        <v>38.55</v>
      </c>
      <c r="I17" s="9">
        <v>1.2715381E8</v>
      </c>
      <c r="J17" s="10"/>
    </row>
    <row r="18">
      <c r="A18" s="4" t="s">
        <v>10</v>
      </c>
      <c r="B18" s="5">
        <v>41666.0</v>
      </c>
      <c r="C18" s="6">
        <v>37.86</v>
      </c>
      <c r="D18" s="11">
        <v>-0.15</v>
      </c>
      <c r="E18" s="12">
        <v>-0.0039</v>
      </c>
      <c r="F18" s="6">
        <v>38.06</v>
      </c>
      <c r="G18" s="6">
        <v>37.54</v>
      </c>
      <c r="H18" s="6">
        <v>38.14</v>
      </c>
      <c r="I18" s="9">
        <v>1.18532287E8</v>
      </c>
      <c r="J18" s="10"/>
    </row>
    <row r="19">
      <c r="A19" s="4" t="s">
        <v>10</v>
      </c>
      <c r="B19" s="5">
        <v>41667.0</v>
      </c>
      <c r="C19" s="6">
        <v>38.1</v>
      </c>
      <c r="D19" s="13">
        <f>+0.24</f>
        <v>0.24</v>
      </c>
      <c r="E19" s="14">
        <f>+0.63%</f>
        <v>0.0063</v>
      </c>
      <c r="F19" s="6">
        <v>38.11</v>
      </c>
      <c r="G19" s="6">
        <v>37.97</v>
      </c>
      <c r="H19" s="6">
        <v>38.27</v>
      </c>
      <c r="I19" s="9">
        <v>8.6568659E7</v>
      </c>
      <c r="J19" s="10"/>
    </row>
    <row r="20">
      <c r="A20" s="4" t="s">
        <v>10</v>
      </c>
      <c r="B20" s="5">
        <v>41668.0</v>
      </c>
      <c r="C20" s="6">
        <v>37.55</v>
      </c>
      <c r="D20" s="11">
        <v>-0.55</v>
      </c>
      <c r="E20" s="12">
        <v>-0.0143</v>
      </c>
      <c r="F20" s="6">
        <v>37.6</v>
      </c>
      <c r="G20" s="6">
        <v>37.36</v>
      </c>
      <c r="H20" s="6">
        <v>37.97</v>
      </c>
      <c r="I20" s="9">
        <v>1.42219092E8</v>
      </c>
      <c r="J20" s="10"/>
    </row>
    <row r="21">
      <c r="A21" s="4" t="s">
        <v>10</v>
      </c>
      <c r="B21" s="5">
        <v>41669.0</v>
      </c>
      <c r="C21" s="6">
        <v>37.9</v>
      </c>
      <c r="D21" s="13">
        <f>+0.35</f>
        <v>0.35</v>
      </c>
      <c r="E21" s="14">
        <f>+0.93%</f>
        <v>0.0093</v>
      </c>
      <c r="F21" s="6">
        <v>38.09</v>
      </c>
      <c r="G21" s="6">
        <v>37.76</v>
      </c>
      <c r="H21" s="6">
        <v>38.18</v>
      </c>
      <c r="I21" s="9">
        <v>8.4660556E7</v>
      </c>
      <c r="J21" s="10"/>
    </row>
    <row r="22">
      <c r="A22" s="4" t="s">
        <v>10</v>
      </c>
      <c r="B22" s="5">
        <v>41670.0</v>
      </c>
      <c r="C22" s="6">
        <v>37.96</v>
      </c>
      <c r="D22" s="13">
        <f>+0.06</f>
        <v>0.06</v>
      </c>
      <c r="E22" s="14">
        <f>+0.16%</f>
        <v>0.0016</v>
      </c>
      <c r="F22" s="6">
        <v>37.45</v>
      </c>
      <c r="G22" s="6">
        <v>37.35</v>
      </c>
      <c r="H22" s="6">
        <v>38.04</v>
      </c>
      <c r="I22" s="9">
        <v>1.02329496E8</v>
      </c>
      <c r="J22" s="10"/>
    </row>
    <row r="23">
      <c r="A23" s="4" t="s">
        <v>10</v>
      </c>
      <c r="B23" s="5">
        <v>41673.0</v>
      </c>
      <c r="C23" s="6">
        <v>36.89</v>
      </c>
      <c r="D23" s="11">
        <v>-1.07</v>
      </c>
      <c r="E23" s="12">
        <v>-0.0283</v>
      </c>
      <c r="F23" s="6">
        <v>37.63</v>
      </c>
      <c r="G23" s="6">
        <v>36.83</v>
      </c>
      <c r="H23" s="6">
        <v>37.69</v>
      </c>
      <c r="I23" s="9">
        <v>1.23117136E8</v>
      </c>
      <c r="J23" s="10"/>
    </row>
    <row r="24">
      <c r="A24" s="4" t="s">
        <v>10</v>
      </c>
      <c r="B24" s="5">
        <v>41674.0</v>
      </c>
      <c r="C24" s="6">
        <v>37.63</v>
      </c>
      <c r="D24" s="13">
        <f>+0.75</f>
        <v>0.75</v>
      </c>
      <c r="E24" s="14">
        <f>+2.02%</f>
        <v>0.0202</v>
      </c>
      <c r="F24" s="6">
        <v>37.49</v>
      </c>
      <c r="G24" s="6">
        <v>37.39</v>
      </c>
      <c r="H24" s="6">
        <v>37.86</v>
      </c>
      <c r="I24" s="9">
        <v>1.38955432E8</v>
      </c>
      <c r="J24" s="10"/>
    </row>
    <row r="25">
      <c r="A25" s="4" t="s">
        <v>10</v>
      </c>
      <c r="B25" s="5">
        <v>41675.0</v>
      </c>
      <c r="C25" s="6">
        <v>37.49</v>
      </c>
      <c r="D25" s="11">
        <v>-0.14</v>
      </c>
      <c r="E25" s="12">
        <v>-0.0037</v>
      </c>
      <c r="F25" s="6">
        <v>37.47</v>
      </c>
      <c r="G25" s="6">
        <v>37.23</v>
      </c>
      <c r="H25" s="6">
        <v>37.73</v>
      </c>
      <c r="I25" s="9">
        <v>8.6064852E7</v>
      </c>
      <c r="J25" s="10"/>
    </row>
    <row r="26">
      <c r="A26" s="4" t="s">
        <v>10</v>
      </c>
      <c r="B26" s="5">
        <v>41676.0</v>
      </c>
      <c r="C26" s="6">
        <v>38.28</v>
      </c>
      <c r="D26" s="13">
        <f>+0.79</f>
        <v>0.79</v>
      </c>
      <c r="E26" s="14">
        <f>+2.09%</f>
        <v>0.0209</v>
      </c>
      <c r="F26" s="6">
        <v>37.76</v>
      </c>
      <c r="G26" s="6">
        <v>37.76</v>
      </c>
      <c r="H26" s="6">
        <v>38.34</v>
      </c>
      <c r="I26" s="9">
        <v>9.9403083E7</v>
      </c>
      <c r="J26" s="10"/>
    </row>
    <row r="27">
      <c r="A27" s="4" t="s">
        <v>10</v>
      </c>
      <c r="B27" s="5">
        <v>41677.0</v>
      </c>
      <c r="C27" s="6">
        <v>38.5</v>
      </c>
      <c r="D27" s="13">
        <f>+0.22</f>
        <v>0.22</v>
      </c>
      <c r="E27" s="14">
        <f>+0.57%</f>
        <v>0.0057</v>
      </c>
      <c r="F27" s="6">
        <v>38.58</v>
      </c>
      <c r="G27" s="6">
        <v>38.29</v>
      </c>
      <c r="H27" s="6">
        <v>38.69</v>
      </c>
      <c r="I27" s="9">
        <v>8.0356633E7</v>
      </c>
      <c r="J27" s="10"/>
    </row>
    <row r="28">
      <c r="A28" s="4" t="s">
        <v>10</v>
      </c>
      <c r="B28" s="5">
        <v>41680.0</v>
      </c>
      <c r="C28" s="6">
        <v>38.07</v>
      </c>
      <c r="D28" s="11">
        <v>-0.43</v>
      </c>
      <c r="E28" s="12">
        <v>-0.0111</v>
      </c>
      <c r="F28" s="6">
        <v>38.33</v>
      </c>
      <c r="G28" s="6">
        <v>37.9</v>
      </c>
      <c r="H28" s="6">
        <v>38.36</v>
      </c>
      <c r="I28" s="9">
        <v>6.8839448E7</v>
      </c>
      <c r="J28" s="10"/>
    </row>
    <row r="29">
      <c r="A29" s="4" t="s">
        <v>10</v>
      </c>
      <c r="B29" s="5">
        <v>41681.0</v>
      </c>
      <c r="C29" s="6">
        <v>38.9</v>
      </c>
      <c r="D29" s="13">
        <f>+0.83</f>
        <v>0.83</v>
      </c>
      <c r="E29" s="14">
        <f>+2.17%</f>
        <v>0.0217</v>
      </c>
      <c r="F29" s="6">
        <v>38.28</v>
      </c>
      <c r="G29" s="6">
        <v>38.27</v>
      </c>
      <c r="H29" s="6">
        <v>38.98</v>
      </c>
      <c r="I29" s="9">
        <v>9.3164751E7</v>
      </c>
      <c r="J29" s="10"/>
    </row>
    <row r="30">
      <c r="A30" s="4" t="s">
        <v>10</v>
      </c>
      <c r="B30" s="5">
        <v>41682.0</v>
      </c>
      <c r="C30" s="6">
        <v>38.91</v>
      </c>
      <c r="D30" s="13">
        <f>+0.01</f>
        <v>0.01</v>
      </c>
      <c r="E30" s="14">
        <f>+0.03%</f>
        <v>0.0003</v>
      </c>
      <c r="F30" s="6">
        <v>39.15</v>
      </c>
      <c r="G30" s="6">
        <v>38.79</v>
      </c>
      <c r="H30" s="6">
        <v>39.34</v>
      </c>
      <c r="I30" s="9">
        <v>6.8705651E7</v>
      </c>
      <c r="J30" s="10"/>
    </row>
    <row r="31">
      <c r="A31" s="4" t="s">
        <v>10</v>
      </c>
      <c r="B31" s="5">
        <v>41683.0</v>
      </c>
      <c r="C31" s="6">
        <v>38.95</v>
      </c>
      <c r="D31" s="13">
        <f>+0.04</f>
        <v>0.04</v>
      </c>
      <c r="E31" s="14">
        <f>+0.1%</f>
        <v>0.001</v>
      </c>
      <c r="F31" s="6">
        <v>38.34</v>
      </c>
      <c r="G31" s="6">
        <v>38.34</v>
      </c>
      <c r="H31" s="6">
        <v>38.97</v>
      </c>
      <c r="I31" s="9">
        <v>5.0414896E7</v>
      </c>
      <c r="J31" s="10"/>
    </row>
    <row r="32">
      <c r="A32" s="4" t="s">
        <v>10</v>
      </c>
      <c r="B32" s="5">
        <v>41684.0</v>
      </c>
      <c r="C32" s="6">
        <v>39.42</v>
      </c>
      <c r="D32" s="13">
        <f>+0.48</f>
        <v>0.48</v>
      </c>
      <c r="E32" s="14">
        <f>+1.23%</f>
        <v>0.0123</v>
      </c>
      <c r="F32" s="6">
        <v>39.21</v>
      </c>
      <c r="G32" s="6">
        <v>39.14</v>
      </c>
      <c r="H32" s="6">
        <v>39.63</v>
      </c>
      <c r="I32" s="9">
        <v>6.9806333E7</v>
      </c>
      <c r="J32" s="10"/>
    </row>
    <row r="33">
      <c r="A33" s="4" t="s">
        <v>10</v>
      </c>
      <c r="B33" s="5">
        <v>41688.0</v>
      </c>
      <c r="C33" s="6">
        <v>39.05</v>
      </c>
      <c r="D33" s="11">
        <v>-0.37</v>
      </c>
      <c r="E33" s="12">
        <v>-0.0093</v>
      </c>
      <c r="F33" s="6">
        <v>39.4</v>
      </c>
      <c r="G33" s="6">
        <v>39.03</v>
      </c>
      <c r="H33" s="6">
        <v>39.48</v>
      </c>
      <c r="I33" s="9">
        <v>6.9542516E7</v>
      </c>
      <c r="J33" s="10"/>
    </row>
    <row r="34">
      <c r="A34" s="4" t="s">
        <v>10</v>
      </c>
      <c r="B34" s="5">
        <v>41689.0</v>
      </c>
      <c r="C34" s="6">
        <v>38.79</v>
      </c>
      <c r="D34" s="11">
        <v>-0.27</v>
      </c>
      <c r="E34" s="12">
        <v>-0.0069</v>
      </c>
      <c r="F34" s="6">
        <v>38.91</v>
      </c>
      <c r="G34" s="6">
        <v>38.7</v>
      </c>
      <c r="H34" s="6">
        <v>39.22</v>
      </c>
      <c r="I34" s="9">
        <v>1.01924704E8</v>
      </c>
      <c r="J34" s="10"/>
    </row>
    <row r="35">
      <c r="A35" s="4" t="s">
        <v>10</v>
      </c>
      <c r="B35" s="5">
        <v>41690.0</v>
      </c>
      <c r="C35" s="6">
        <v>38.93</v>
      </c>
      <c r="D35" s="13">
        <f>+0.14</f>
        <v>0.14</v>
      </c>
      <c r="E35" s="14">
        <f>+0.36%</f>
        <v>0.0036</v>
      </c>
      <c r="F35" s="6">
        <v>38.75</v>
      </c>
      <c r="G35" s="6">
        <v>38.51</v>
      </c>
      <c r="H35" s="6">
        <v>39.01</v>
      </c>
      <c r="I35" s="9">
        <v>7.1686253E7</v>
      </c>
      <c r="J35" s="10"/>
    </row>
    <row r="36">
      <c r="A36" s="4" t="s">
        <v>10</v>
      </c>
      <c r="B36" s="5">
        <v>41691.0</v>
      </c>
      <c r="C36" s="6">
        <v>39.19</v>
      </c>
      <c r="D36" s="13">
        <f>+0.27</f>
        <v>0.27</v>
      </c>
      <c r="E36" s="14">
        <f>+0.69%</f>
        <v>0.0069</v>
      </c>
      <c r="F36" s="6">
        <v>39.13</v>
      </c>
      <c r="G36" s="6">
        <v>39.04</v>
      </c>
      <c r="H36" s="6">
        <v>39.35</v>
      </c>
      <c r="I36" s="9">
        <v>6.6907628E7</v>
      </c>
      <c r="J36" s="10"/>
    </row>
    <row r="37">
      <c r="A37" s="4" t="s">
        <v>10</v>
      </c>
      <c r="B37" s="5">
        <v>41694.0</v>
      </c>
      <c r="C37" s="6">
        <v>39.19</v>
      </c>
      <c r="D37" s="11">
        <v>0.0</v>
      </c>
      <c r="E37" s="12">
        <v>0.0</v>
      </c>
      <c r="F37" s="6">
        <v>39.15</v>
      </c>
      <c r="G37" s="6">
        <v>39.1</v>
      </c>
      <c r="H37" s="6">
        <v>39.54</v>
      </c>
      <c r="I37" s="9">
        <v>5.8971135E7</v>
      </c>
      <c r="J37" s="10"/>
    </row>
    <row r="38">
      <c r="A38" s="4" t="s">
        <v>10</v>
      </c>
      <c r="B38" s="5">
        <v>41695.0</v>
      </c>
      <c r="C38" s="6">
        <v>38.75</v>
      </c>
      <c r="D38" s="11">
        <v>-0.45</v>
      </c>
      <c r="E38" s="12">
        <v>-0.0114</v>
      </c>
      <c r="F38" s="6">
        <v>39.11</v>
      </c>
      <c r="G38" s="6">
        <v>38.64</v>
      </c>
      <c r="H38" s="6">
        <v>39.2</v>
      </c>
      <c r="I38" s="9">
        <v>7.7028588E7</v>
      </c>
      <c r="J38" s="10"/>
    </row>
    <row r="39">
      <c r="A39" s="4" t="s">
        <v>10</v>
      </c>
      <c r="B39" s="5">
        <v>41696.0</v>
      </c>
      <c r="C39" s="6">
        <v>38.78</v>
      </c>
      <c r="D39" s="13">
        <f>+0.03</f>
        <v>0.03</v>
      </c>
      <c r="E39" s="14">
        <f>+0.08%</f>
        <v>0.0008</v>
      </c>
      <c r="F39" s="6">
        <v>38.96</v>
      </c>
      <c r="G39" s="6">
        <v>38.62</v>
      </c>
      <c r="H39" s="6">
        <v>39.04</v>
      </c>
      <c r="I39" s="9">
        <v>5.9122516E7</v>
      </c>
      <c r="J39" s="10"/>
    </row>
    <row r="40">
      <c r="A40" s="4" t="s">
        <v>10</v>
      </c>
      <c r="B40" s="5">
        <v>41697.0</v>
      </c>
      <c r="C40" s="6">
        <v>39.51</v>
      </c>
      <c r="D40" s="13">
        <f>+0.74</f>
        <v>0.74</v>
      </c>
      <c r="E40" s="14">
        <f>+1.9%</f>
        <v>0.019</v>
      </c>
      <c r="F40" s="6">
        <v>39.12</v>
      </c>
      <c r="G40" s="6">
        <v>39.04</v>
      </c>
      <c r="H40" s="6">
        <v>39.58</v>
      </c>
      <c r="I40" s="9">
        <v>6.7962107E7</v>
      </c>
      <c r="J40" s="10"/>
    </row>
    <row r="41">
      <c r="A41" s="4" t="s">
        <v>10</v>
      </c>
      <c r="B41" s="5">
        <v>41698.0</v>
      </c>
      <c r="C41" s="6">
        <v>39.24</v>
      </c>
      <c r="D41" s="11">
        <v>-0.27</v>
      </c>
      <c r="E41" s="12">
        <v>-0.0068</v>
      </c>
      <c r="F41" s="6">
        <v>39.54</v>
      </c>
      <c r="G41" s="6">
        <v>38.98</v>
      </c>
      <c r="H41" s="6">
        <v>39.6</v>
      </c>
      <c r="I41" s="9">
        <v>8.8240602E7</v>
      </c>
      <c r="J41" s="10"/>
    </row>
    <row r="42">
      <c r="A42" s="4" t="s">
        <v>10</v>
      </c>
      <c r="B42" s="5">
        <v>41701.0</v>
      </c>
      <c r="C42" s="6">
        <v>38.55</v>
      </c>
      <c r="D42" s="11">
        <v>-0.7</v>
      </c>
      <c r="E42" s="12">
        <v>-0.0177</v>
      </c>
      <c r="F42" s="6">
        <v>38.49</v>
      </c>
      <c r="G42" s="6">
        <v>38.26</v>
      </c>
      <c r="H42" s="6">
        <v>38.71</v>
      </c>
      <c r="I42" s="9">
        <v>9.8832125E7</v>
      </c>
      <c r="J42" s="10"/>
    </row>
    <row r="43">
      <c r="A43" s="4" t="s">
        <v>10</v>
      </c>
      <c r="B43" s="5">
        <v>41702.0</v>
      </c>
      <c r="C43" s="6">
        <v>39.2</v>
      </c>
      <c r="D43" s="13">
        <f>+0.66</f>
        <v>0.66</v>
      </c>
      <c r="E43" s="14">
        <f>+1.7%</f>
        <v>0.017</v>
      </c>
      <c r="F43" s="6">
        <v>39.29</v>
      </c>
      <c r="G43" s="6">
        <v>39.03</v>
      </c>
      <c r="H43" s="6">
        <v>39.35</v>
      </c>
      <c r="I43" s="9">
        <v>6.3102949E7</v>
      </c>
      <c r="J43" s="10"/>
    </row>
    <row r="44">
      <c r="A44" s="4" t="s">
        <v>10</v>
      </c>
      <c r="B44" s="5">
        <v>41703.0</v>
      </c>
      <c r="C44" s="6">
        <v>39.23</v>
      </c>
      <c r="D44" s="13">
        <f>+0.03</f>
        <v>0.03</v>
      </c>
      <c r="E44" s="14">
        <f>+0.08%</f>
        <v>0.0008</v>
      </c>
      <c r="F44" s="6">
        <v>39.08</v>
      </c>
      <c r="G44" s="6">
        <v>39.01</v>
      </c>
      <c r="H44" s="6">
        <v>39.29</v>
      </c>
      <c r="I44" s="9">
        <v>4.2856824E7</v>
      </c>
      <c r="J44" s="10"/>
    </row>
    <row r="45">
      <c r="A45" s="4" t="s">
        <v>10</v>
      </c>
      <c r="B45" s="5">
        <v>41704.0</v>
      </c>
      <c r="C45" s="6">
        <v>39.79</v>
      </c>
      <c r="D45" s="13">
        <f>+0.56</f>
        <v>0.56</v>
      </c>
      <c r="E45" s="14">
        <f>+1.42%</f>
        <v>0.0142</v>
      </c>
      <c r="F45" s="6">
        <v>39.59</v>
      </c>
      <c r="G45" s="6">
        <v>39.58</v>
      </c>
      <c r="H45" s="6">
        <v>39.98</v>
      </c>
      <c r="I45" s="9">
        <v>8.6027532E7</v>
      </c>
      <c r="J45" s="10"/>
    </row>
    <row r="46">
      <c r="A46" s="4" t="s">
        <v>10</v>
      </c>
      <c r="B46" s="5">
        <v>41705.0</v>
      </c>
      <c r="C46" s="6">
        <v>39.28</v>
      </c>
      <c r="D46" s="11">
        <v>-0.51</v>
      </c>
      <c r="E46" s="12">
        <v>-0.0127</v>
      </c>
      <c r="F46" s="6">
        <v>39.61</v>
      </c>
      <c r="G46" s="6">
        <v>39.04</v>
      </c>
      <c r="H46" s="6">
        <v>39.63</v>
      </c>
      <c r="I46" s="9">
        <v>6.6565576E7</v>
      </c>
      <c r="J46" s="10"/>
    </row>
    <row r="47">
      <c r="A47" s="4" t="s">
        <v>10</v>
      </c>
      <c r="B47" s="5">
        <v>41708.0</v>
      </c>
      <c r="C47" s="6">
        <v>39.01</v>
      </c>
      <c r="D47" s="11">
        <v>-0.27</v>
      </c>
      <c r="E47" s="12">
        <v>-0.0068</v>
      </c>
      <c r="F47" s="6">
        <v>39.02</v>
      </c>
      <c r="G47" s="6">
        <v>38.69</v>
      </c>
      <c r="H47" s="6">
        <v>39.03</v>
      </c>
      <c r="I47" s="9">
        <v>5.774708E7</v>
      </c>
      <c r="J47" s="10"/>
    </row>
    <row r="48">
      <c r="A48" s="4" t="s">
        <v>10</v>
      </c>
      <c r="B48" s="5">
        <v>41709.0</v>
      </c>
      <c r="C48" s="6">
        <v>38.58</v>
      </c>
      <c r="D48" s="11">
        <v>-0.44</v>
      </c>
      <c r="E48" s="12">
        <v>-0.0112</v>
      </c>
      <c r="F48" s="6">
        <v>39.07</v>
      </c>
      <c r="G48" s="6">
        <v>38.48</v>
      </c>
      <c r="H48" s="6">
        <v>39.19</v>
      </c>
      <c r="I48" s="9">
        <v>7.2692598E7</v>
      </c>
      <c r="J48" s="10"/>
    </row>
    <row r="49">
      <c r="A49" s="4" t="s">
        <v>10</v>
      </c>
      <c r="B49" s="5">
        <v>41710.0</v>
      </c>
      <c r="C49" s="6">
        <v>38.66</v>
      </c>
      <c r="D49" s="13">
        <f>+0.08</f>
        <v>0.08</v>
      </c>
      <c r="E49" s="14">
        <f>+0.21%</f>
        <v>0.0021</v>
      </c>
      <c r="F49" s="6">
        <v>38.35</v>
      </c>
      <c r="G49" s="6">
        <v>38.23</v>
      </c>
      <c r="H49" s="6">
        <v>38.7</v>
      </c>
      <c r="I49" s="9">
        <v>5.6882798E7</v>
      </c>
      <c r="J49" s="10"/>
    </row>
    <row r="50">
      <c r="A50" s="4" t="s">
        <v>10</v>
      </c>
      <c r="B50" s="5">
        <v>41711.0</v>
      </c>
      <c r="C50" s="6">
        <v>37.96</v>
      </c>
      <c r="D50" s="11">
        <v>-0.7</v>
      </c>
      <c r="E50" s="12">
        <v>-0.018</v>
      </c>
      <c r="F50" s="6">
        <v>38.75</v>
      </c>
      <c r="G50" s="6">
        <v>37.8</v>
      </c>
      <c r="H50" s="6">
        <v>38.77</v>
      </c>
      <c r="I50" s="9">
        <v>7.9967392E7</v>
      </c>
      <c r="J50" s="10"/>
    </row>
    <row r="51">
      <c r="A51" s="4" t="s">
        <v>10</v>
      </c>
      <c r="B51" s="5">
        <v>41712.0</v>
      </c>
      <c r="C51" s="6">
        <v>38.17</v>
      </c>
      <c r="D51" s="13">
        <f>+0.21</f>
        <v>0.21</v>
      </c>
      <c r="E51" s="14">
        <f>+0.55%</f>
        <v>0.0055</v>
      </c>
      <c r="F51" s="6">
        <v>38.02</v>
      </c>
      <c r="G51" s="6">
        <v>38.02</v>
      </c>
      <c r="H51" s="6">
        <v>38.39</v>
      </c>
      <c r="I51" s="9">
        <v>6.4589778E7</v>
      </c>
      <c r="J51" s="10"/>
    </row>
    <row r="52">
      <c r="A52" s="4" t="s">
        <v>10</v>
      </c>
      <c r="B52" s="5">
        <v>41715.0</v>
      </c>
      <c r="C52" s="6">
        <v>38.64</v>
      </c>
      <c r="D52" s="13">
        <f>+0.47</f>
        <v>0.47</v>
      </c>
      <c r="E52" s="14">
        <f>+1.22%</f>
        <v>0.0122</v>
      </c>
      <c r="F52" s="6">
        <v>38.51</v>
      </c>
      <c r="G52" s="6">
        <v>38.51</v>
      </c>
      <c r="H52" s="6">
        <v>38.73</v>
      </c>
      <c r="I52" s="9">
        <v>5.7491956E7</v>
      </c>
      <c r="J52" s="10"/>
    </row>
    <row r="53">
      <c r="A53" s="4" t="s">
        <v>10</v>
      </c>
      <c r="B53" s="5">
        <v>41716.0</v>
      </c>
      <c r="C53" s="6">
        <v>39.17</v>
      </c>
      <c r="D53" s="13">
        <f>+0.54</f>
        <v>0.54</v>
      </c>
      <c r="E53" s="14">
        <f>+1.39%</f>
        <v>0.0139</v>
      </c>
      <c r="F53" s="6">
        <v>38.73</v>
      </c>
      <c r="G53" s="6">
        <v>38.7</v>
      </c>
      <c r="H53" s="6">
        <v>39.19</v>
      </c>
      <c r="I53" s="9">
        <v>6.8134923E7</v>
      </c>
      <c r="J53" s="10"/>
    </row>
    <row r="54">
      <c r="A54" s="4" t="s">
        <v>10</v>
      </c>
      <c r="B54" s="5">
        <v>41717.0</v>
      </c>
      <c r="C54" s="6">
        <v>38.34</v>
      </c>
      <c r="D54" s="11">
        <v>-0.83</v>
      </c>
      <c r="E54" s="12">
        <v>-0.0213</v>
      </c>
      <c r="F54" s="6">
        <v>38.9</v>
      </c>
      <c r="G54" s="6">
        <v>38.17</v>
      </c>
      <c r="H54" s="6">
        <v>39.07</v>
      </c>
      <c r="I54" s="9">
        <v>9.595298E7</v>
      </c>
      <c r="J54" s="10"/>
    </row>
    <row r="55">
      <c r="A55" s="4" t="s">
        <v>10</v>
      </c>
      <c r="B55" s="5">
        <v>41718.0</v>
      </c>
      <c r="C55" s="6">
        <v>38.51</v>
      </c>
      <c r="D55" s="13">
        <f>+0.17</f>
        <v>0.17</v>
      </c>
      <c r="E55" s="14">
        <f>+0.44%</f>
        <v>0.0044</v>
      </c>
      <c r="F55" s="6">
        <v>38.08</v>
      </c>
      <c r="G55" s="6">
        <v>37.94</v>
      </c>
      <c r="H55" s="6">
        <v>38.59</v>
      </c>
      <c r="I55" s="9">
        <v>6.0572255E7</v>
      </c>
      <c r="J55" s="10"/>
    </row>
    <row r="56">
      <c r="A56" s="4" t="s">
        <v>10</v>
      </c>
      <c r="B56" s="5">
        <v>41719.0</v>
      </c>
      <c r="C56" s="6">
        <v>38.75</v>
      </c>
      <c r="D56" s="13">
        <f>+0.24</f>
        <v>0.24</v>
      </c>
      <c r="E56" s="14">
        <f>+0.62%</f>
        <v>0.0062</v>
      </c>
      <c r="F56" s="6">
        <v>38.77</v>
      </c>
      <c r="G56" s="6">
        <v>38.7</v>
      </c>
      <c r="H56" s="6">
        <v>39.21</v>
      </c>
      <c r="I56" s="9">
        <v>8.6968929E7</v>
      </c>
      <c r="J56" s="10"/>
    </row>
    <row r="57">
      <c r="A57" s="4" t="s">
        <v>10</v>
      </c>
      <c r="B57" s="5">
        <v>41722.0</v>
      </c>
      <c r="C57" s="6">
        <v>39.12</v>
      </c>
      <c r="D57" s="13">
        <f>+0.38</f>
        <v>0.38</v>
      </c>
      <c r="E57" s="14">
        <f>+0.97%</f>
        <v>0.0097</v>
      </c>
      <c r="F57" s="6">
        <v>39.09</v>
      </c>
      <c r="G57" s="6">
        <v>38.85</v>
      </c>
      <c r="H57" s="6">
        <v>39.21</v>
      </c>
      <c r="I57" s="9">
        <v>5.4328111E7</v>
      </c>
      <c r="J57" s="10"/>
    </row>
    <row r="58">
      <c r="A58" s="4" t="s">
        <v>10</v>
      </c>
      <c r="B58" s="5">
        <v>41723.0</v>
      </c>
      <c r="C58" s="6">
        <v>39.57</v>
      </c>
      <c r="D58" s="13">
        <f>+0.45</f>
        <v>0.45</v>
      </c>
      <c r="E58" s="14">
        <f>+1.14%</f>
        <v>0.0114</v>
      </c>
      <c r="F58" s="6">
        <v>39.52</v>
      </c>
      <c r="G58" s="6">
        <v>39.4</v>
      </c>
      <c r="H58" s="6">
        <v>39.72</v>
      </c>
      <c r="I58" s="9">
        <v>9.3531373E7</v>
      </c>
      <c r="J58" s="10"/>
    </row>
    <row r="59">
      <c r="A59" s="4" t="s">
        <v>10</v>
      </c>
      <c r="B59" s="5">
        <v>41724.0</v>
      </c>
      <c r="C59" s="6">
        <v>39.66</v>
      </c>
      <c r="D59" s="13">
        <f>+0.09</f>
        <v>0.09</v>
      </c>
      <c r="E59" s="14">
        <f>+0.23%</f>
        <v>0.0023</v>
      </c>
      <c r="F59" s="6">
        <v>39.92</v>
      </c>
      <c r="G59" s="6">
        <v>39.64</v>
      </c>
      <c r="H59" s="6">
        <v>40.05</v>
      </c>
      <c r="I59" s="9">
        <v>9.1290279E7</v>
      </c>
      <c r="J59" s="10"/>
    </row>
    <row r="60">
      <c r="A60" s="4" t="s">
        <v>10</v>
      </c>
      <c r="B60" s="5">
        <v>41725.0</v>
      </c>
      <c r="C60" s="6">
        <v>40.18</v>
      </c>
      <c r="D60" s="13">
        <f>+0.52</f>
        <v>0.52</v>
      </c>
      <c r="E60" s="14">
        <f>+1.3%</f>
        <v>0.013</v>
      </c>
      <c r="F60" s="6">
        <v>39.81</v>
      </c>
      <c r="G60" s="6">
        <v>39.79</v>
      </c>
      <c r="H60" s="6">
        <v>40.24</v>
      </c>
      <c r="I60" s="9">
        <v>7.3438906E7</v>
      </c>
      <c r="J60" s="10"/>
    </row>
    <row r="61">
      <c r="A61" s="4" t="s">
        <v>10</v>
      </c>
      <c r="B61" s="5">
        <v>41726.0</v>
      </c>
      <c r="C61" s="6">
        <v>40.5</v>
      </c>
      <c r="D61" s="13">
        <f>+0.32</f>
        <v>0.32</v>
      </c>
      <c r="E61" s="14">
        <f>+0.79%</f>
        <v>0.0079</v>
      </c>
      <c r="F61" s="6">
        <v>40.54</v>
      </c>
      <c r="G61" s="6">
        <v>40.45</v>
      </c>
      <c r="H61" s="6">
        <v>40.77</v>
      </c>
      <c r="I61" s="9">
        <v>6.7464403E7</v>
      </c>
      <c r="J61" s="10"/>
    </row>
    <row r="62">
      <c r="A62" s="4" t="s">
        <v>10</v>
      </c>
      <c r="B62" s="5">
        <v>41729.0</v>
      </c>
      <c r="C62" s="6">
        <v>40.76</v>
      </c>
      <c r="D62" s="13">
        <f>+0.27</f>
        <v>0.27</v>
      </c>
      <c r="E62" s="14">
        <f>+0.66%</f>
        <v>0.0066</v>
      </c>
      <c r="F62" s="6">
        <v>40.74</v>
      </c>
      <c r="G62" s="6">
        <v>40.72</v>
      </c>
      <c r="H62" s="6">
        <v>41.0</v>
      </c>
      <c r="I62" s="9">
        <v>7.5256086E7</v>
      </c>
      <c r="J62" s="10"/>
    </row>
    <row r="63">
      <c r="A63" s="4" t="s">
        <v>10</v>
      </c>
      <c r="B63" s="5">
        <v>41730.0</v>
      </c>
      <c r="C63" s="6">
        <v>41.24</v>
      </c>
      <c r="D63" s="13">
        <f>+0.48</f>
        <v>0.48</v>
      </c>
      <c r="E63" s="14">
        <f>+1.17%</f>
        <v>0.0117</v>
      </c>
      <c r="F63" s="6">
        <v>41.15</v>
      </c>
      <c r="G63" s="6">
        <v>40.99</v>
      </c>
      <c r="H63" s="6">
        <v>41.24</v>
      </c>
      <c r="I63" s="9">
        <v>6.5718465E7</v>
      </c>
      <c r="J63" s="10"/>
    </row>
    <row r="64">
      <c r="A64" s="4" t="s">
        <v>10</v>
      </c>
      <c r="B64" s="5">
        <v>41731.0</v>
      </c>
      <c r="C64" s="6">
        <v>41.32</v>
      </c>
      <c r="D64" s="13">
        <f>+0.08</f>
        <v>0.08</v>
      </c>
      <c r="E64" s="14">
        <f>+0.19%</f>
        <v>0.0019</v>
      </c>
      <c r="F64" s="6">
        <v>41.08</v>
      </c>
      <c r="G64" s="6">
        <v>41.02</v>
      </c>
      <c r="H64" s="6">
        <v>41.36</v>
      </c>
      <c r="I64" s="9">
        <v>4.4076331E7</v>
      </c>
      <c r="J64" s="10"/>
    </row>
    <row r="65">
      <c r="A65" s="4" t="s">
        <v>10</v>
      </c>
      <c r="B65" s="5">
        <v>41732.0</v>
      </c>
      <c r="C65" s="6">
        <v>41.16</v>
      </c>
      <c r="D65" s="11">
        <v>-0.16</v>
      </c>
      <c r="E65" s="12">
        <v>-0.0038</v>
      </c>
      <c r="F65" s="6">
        <v>41.13</v>
      </c>
      <c r="G65" s="6">
        <v>40.75</v>
      </c>
      <c r="H65" s="6">
        <v>41.19</v>
      </c>
      <c r="I65" s="9">
        <v>8.466235E7</v>
      </c>
      <c r="J65" s="10"/>
    </row>
    <row r="66">
      <c r="A66" s="4" t="s">
        <v>10</v>
      </c>
      <c r="B66" s="5">
        <v>41733.0</v>
      </c>
      <c r="C66" s="6">
        <v>41.05</v>
      </c>
      <c r="D66" s="11">
        <v>-0.11</v>
      </c>
      <c r="E66" s="12">
        <v>-0.0027</v>
      </c>
      <c r="F66" s="6">
        <v>41.6</v>
      </c>
      <c r="G66" s="6">
        <v>40.99</v>
      </c>
      <c r="H66" s="6">
        <v>41.88</v>
      </c>
      <c r="I66" s="9">
        <v>1.27800667E8</v>
      </c>
      <c r="J66" s="10"/>
    </row>
    <row r="67">
      <c r="A67" s="4" t="s">
        <v>10</v>
      </c>
      <c r="B67" s="5">
        <v>41736.0</v>
      </c>
      <c r="C67" s="6">
        <v>41.23</v>
      </c>
      <c r="D67" s="13">
        <f>+0.17</f>
        <v>0.17</v>
      </c>
      <c r="E67" s="14">
        <f>+0.42%</f>
        <v>0.0042</v>
      </c>
      <c r="F67" s="6">
        <v>41.09</v>
      </c>
      <c r="G67" s="6">
        <v>40.99</v>
      </c>
      <c r="H67" s="6">
        <v>41.34</v>
      </c>
      <c r="I67" s="9">
        <v>6.0586217E7</v>
      </c>
      <c r="J67" s="10"/>
    </row>
    <row r="68">
      <c r="A68" s="4" t="s">
        <v>10</v>
      </c>
      <c r="B68" s="5">
        <v>41737.0</v>
      </c>
      <c r="C68" s="6">
        <v>41.71</v>
      </c>
      <c r="D68" s="13">
        <f>+0.48</f>
        <v>0.48</v>
      </c>
      <c r="E68" s="14">
        <f>+1.17%</f>
        <v>0.0117</v>
      </c>
      <c r="F68" s="6">
        <v>41.81</v>
      </c>
      <c r="G68" s="6">
        <v>41.57</v>
      </c>
      <c r="H68" s="6">
        <v>42.01</v>
      </c>
      <c r="I68" s="9">
        <v>1.0704406E8</v>
      </c>
      <c r="J68" s="10"/>
    </row>
    <row r="69">
      <c r="A69" s="4" t="s">
        <v>10</v>
      </c>
      <c r="B69" s="5">
        <v>41738.0</v>
      </c>
      <c r="C69" s="6">
        <v>42.03</v>
      </c>
      <c r="D69" s="13">
        <f>+0.32</f>
        <v>0.32</v>
      </c>
      <c r="E69" s="14">
        <f>+0.76%</f>
        <v>0.0076</v>
      </c>
      <c r="F69" s="6">
        <v>41.76</v>
      </c>
      <c r="G69" s="6">
        <v>41.47</v>
      </c>
      <c r="H69" s="6">
        <v>42.22</v>
      </c>
      <c r="I69" s="9">
        <v>7.1616995E7</v>
      </c>
      <c r="J69" s="10"/>
    </row>
    <row r="70">
      <c r="A70" s="4" t="s">
        <v>10</v>
      </c>
      <c r="B70" s="5">
        <v>41739.0</v>
      </c>
      <c r="C70" s="6">
        <v>41.58</v>
      </c>
      <c r="D70" s="11">
        <v>-0.45</v>
      </c>
      <c r="E70" s="12">
        <v>-0.0106</v>
      </c>
      <c r="F70" s="6">
        <v>42.02</v>
      </c>
      <c r="G70" s="6">
        <v>41.53</v>
      </c>
      <c r="H70" s="6">
        <v>42.17</v>
      </c>
      <c r="I70" s="9">
        <v>7.4794953E7</v>
      </c>
      <c r="J70" s="10"/>
    </row>
    <row r="71">
      <c r="A71" s="4" t="s">
        <v>10</v>
      </c>
      <c r="B71" s="5">
        <v>41740.0</v>
      </c>
      <c r="C71" s="6">
        <v>41.58</v>
      </c>
      <c r="D71" s="11">
        <v>0.0</v>
      </c>
      <c r="E71" s="12">
        <v>0.0</v>
      </c>
      <c r="F71" s="6">
        <v>41.29</v>
      </c>
      <c r="G71" s="6">
        <v>41.28</v>
      </c>
      <c r="H71" s="6">
        <v>41.64</v>
      </c>
      <c r="I71" s="9">
        <v>7.6313827E7</v>
      </c>
      <c r="J71" s="10"/>
    </row>
    <row r="72">
      <c r="A72" s="4" t="s">
        <v>10</v>
      </c>
      <c r="B72" s="5">
        <v>41743.0</v>
      </c>
      <c r="C72" s="6">
        <v>41.49</v>
      </c>
      <c r="D72" s="11">
        <v>-0.09</v>
      </c>
      <c r="E72" s="12">
        <v>-0.0021</v>
      </c>
      <c r="F72" s="6">
        <v>41.71</v>
      </c>
      <c r="G72" s="6">
        <v>41.28</v>
      </c>
      <c r="H72" s="6">
        <v>41.72</v>
      </c>
      <c r="I72" s="9">
        <v>4.4883446E7</v>
      </c>
      <c r="J72" s="10"/>
    </row>
    <row r="73">
      <c r="A73" s="4" t="s">
        <v>10</v>
      </c>
      <c r="B73" s="5">
        <v>41744.0</v>
      </c>
      <c r="C73" s="6">
        <v>40.86</v>
      </c>
      <c r="D73" s="11">
        <v>-0.63</v>
      </c>
      <c r="E73" s="12">
        <v>-0.0151</v>
      </c>
      <c r="F73" s="6">
        <v>41.23</v>
      </c>
      <c r="G73" s="6">
        <v>40.36</v>
      </c>
      <c r="H73" s="6">
        <v>41.26</v>
      </c>
      <c r="I73" s="9">
        <v>1.55302075E8</v>
      </c>
      <c r="J73" s="10"/>
    </row>
    <row r="74">
      <c r="A74" s="4" t="s">
        <v>10</v>
      </c>
      <c r="B74" s="5">
        <v>41745.0</v>
      </c>
      <c r="C74" s="6">
        <v>41.38</v>
      </c>
      <c r="D74" s="13">
        <f>+0.52</f>
        <v>0.52</v>
      </c>
      <c r="E74" s="14">
        <f>+1.26%</f>
        <v>0.0126</v>
      </c>
      <c r="F74" s="6">
        <v>41.06</v>
      </c>
      <c r="G74" s="6">
        <v>40.96</v>
      </c>
      <c r="H74" s="6">
        <v>41.42</v>
      </c>
      <c r="I74" s="9">
        <v>6.4113142E7</v>
      </c>
      <c r="J74" s="10"/>
    </row>
    <row r="75">
      <c r="A75" s="4" t="s">
        <v>10</v>
      </c>
      <c r="B75" s="5">
        <v>41746.0</v>
      </c>
      <c r="C75" s="6">
        <v>41.76</v>
      </c>
      <c r="D75" s="13">
        <f>+0.38</f>
        <v>0.38</v>
      </c>
      <c r="E75" s="14">
        <f>+0.91%</f>
        <v>0.0091</v>
      </c>
      <c r="F75" s="6">
        <v>41.42</v>
      </c>
      <c r="G75" s="6">
        <v>41.3</v>
      </c>
      <c r="H75" s="6">
        <v>41.9</v>
      </c>
      <c r="I75" s="9">
        <v>6.9955323E7</v>
      </c>
      <c r="J75" s="10"/>
    </row>
    <row r="76">
      <c r="A76" s="4" t="s">
        <v>10</v>
      </c>
      <c r="B76" s="5">
        <v>41750.0</v>
      </c>
      <c r="C76" s="6">
        <v>41.5</v>
      </c>
      <c r="D76" s="11">
        <v>-0.26</v>
      </c>
      <c r="E76" s="12">
        <v>-0.0062</v>
      </c>
      <c r="F76" s="6">
        <v>41.7</v>
      </c>
      <c r="G76" s="6">
        <v>41.39</v>
      </c>
      <c r="H76" s="6">
        <v>41.71</v>
      </c>
      <c r="I76" s="9">
        <v>2.9288544E7</v>
      </c>
      <c r="J76" s="10"/>
    </row>
    <row r="77">
      <c r="A77" s="4" t="s">
        <v>10</v>
      </c>
      <c r="B77" s="5">
        <v>41751.0</v>
      </c>
      <c r="C77" s="6">
        <v>41.39</v>
      </c>
      <c r="D77" s="11">
        <v>-0.11</v>
      </c>
      <c r="E77" s="12">
        <v>-0.0026</v>
      </c>
      <c r="F77" s="6">
        <v>41.55</v>
      </c>
      <c r="G77" s="6">
        <v>41.37</v>
      </c>
      <c r="H77" s="6">
        <v>41.61</v>
      </c>
      <c r="I77" s="9">
        <v>4.3060039E7</v>
      </c>
      <c r="J77" s="10"/>
    </row>
    <row r="78">
      <c r="A78" s="4" t="s">
        <v>10</v>
      </c>
      <c r="B78" s="5">
        <v>41752.0</v>
      </c>
      <c r="C78" s="6">
        <v>41.09</v>
      </c>
      <c r="D78" s="11">
        <v>-0.3</v>
      </c>
      <c r="E78" s="12">
        <v>-0.0072</v>
      </c>
      <c r="F78" s="6">
        <v>41.19</v>
      </c>
      <c r="G78" s="6">
        <v>40.85</v>
      </c>
      <c r="H78" s="6">
        <v>41.21</v>
      </c>
      <c r="I78" s="9">
        <v>5.8299271E7</v>
      </c>
      <c r="J78" s="10"/>
    </row>
    <row r="79">
      <c r="A79" s="4" t="s">
        <v>10</v>
      </c>
      <c r="B79" s="5">
        <v>41753.0</v>
      </c>
      <c r="C79" s="6">
        <v>41.13</v>
      </c>
      <c r="D79" s="13">
        <f>+0.04</f>
        <v>0.04</v>
      </c>
      <c r="E79" s="14">
        <f>+0.1%</f>
        <v>0.001</v>
      </c>
      <c r="F79" s="6">
        <v>41.12</v>
      </c>
      <c r="G79" s="6">
        <v>40.78</v>
      </c>
      <c r="H79" s="6">
        <v>41.14</v>
      </c>
      <c r="I79" s="9">
        <v>3.9310828E7</v>
      </c>
      <c r="J79" s="10"/>
    </row>
    <row r="80">
      <c r="A80" s="4" t="s">
        <v>10</v>
      </c>
      <c r="B80" s="5">
        <v>41754.0</v>
      </c>
      <c r="C80" s="6">
        <v>40.58</v>
      </c>
      <c r="D80" s="11">
        <v>-0.56</v>
      </c>
      <c r="E80" s="12">
        <v>-0.0135</v>
      </c>
      <c r="F80" s="6">
        <v>40.6</v>
      </c>
      <c r="G80" s="6">
        <v>40.3</v>
      </c>
      <c r="H80" s="6">
        <v>40.61</v>
      </c>
      <c r="I80" s="9">
        <v>7.2614047E7</v>
      </c>
      <c r="J80" s="10"/>
    </row>
    <row r="81">
      <c r="A81" s="4" t="s">
        <v>10</v>
      </c>
      <c r="B81" s="5">
        <v>41757.0</v>
      </c>
      <c r="C81" s="6">
        <v>40.77</v>
      </c>
      <c r="D81" s="13">
        <f>+0.2</f>
        <v>0.2</v>
      </c>
      <c r="E81" s="14">
        <f>+0.49%</f>
        <v>0.0049</v>
      </c>
      <c r="F81" s="6">
        <v>40.62</v>
      </c>
      <c r="G81" s="6">
        <v>40.43</v>
      </c>
      <c r="H81" s="6">
        <v>40.91</v>
      </c>
      <c r="I81" s="9">
        <v>6.402057E7</v>
      </c>
      <c r="J81" s="10"/>
    </row>
    <row r="82">
      <c r="A82" s="4" t="s">
        <v>10</v>
      </c>
      <c r="B82" s="5">
        <v>41758.0</v>
      </c>
      <c r="C82" s="6">
        <v>41.16</v>
      </c>
      <c r="D82" s="13">
        <f>+0.39</f>
        <v>0.39</v>
      </c>
      <c r="E82" s="14">
        <f>+0.95%</f>
        <v>0.0095</v>
      </c>
      <c r="F82" s="6">
        <v>41.03</v>
      </c>
      <c r="G82" s="6">
        <v>41.01</v>
      </c>
      <c r="H82" s="6">
        <v>41.32</v>
      </c>
      <c r="I82" s="9">
        <v>7.1181609E7</v>
      </c>
      <c r="J82" s="10"/>
    </row>
    <row r="83">
      <c r="A83" s="4" t="s">
        <v>10</v>
      </c>
      <c r="B83" s="5">
        <v>41759.0</v>
      </c>
      <c r="C83" s="6">
        <v>41.08</v>
      </c>
      <c r="D83" s="11">
        <v>-0.08</v>
      </c>
      <c r="E83" s="12">
        <v>-0.0019</v>
      </c>
      <c r="F83" s="6">
        <v>40.84</v>
      </c>
      <c r="G83" s="6">
        <v>40.79</v>
      </c>
      <c r="H83" s="6">
        <v>41.08</v>
      </c>
      <c r="I83" s="9">
        <v>4.9063136E7</v>
      </c>
      <c r="J83" s="10"/>
    </row>
    <row r="84">
      <c r="A84" s="4" t="s">
        <v>10</v>
      </c>
      <c r="B84" s="5">
        <v>41760.0</v>
      </c>
      <c r="C84" s="6">
        <v>41.13</v>
      </c>
      <c r="D84" s="13">
        <f>+0.05</f>
        <v>0.05</v>
      </c>
      <c r="E84" s="14">
        <f>+0.12%</f>
        <v>0.0012</v>
      </c>
      <c r="F84" s="6">
        <v>41.03</v>
      </c>
      <c r="G84" s="6">
        <v>40.83</v>
      </c>
      <c r="H84" s="6">
        <v>41.23</v>
      </c>
      <c r="I84" s="9">
        <v>3.1161437E7</v>
      </c>
      <c r="J84" s="10"/>
    </row>
    <row r="85">
      <c r="A85" s="4" t="s">
        <v>10</v>
      </c>
      <c r="B85" s="5">
        <v>41761.0</v>
      </c>
      <c r="C85" s="6">
        <v>41.36</v>
      </c>
      <c r="D85" s="13">
        <f>+0.23</f>
        <v>0.23</v>
      </c>
      <c r="E85" s="14">
        <f>+0.56%</f>
        <v>0.0056</v>
      </c>
      <c r="F85" s="6">
        <v>41.05</v>
      </c>
      <c r="G85" s="6">
        <v>41.02</v>
      </c>
      <c r="H85" s="6">
        <v>41.48</v>
      </c>
      <c r="I85" s="9">
        <v>6.3037514E7</v>
      </c>
      <c r="J85" s="10"/>
    </row>
    <row r="86">
      <c r="A86" s="4" t="s">
        <v>10</v>
      </c>
      <c r="B86" s="5">
        <v>41764.0</v>
      </c>
      <c r="C86" s="6">
        <v>41.13</v>
      </c>
      <c r="D86" s="11">
        <v>-0.23</v>
      </c>
      <c r="E86" s="12">
        <v>-0.0055</v>
      </c>
      <c r="F86" s="6">
        <v>41.07</v>
      </c>
      <c r="G86" s="6">
        <v>40.95</v>
      </c>
      <c r="H86" s="6">
        <v>41.17</v>
      </c>
      <c r="I86" s="9">
        <v>2.6894801E7</v>
      </c>
      <c r="J86" s="10"/>
    </row>
    <row r="87">
      <c r="A87" s="4" t="s">
        <v>10</v>
      </c>
      <c r="B87" s="5">
        <v>41765.0</v>
      </c>
      <c r="C87" s="6">
        <v>41.32</v>
      </c>
      <c r="D87" s="13">
        <f>+0.19</f>
        <v>0.19</v>
      </c>
      <c r="E87" s="14">
        <f>+0.46%</f>
        <v>0.0046</v>
      </c>
      <c r="F87" s="6">
        <v>41.17</v>
      </c>
      <c r="G87" s="6">
        <v>41.15</v>
      </c>
      <c r="H87" s="6">
        <v>41.56</v>
      </c>
      <c r="I87" s="9">
        <v>4.1163074E7</v>
      </c>
      <c r="J87" s="10"/>
    </row>
    <row r="88">
      <c r="A88" s="4" t="s">
        <v>10</v>
      </c>
      <c r="B88" s="5">
        <v>41766.0</v>
      </c>
      <c r="C88" s="6">
        <v>41.54</v>
      </c>
      <c r="D88" s="13">
        <f>+0.22</f>
        <v>0.22</v>
      </c>
      <c r="E88" s="14">
        <f>+0.53%</f>
        <v>0.0053</v>
      </c>
      <c r="F88" s="6">
        <v>41.2</v>
      </c>
      <c r="G88" s="6">
        <v>41.13</v>
      </c>
      <c r="H88" s="6">
        <v>41.55</v>
      </c>
      <c r="I88" s="9">
        <v>4.3226516E7</v>
      </c>
      <c r="J88" s="10"/>
    </row>
    <row r="89">
      <c r="A89" s="4" t="s">
        <v>10</v>
      </c>
      <c r="B89" s="5">
        <v>41767.0</v>
      </c>
      <c r="C89" s="6">
        <v>41.44</v>
      </c>
      <c r="D89" s="11">
        <v>-0.1</v>
      </c>
      <c r="E89" s="12">
        <v>-0.0024</v>
      </c>
      <c r="F89" s="6">
        <v>41.66</v>
      </c>
      <c r="G89" s="6">
        <v>41.44</v>
      </c>
      <c r="H89" s="6">
        <v>41.79</v>
      </c>
      <c r="I89" s="9">
        <v>4.9820304E7</v>
      </c>
      <c r="J89" s="10"/>
    </row>
    <row r="90">
      <c r="A90" s="4" t="s">
        <v>10</v>
      </c>
      <c r="B90" s="5">
        <v>41768.0</v>
      </c>
      <c r="C90" s="6">
        <v>41.37</v>
      </c>
      <c r="D90" s="11">
        <v>-0.07</v>
      </c>
      <c r="E90" s="12">
        <v>-0.0017</v>
      </c>
      <c r="F90" s="6">
        <v>41.48</v>
      </c>
      <c r="G90" s="6">
        <v>41.31</v>
      </c>
      <c r="H90" s="6">
        <v>41.58</v>
      </c>
      <c r="I90" s="9">
        <v>4.3952987E7</v>
      </c>
      <c r="J90" s="10"/>
    </row>
    <row r="91">
      <c r="A91" s="4" t="s">
        <v>10</v>
      </c>
      <c r="B91" s="5">
        <v>41771.0</v>
      </c>
      <c r="C91" s="6">
        <v>42.07</v>
      </c>
      <c r="D91" s="13">
        <f>+0.7</f>
        <v>0.7</v>
      </c>
      <c r="E91" s="14">
        <f>+1.68%</f>
        <v>0.0168</v>
      </c>
      <c r="F91" s="6">
        <v>41.98</v>
      </c>
      <c r="G91" s="6">
        <v>41.82</v>
      </c>
      <c r="H91" s="6">
        <v>42.1</v>
      </c>
      <c r="I91" s="9">
        <v>6.3396523E7</v>
      </c>
      <c r="J91" s="10"/>
    </row>
    <row r="92">
      <c r="A92" s="4" t="s">
        <v>10</v>
      </c>
      <c r="B92" s="5">
        <v>41772.0</v>
      </c>
      <c r="C92" s="6">
        <v>42.23</v>
      </c>
      <c r="D92" s="13">
        <f>+0.16</f>
        <v>0.16</v>
      </c>
      <c r="E92" s="14">
        <f>+0.38%</f>
        <v>0.0038</v>
      </c>
      <c r="F92" s="6">
        <v>42.14</v>
      </c>
      <c r="G92" s="6">
        <v>42.08</v>
      </c>
      <c r="H92" s="6">
        <v>42.4</v>
      </c>
      <c r="I92" s="9">
        <v>5.3342459E7</v>
      </c>
      <c r="J92" s="10"/>
    </row>
    <row r="93">
      <c r="A93" s="4" t="s">
        <v>10</v>
      </c>
      <c r="B93" s="5">
        <v>41773.0</v>
      </c>
      <c r="C93" s="6">
        <v>42.52</v>
      </c>
      <c r="D93" s="13">
        <f>+0.3</f>
        <v>0.3</v>
      </c>
      <c r="E93" s="14">
        <f>+0.71%</f>
        <v>0.0071</v>
      </c>
      <c r="F93" s="6">
        <v>42.46</v>
      </c>
      <c r="G93" s="6">
        <v>42.4</v>
      </c>
      <c r="H93" s="6">
        <v>42.66</v>
      </c>
      <c r="I93" s="9">
        <v>5.7544661E7</v>
      </c>
      <c r="J93" s="10"/>
    </row>
    <row r="94">
      <c r="A94" s="4" t="s">
        <v>10</v>
      </c>
      <c r="B94" s="5">
        <v>41774.0</v>
      </c>
      <c r="C94" s="6">
        <v>42.13</v>
      </c>
      <c r="D94" s="11">
        <v>-0.4</v>
      </c>
      <c r="E94" s="12">
        <v>-0.0094</v>
      </c>
      <c r="F94" s="6">
        <v>42.46</v>
      </c>
      <c r="G94" s="6">
        <v>41.98</v>
      </c>
      <c r="H94" s="6">
        <v>42.47</v>
      </c>
      <c r="I94" s="9">
        <v>5.6309407E7</v>
      </c>
      <c r="J94" s="10"/>
    </row>
    <row r="95">
      <c r="A95" s="4" t="s">
        <v>10</v>
      </c>
      <c r="B95" s="5">
        <v>41775.0</v>
      </c>
      <c r="C95" s="6">
        <v>42.68</v>
      </c>
      <c r="D95" s="13">
        <f>+0.56</f>
        <v>0.56</v>
      </c>
      <c r="E95" s="14">
        <f>+1.32%</f>
        <v>0.0132</v>
      </c>
      <c r="F95" s="6">
        <v>42.48</v>
      </c>
      <c r="G95" s="6">
        <v>42.36</v>
      </c>
      <c r="H95" s="6">
        <v>42.74</v>
      </c>
      <c r="I95" s="9">
        <v>7.041959E7</v>
      </c>
      <c r="J95" s="10"/>
    </row>
    <row r="96">
      <c r="A96" s="4" t="s">
        <v>10</v>
      </c>
      <c r="B96" s="5">
        <v>41778.0</v>
      </c>
      <c r="C96" s="6">
        <v>42.68</v>
      </c>
      <c r="D96" s="11">
        <v>0.0</v>
      </c>
      <c r="E96" s="12">
        <v>0.0</v>
      </c>
      <c r="F96" s="6">
        <v>42.62</v>
      </c>
      <c r="G96" s="6">
        <v>42.58</v>
      </c>
      <c r="H96" s="6">
        <v>42.74</v>
      </c>
      <c r="I96" s="9">
        <v>3.2471544E7</v>
      </c>
      <c r="J96" s="10"/>
    </row>
    <row r="97">
      <c r="A97" s="4" t="s">
        <v>10</v>
      </c>
      <c r="B97" s="5">
        <v>41779.0</v>
      </c>
      <c r="C97" s="6">
        <v>42.33</v>
      </c>
      <c r="D97" s="11">
        <v>-0.35</v>
      </c>
      <c r="E97" s="12">
        <v>-0.0082</v>
      </c>
      <c r="F97" s="6">
        <v>42.52</v>
      </c>
      <c r="G97" s="6">
        <v>42.23</v>
      </c>
      <c r="H97" s="6">
        <v>42.62</v>
      </c>
      <c r="I97" s="9">
        <v>6.3708788E7</v>
      </c>
      <c r="J97" s="10"/>
    </row>
    <row r="98">
      <c r="A98" s="4" t="s">
        <v>10</v>
      </c>
      <c r="B98" s="5">
        <v>41780.0</v>
      </c>
      <c r="C98" s="6">
        <v>42.66</v>
      </c>
      <c r="D98" s="13">
        <f>+0.33</f>
        <v>0.33</v>
      </c>
      <c r="E98" s="14">
        <f>+0.77%</f>
        <v>0.0077</v>
      </c>
      <c r="F98" s="6">
        <v>42.56</v>
      </c>
      <c r="G98" s="6">
        <v>42.53</v>
      </c>
      <c r="H98" s="6">
        <v>42.68</v>
      </c>
      <c r="I98" s="9">
        <v>5.0661329E7</v>
      </c>
      <c r="J98" s="10"/>
    </row>
    <row r="99">
      <c r="A99" s="4" t="s">
        <v>10</v>
      </c>
      <c r="B99" s="5">
        <v>41781.0</v>
      </c>
      <c r="C99" s="6">
        <v>42.96</v>
      </c>
      <c r="D99" s="13">
        <f>+0.3</f>
        <v>0.3</v>
      </c>
      <c r="E99" s="14">
        <f>+0.7%</f>
        <v>0.007</v>
      </c>
      <c r="F99" s="6">
        <v>42.87</v>
      </c>
      <c r="G99" s="6">
        <v>42.78</v>
      </c>
      <c r="H99" s="6">
        <v>42.96</v>
      </c>
      <c r="I99" s="9">
        <v>5.1414981E7</v>
      </c>
      <c r="J99" s="10"/>
    </row>
    <row r="100">
      <c r="A100" s="4" t="s">
        <v>10</v>
      </c>
      <c r="B100" s="5">
        <v>41782.0</v>
      </c>
      <c r="C100" s="6">
        <v>42.88</v>
      </c>
      <c r="D100" s="11">
        <v>-0.08</v>
      </c>
      <c r="E100" s="12">
        <v>-0.0019</v>
      </c>
      <c r="F100" s="6">
        <v>42.9</v>
      </c>
      <c r="G100" s="6">
        <v>42.86</v>
      </c>
      <c r="H100" s="6">
        <v>43.03</v>
      </c>
      <c r="I100" s="9">
        <v>5.5456061E7</v>
      </c>
      <c r="J100" s="10"/>
    </row>
    <row r="101">
      <c r="A101" s="4" t="s">
        <v>10</v>
      </c>
      <c r="B101" s="5">
        <v>41786.0</v>
      </c>
      <c r="C101" s="6">
        <v>42.51</v>
      </c>
      <c r="D101" s="11">
        <v>-0.37</v>
      </c>
      <c r="E101" s="12">
        <v>-0.0086</v>
      </c>
      <c r="F101" s="6">
        <v>42.7</v>
      </c>
      <c r="G101" s="6">
        <v>42.37</v>
      </c>
      <c r="H101" s="6">
        <v>42.77</v>
      </c>
      <c r="I101" s="9">
        <v>4.0157336E7</v>
      </c>
      <c r="J101" s="10"/>
    </row>
    <row r="102">
      <c r="A102" s="4" t="s">
        <v>10</v>
      </c>
      <c r="B102" s="5">
        <v>41787.0</v>
      </c>
      <c r="C102" s="6">
        <v>42.76</v>
      </c>
      <c r="D102" s="13">
        <f>+0.25</f>
        <v>0.25</v>
      </c>
      <c r="E102" s="14">
        <f>+0.58%</f>
        <v>0.0058</v>
      </c>
      <c r="F102" s="6">
        <v>42.73</v>
      </c>
      <c r="G102" s="6">
        <v>42.58</v>
      </c>
      <c r="H102" s="6">
        <v>42.85</v>
      </c>
      <c r="I102" s="9">
        <v>4.5095397E7</v>
      </c>
      <c r="J102" s="10"/>
    </row>
    <row r="103">
      <c r="A103" s="4" t="s">
        <v>10</v>
      </c>
      <c r="B103" s="5">
        <v>41788.0</v>
      </c>
      <c r="C103" s="6">
        <v>42.88</v>
      </c>
      <c r="D103" s="13">
        <f>+0.12</f>
        <v>0.12</v>
      </c>
      <c r="E103" s="14">
        <f>+0.28%</f>
        <v>0.0028</v>
      </c>
      <c r="F103" s="6">
        <v>42.87</v>
      </c>
      <c r="G103" s="6">
        <v>42.76</v>
      </c>
      <c r="H103" s="6">
        <v>42.95</v>
      </c>
      <c r="I103" s="9">
        <v>2.8979598E7</v>
      </c>
      <c r="J103" s="10"/>
    </row>
    <row r="104">
      <c r="A104" s="4" t="s">
        <v>10</v>
      </c>
      <c r="B104" s="5">
        <v>41789.0</v>
      </c>
      <c r="C104" s="6">
        <v>42.29</v>
      </c>
      <c r="D104" s="11">
        <v>-0.59</v>
      </c>
      <c r="E104" s="12">
        <v>-0.0137</v>
      </c>
      <c r="F104" s="6">
        <v>42.61</v>
      </c>
      <c r="G104" s="6">
        <v>42.21</v>
      </c>
      <c r="H104" s="6">
        <v>42.66</v>
      </c>
      <c r="I104" s="9">
        <v>7.2201895E7</v>
      </c>
      <c r="J104" s="10"/>
    </row>
    <row r="105">
      <c r="A105" s="4" t="s">
        <v>10</v>
      </c>
      <c r="B105" s="5">
        <v>41792.0</v>
      </c>
      <c r="C105" s="6">
        <v>42.42</v>
      </c>
      <c r="D105" s="13">
        <f>+0.13</f>
        <v>0.13</v>
      </c>
      <c r="E105" s="14">
        <f>+0.31%</f>
        <v>0.0031</v>
      </c>
      <c r="F105" s="6">
        <v>42.47</v>
      </c>
      <c r="G105" s="6">
        <v>42.39</v>
      </c>
      <c r="H105" s="6">
        <v>42.56</v>
      </c>
      <c r="I105" s="9">
        <v>3.355501E7</v>
      </c>
      <c r="J105" s="10"/>
    </row>
    <row r="106">
      <c r="A106" s="4" t="s">
        <v>10</v>
      </c>
      <c r="B106" s="5">
        <v>41793.0</v>
      </c>
      <c r="C106" s="6">
        <v>42.66</v>
      </c>
      <c r="D106" s="13">
        <f>+0.24</f>
        <v>0.24</v>
      </c>
      <c r="E106" s="14">
        <f>+0.56%</f>
        <v>0.0056</v>
      </c>
      <c r="F106" s="6">
        <v>42.47</v>
      </c>
      <c r="G106" s="6">
        <v>42.46</v>
      </c>
      <c r="H106" s="6">
        <v>42.78</v>
      </c>
      <c r="I106" s="9">
        <v>3.8021728E7</v>
      </c>
      <c r="J106" s="10"/>
    </row>
    <row r="107">
      <c r="A107" s="4" t="s">
        <v>10</v>
      </c>
      <c r="B107" s="5">
        <v>41794.0</v>
      </c>
      <c r="C107" s="6">
        <v>42.42</v>
      </c>
      <c r="D107" s="11">
        <v>-0.24</v>
      </c>
      <c r="E107" s="12">
        <v>-0.0056</v>
      </c>
      <c r="F107" s="6">
        <v>42.37</v>
      </c>
      <c r="G107" s="6">
        <v>42.3</v>
      </c>
      <c r="H107" s="6">
        <v>42.5</v>
      </c>
      <c r="I107" s="9">
        <v>2.5658118E7</v>
      </c>
      <c r="J107" s="10"/>
    </row>
    <row r="108">
      <c r="A108" s="4" t="s">
        <v>10</v>
      </c>
      <c r="B108" s="5">
        <v>41795.0</v>
      </c>
      <c r="C108" s="6">
        <v>42.87</v>
      </c>
      <c r="D108" s="13">
        <f>+0.45</f>
        <v>0.45</v>
      </c>
      <c r="E108" s="14">
        <f>+1.05%</f>
        <v>0.0105</v>
      </c>
      <c r="F108" s="6">
        <v>42.81</v>
      </c>
      <c r="G108" s="6">
        <v>42.64</v>
      </c>
      <c r="H108" s="6">
        <v>42.94</v>
      </c>
      <c r="I108" s="9">
        <v>4.1043616E7</v>
      </c>
      <c r="J108" s="10"/>
    </row>
    <row r="109">
      <c r="A109" s="4" t="s">
        <v>10</v>
      </c>
      <c r="B109" s="5">
        <v>41796.0</v>
      </c>
      <c r="C109" s="6">
        <v>43.3</v>
      </c>
      <c r="D109" s="13">
        <f>+0.43</f>
        <v>0.43</v>
      </c>
      <c r="E109" s="14">
        <f>+1%</f>
        <v>0.01</v>
      </c>
      <c r="F109" s="6">
        <v>43.22</v>
      </c>
      <c r="G109" s="6">
        <v>43.15</v>
      </c>
      <c r="H109" s="6">
        <v>43.4</v>
      </c>
      <c r="I109" s="9">
        <v>4.5430044E7</v>
      </c>
      <c r="J109" s="10"/>
    </row>
    <row r="110">
      <c r="A110" s="4" t="s">
        <v>10</v>
      </c>
      <c r="B110" s="5">
        <v>41799.0</v>
      </c>
      <c r="C110" s="6">
        <v>43.46</v>
      </c>
      <c r="D110" s="13">
        <f>+0.16</f>
        <v>0.16</v>
      </c>
      <c r="E110" s="14">
        <f>+0.37%</f>
        <v>0.0037</v>
      </c>
      <c r="F110" s="6">
        <v>43.25</v>
      </c>
      <c r="G110" s="6">
        <v>43.25</v>
      </c>
      <c r="H110" s="6">
        <v>43.52</v>
      </c>
      <c r="I110" s="9">
        <v>3.8995563E7</v>
      </c>
      <c r="J110" s="10"/>
    </row>
    <row r="111">
      <c r="A111" s="4" t="s">
        <v>10</v>
      </c>
      <c r="B111" s="5">
        <v>41800.0</v>
      </c>
      <c r="C111" s="6">
        <v>43.69</v>
      </c>
      <c r="D111" s="13">
        <f>+0.23</f>
        <v>0.23</v>
      </c>
      <c r="E111" s="14">
        <f>+0.53%</f>
        <v>0.0053</v>
      </c>
      <c r="F111" s="6">
        <v>43.51</v>
      </c>
      <c r="G111" s="6">
        <v>43.45</v>
      </c>
      <c r="H111" s="6">
        <v>43.72</v>
      </c>
      <c r="I111" s="9">
        <v>3.1574355E7</v>
      </c>
      <c r="J111" s="10"/>
    </row>
    <row r="112">
      <c r="A112" s="4" t="s">
        <v>10</v>
      </c>
      <c r="B112" s="5">
        <v>41801.0</v>
      </c>
      <c r="C112" s="6">
        <v>43.54</v>
      </c>
      <c r="D112" s="11">
        <v>-0.15</v>
      </c>
      <c r="E112" s="12">
        <v>-0.0034</v>
      </c>
      <c r="F112" s="6">
        <v>43.43</v>
      </c>
      <c r="G112" s="6">
        <v>43.42</v>
      </c>
      <c r="H112" s="6">
        <v>43.61</v>
      </c>
      <c r="I112" s="9">
        <v>4.4722505E7</v>
      </c>
      <c r="J112" s="10"/>
    </row>
    <row r="113">
      <c r="A113" s="4" t="s">
        <v>10</v>
      </c>
      <c r="B113" s="5">
        <v>41802.0</v>
      </c>
      <c r="C113" s="6">
        <v>43.33</v>
      </c>
      <c r="D113" s="11">
        <v>-0.21</v>
      </c>
      <c r="E113" s="12">
        <v>-0.0048</v>
      </c>
      <c r="F113" s="6">
        <v>43.61</v>
      </c>
      <c r="G113" s="6">
        <v>43.18</v>
      </c>
      <c r="H113" s="6">
        <v>43.64</v>
      </c>
      <c r="I113" s="9">
        <v>4.0266227E7</v>
      </c>
      <c r="J113" s="10"/>
    </row>
    <row r="114">
      <c r="A114" s="4" t="s">
        <v>10</v>
      </c>
      <c r="B114" s="5">
        <v>41803.0</v>
      </c>
      <c r="C114" s="6">
        <v>43.35</v>
      </c>
      <c r="D114" s="13">
        <f>+0.02</f>
        <v>0.02</v>
      </c>
      <c r="E114" s="14">
        <f>+0.05%</f>
        <v>0.0005</v>
      </c>
      <c r="F114" s="6">
        <v>43.18</v>
      </c>
      <c r="G114" s="6">
        <v>43.09</v>
      </c>
      <c r="H114" s="6">
        <v>43.39</v>
      </c>
      <c r="I114" s="9">
        <v>2.7554136E7</v>
      </c>
      <c r="J114" s="10"/>
    </row>
    <row r="115">
      <c r="A115" s="4" t="s">
        <v>10</v>
      </c>
      <c r="B115" s="5">
        <v>41806.0</v>
      </c>
      <c r="C115" s="6">
        <v>43.15</v>
      </c>
      <c r="D115" s="11">
        <v>-0.2</v>
      </c>
      <c r="E115" s="12">
        <v>-0.0046</v>
      </c>
      <c r="F115" s="6">
        <v>43.22</v>
      </c>
      <c r="G115" s="6">
        <v>43.02</v>
      </c>
      <c r="H115" s="6">
        <v>43.26</v>
      </c>
      <c r="I115" s="9">
        <v>3.2040735E7</v>
      </c>
      <c r="J115" s="10"/>
    </row>
    <row r="116">
      <c r="A116" s="4" t="s">
        <v>10</v>
      </c>
      <c r="B116" s="5">
        <v>41807.0</v>
      </c>
      <c r="C116" s="6">
        <v>43.16</v>
      </c>
      <c r="D116" s="13">
        <f>+0.01</f>
        <v>0.01</v>
      </c>
      <c r="E116" s="14">
        <f>+0.02%</f>
        <v>0.0002</v>
      </c>
      <c r="F116" s="6">
        <v>43.1</v>
      </c>
      <c r="G116" s="6">
        <v>42.98</v>
      </c>
      <c r="H116" s="6">
        <v>43.18</v>
      </c>
      <c r="I116" s="9">
        <v>3.501349E7</v>
      </c>
      <c r="J116" s="10"/>
    </row>
    <row r="117">
      <c r="A117" s="4" t="s">
        <v>10</v>
      </c>
      <c r="B117" s="5">
        <v>41808.0</v>
      </c>
      <c r="C117" s="6">
        <v>43.64</v>
      </c>
      <c r="D117" s="13">
        <f>+0.48</f>
        <v>0.48</v>
      </c>
      <c r="E117" s="14">
        <f>+1.11%</f>
        <v>0.0111</v>
      </c>
      <c r="F117" s="6">
        <v>43.06</v>
      </c>
      <c r="G117" s="6">
        <v>42.93</v>
      </c>
      <c r="H117" s="6">
        <v>43.67</v>
      </c>
      <c r="I117" s="9">
        <v>6.2132247E7</v>
      </c>
      <c r="J117" s="10"/>
    </row>
    <row r="118">
      <c r="A118" s="4" t="s">
        <v>10</v>
      </c>
      <c r="B118" s="5">
        <v>41809.0</v>
      </c>
      <c r="C118" s="6">
        <v>43.39</v>
      </c>
      <c r="D118" s="11">
        <v>-0.25</v>
      </c>
      <c r="E118" s="12">
        <v>-0.0057</v>
      </c>
      <c r="F118" s="6">
        <v>43.5</v>
      </c>
      <c r="G118" s="6">
        <v>43.26</v>
      </c>
      <c r="H118" s="6">
        <v>43.58</v>
      </c>
      <c r="I118" s="9">
        <v>4.8497874E7</v>
      </c>
      <c r="J118" s="10"/>
    </row>
    <row r="119">
      <c r="A119" s="4" t="s">
        <v>10</v>
      </c>
      <c r="B119" s="5">
        <v>41810.0</v>
      </c>
      <c r="C119" s="6">
        <v>43.3</v>
      </c>
      <c r="D119" s="11">
        <v>-0.09</v>
      </c>
      <c r="E119" s="12">
        <v>-0.0021</v>
      </c>
      <c r="F119" s="6">
        <v>43.24</v>
      </c>
      <c r="G119" s="6">
        <v>43.14</v>
      </c>
      <c r="H119" s="6">
        <v>43.33</v>
      </c>
      <c r="I119" s="9">
        <v>3.6743994E7</v>
      </c>
      <c r="J119" s="10"/>
    </row>
    <row r="120">
      <c r="A120" s="4" t="s">
        <v>10</v>
      </c>
      <c r="B120" s="5">
        <v>41813.0</v>
      </c>
      <c r="C120" s="6">
        <v>43.21</v>
      </c>
      <c r="D120" s="11">
        <v>-0.09</v>
      </c>
      <c r="E120" s="12">
        <v>-0.0021</v>
      </c>
      <c r="F120" s="6">
        <v>43.27</v>
      </c>
      <c r="G120" s="6">
        <v>43.06</v>
      </c>
      <c r="H120" s="6">
        <v>43.29</v>
      </c>
      <c r="I120" s="9">
        <v>2.7608961E7</v>
      </c>
      <c r="J120" s="10"/>
    </row>
    <row r="121">
      <c r="A121" s="4" t="s">
        <v>10</v>
      </c>
      <c r="B121" s="5">
        <v>41814.0</v>
      </c>
      <c r="C121" s="6">
        <v>43.19</v>
      </c>
      <c r="D121" s="11">
        <v>-0.02</v>
      </c>
      <c r="E121" s="12">
        <v>-5.0E-4</v>
      </c>
      <c r="F121" s="6">
        <v>43.33</v>
      </c>
      <c r="G121" s="6">
        <v>43.1</v>
      </c>
      <c r="H121" s="6">
        <v>43.63</v>
      </c>
      <c r="I121" s="9">
        <v>4.9440984E7</v>
      </c>
      <c r="J121" s="10"/>
    </row>
    <row r="122">
      <c r="A122" s="4" t="s">
        <v>10</v>
      </c>
      <c r="B122" s="5">
        <v>41815.0</v>
      </c>
      <c r="C122" s="6">
        <v>42.94</v>
      </c>
      <c r="D122" s="11">
        <v>-0.25</v>
      </c>
      <c r="E122" s="12">
        <v>-0.0058</v>
      </c>
      <c r="F122" s="6">
        <v>42.87</v>
      </c>
      <c r="G122" s="6">
        <v>42.74</v>
      </c>
      <c r="H122" s="6">
        <v>42.98</v>
      </c>
      <c r="I122" s="9">
        <v>3.5940194E7</v>
      </c>
      <c r="J122" s="10"/>
    </row>
    <row r="123">
      <c r="A123" s="4" t="s">
        <v>10</v>
      </c>
      <c r="B123" s="5">
        <v>41816.0</v>
      </c>
      <c r="C123" s="6">
        <v>42.99</v>
      </c>
      <c r="D123" s="13">
        <f>+0.05</f>
        <v>0.05</v>
      </c>
      <c r="E123" s="14">
        <f>+0.12%</f>
        <v>0.0012</v>
      </c>
      <c r="F123" s="6">
        <v>43.06</v>
      </c>
      <c r="G123" s="6">
        <v>42.84</v>
      </c>
      <c r="H123" s="6">
        <v>43.06</v>
      </c>
      <c r="I123" s="9">
        <v>2.1874948E7</v>
      </c>
      <c r="J123" s="10"/>
    </row>
    <row r="124">
      <c r="A124" s="4" t="s">
        <v>10</v>
      </c>
      <c r="B124" s="5">
        <v>41817.0</v>
      </c>
      <c r="C124" s="6">
        <v>43.09</v>
      </c>
      <c r="D124" s="13">
        <f>+0.1</f>
        <v>0.1</v>
      </c>
      <c r="E124" s="14">
        <f>+0.23%</f>
        <v>0.0023</v>
      </c>
      <c r="F124" s="6">
        <v>42.99</v>
      </c>
      <c r="G124" s="6">
        <v>42.86</v>
      </c>
      <c r="H124" s="6">
        <v>43.12</v>
      </c>
      <c r="I124" s="9">
        <v>2.1988894E7</v>
      </c>
      <c r="J124" s="10"/>
    </row>
    <row r="125">
      <c r="A125" s="4" t="s">
        <v>10</v>
      </c>
      <c r="B125" s="5">
        <v>41820.0</v>
      </c>
      <c r="C125" s="6">
        <v>42.97</v>
      </c>
      <c r="D125" s="11">
        <v>-0.12</v>
      </c>
      <c r="E125" s="12">
        <v>-0.0028</v>
      </c>
      <c r="F125" s="6">
        <v>43.11</v>
      </c>
      <c r="G125" s="6">
        <v>42.94</v>
      </c>
      <c r="H125" s="6">
        <v>43.15</v>
      </c>
      <c r="I125" s="9">
        <v>3.4343196E7</v>
      </c>
      <c r="J125" s="10"/>
    </row>
    <row r="126">
      <c r="A126" s="4" t="s">
        <v>10</v>
      </c>
      <c r="B126" s="5">
        <v>41821.0</v>
      </c>
      <c r="C126" s="6">
        <v>43.38</v>
      </c>
      <c r="D126" s="13">
        <f>+0.41</f>
        <v>0.41</v>
      </c>
      <c r="E126" s="14">
        <f>+0.95%</f>
        <v>0.0095</v>
      </c>
      <c r="F126" s="6">
        <v>43.29</v>
      </c>
      <c r="G126" s="6">
        <v>43.27</v>
      </c>
      <c r="H126" s="6">
        <v>43.42</v>
      </c>
      <c r="I126" s="9">
        <v>4.2222381E7</v>
      </c>
      <c r="J126" s="10"/>
    </row>
    <row r="127">
      <c r="A127" s="4" t="s">
        <v>10</v>
      </c>
      <c r="B127" s="5">
        <v>41822.0</v>
      </c>
      <c r="C127" s="6">
        <v>43.64</v>
      </c>
      <c r="D127" s="13">
        <f t="shared" ref="D127:D128" si="1">+0.26</f>
        <v>0.26</v>
      </c>
      <c r="E127" s="14">
        <f>+0.6%</f>
        <v>0.006</v>
      </c>
      <c r="F127" s="6">
        <v>43.56</v>
      </c>
      <c r="G127" s="6">
        <v>43.53</v>
      </c>
      <c r="H127" s="6">
        <v>43.66</v>
      </c>
      <c r="I127" s="9">
        <v>3.595579E7</v>
      </c>
      <c r="J127" s="10"/>
    </row>
    <row r="128">
      <c r="A128" s="4" t="s">
        <v>10</v>
      </c>
      <c r="B128" s="5">
        <v>41823.0</v>
      </c>
      <c r="C128" s="6">
        <v>43.9</v>
      </c>
      <c r="D128" s="13">
        <f t="shared" si="1"/>
        <v>0.26</v>
      </c>
      <c r="E128" s="14">
        <f>+0.59%</f>
        <v>0.0059</v>
      </c>
      <c r="F128" s="6">
        <v>43.54</v>
      </c>
      <c r="G128" s="6">
        <v>43.51</v>
      </c>
      <c r="H128" s="6">
        <v>43.93</v>
      </c>
      <c r="I128" s="9">
        <v>2.6627083E7</v>
      </c>
      <c r="J128" s="10"/>
    </row>
    <row r="129">
      <c r="A129" s="4" t="s">
        <v>10</v>
      </c>
      <c r="B129" s="5">
        <v>41827.0</v>
      </c>
      <c r="C129" s="6">
        <v>43.87</v>
      </c>
      <c r="D129" s="11">
        <v>-0.03</v>
      </c>
      <c r="E129" s="12">
        <v>-7.0E-4</v>
      </c>
      <c r="F129" s="6">
        <v>43.81</v>
      </c>
      <c r="G129" s="6">
        <v>43.72</v>
      </c>
      <c r="H129" s="6">
        <v>43.9</v>
      </c>
      <c r="I129" s="9">
        <v>2.69628E7</v>
      </c>
      <c r="J129" s="10"/>
    </row>
    <row r="130">
      <c r="A130" s="4" t="s">
        <v>10</v>
      </c>
      <c r="B130" s="5">
        <v>41828.0</v>
      </c>
      <c r="C130" s="6">
        <v>43.67</v>
      </c>
      <c r="D130" s="11">
        <v>-0.2</v>
      </c>
      <c r="E130" s="12">
        <v>-0.0045</v>
      </c>
      <c r="F130" s="6">
        <v>43.84</v>
      </c>
      <c r="G130" s="6">
        <v>43.58</v>
      </c>
      <c r="H130" s="6">
        <v>43.87</v>
      </c>
      <c r="I130" s="9">
        <v>2.9107068E7</v>
      </c>
      <c r="J130" s="10"/>
    </row>
    <row r="131">
      <c r="A131" s="4" t="s">
        <v>10</v>
      </c>
      <c r="B131" s="5">
        <v>41829.0</v>
      </c>
      <c r="C131" s="6">
        <v>43.92</v>
      </c>
      <c r="D131" s="13">
        <f>+0.25</f>
        <v>0.25</v>
      </c>
      <c r="E131" s="14">
        <f>+0.56%</f>
        <v>0.0056</v>
      </c>
      <c r="F131" s="6">
        <v>43.69</v>
      </c>
      <c r="G131" s="6">
        <v>43.64</v>
      </c>
      <c r="H131" s="6">
        <v>43.96</v>
      </c>
      <c r="I131" s="9">
        <v>2.9892621E7</v>
      </c>
      <c r="J131" s="10"/>
    </row>
    <row r="132">
      <c r="A132" s="4" t="s">
        <v>10</v>
      </c>
      <c r="B132" s="5">
        <v>41830.0</v>
      </c>
      <c r="C132" s="6">
        <v>43.68</v>
      </c>
      <c r="D132" s="11">
        <v>-0.24</v>
      </c>
      <c r="E132" s="12">
        <v>-0.0054</v>
      </c>
      <c r="F132" s="6">
        <v>43.28</v>
      </c>
      <c r="G132" s="6">
        <v>43.17</v>
      </c>
      <c r="H132" s="6">
        <v>43.69</v>
      </c>
      <c r="I132" s="9">
        <v>4.3704017E7</v>
      </c>
      <c r="J132" s="10"/>
    </row>
    <row r="133">
      <c r="A133" s="4" t="s">
        <v>10</v>
      </c>
      <c r="B133" s="5">
        <v>41831.0</v>
      </c>
      <c r="C133" s="6">
        <v>43.63</v>
      </c>
      <c r="D133" s="11">
        <v>-0.05</v>
      </c>
      <c r="E133" s="12">
        <v>-0.0011</v>
      </c>
      <c r="F133" s="6">
        <v>43.5</v>
      </c>
      <c r="G133" s="6">
        <v>43.47</v>
      </c>
      <c r="H133" s="6">
        <v>43.71</v>
      </c>
      <c r="I133" s="9">
        <v>3.2082732E7</v>
      </c>
      <c r="J133" s="10"/>
    </row>
    <row r="134">
      <c r="A134" s="4" t="s">
        <v>10</v>
      </c>
      <c r="B134" s="5">
        <v>41834.0</v>
      </c>
      <c r="C134" s="6">
        <v>43.96</v>
      </c>
      <c r="D134" s="13">
        <f>+0.34</f>
        <v>0.34</v>
      </c>
      <c r="E134" s="14">
        <f>+0.77%</f>
        <v>0.0077</v>
      </c>
      <c r="F134" s="6">
        <v>43.89</v>
      </c>
      <c r="G134" s="6">
        <v>43.81</v>
      </c>
      <c r="H134" s="6">
        <v>43.97</v>
      </c>
      <c r="I134" s="9">
        <v>2.3137062E7</v>
      </c>
      <c r="J134" s="10"/>
    </row>
    <row r="135">
      <c r="A135" s="4" t="s">
        <v>10</v>
      </c>
      <c r="B135" s="5">
        <v>41835.0</v>
      </c>
      <c r="C135" s="6">
        <v>43.93</v>
      </c>
      <c r="D135" s="11">
        <v>-0.03</v>
      </c>
      <c r="E135" s="12">
        <v>-7.0E-4</v>
      </c>
      <c r="F135" s="6">
        <v>44.0</v>
      </c>
      <c r="G135" s="6">
        <v>43.73</v>
      </c>
      <c r="H135" s="6">
        <v>44.05</v>
      </c>
      <c r="I135" s="9">
        <v>3.8034166E7</v>
      </c>
      <c r="J135" s="10"/>
    </row>
    <row r="136">
      <c r="A136" s="4" t="s">
        <v>10</v>
      </c>
      <c r="B136" s="5">
        <v>41836.0</v>
      </c>
      <c r="C136" s="6">
        <v>44.04</v>
      </c>
      <c r="D136" s="13">
        <f>+0.11</f>
        <v>0.11</v>
      </c>
      <c r="E136" s="14">
        <f>+0.25%</f>
        <v>0.0025</v>
      </c>
      <c r="F136" s="6">
        <v>44.15</v>
      </c>
      <c r="G136" s="6">
        <v>43.98</v>
      </c>
      <c r="H136" s="6">
        <v>44.2</v>
      </c>
      <c r="I136" s="9">
        <v>2.6424026E7</v>
      </c>
      <c r="J136" s="10"/>
    </row>
    <row r="137">
      <c r="A137" s="4" t="s">
        <v>10</v>
      </c>
      <c r="B137" s="5">
        <v>41837.0</v>
      </c>
      <c r="C137" s="6">
        <v>43.22</v>
      </c>
      <c r="D137" s="11">
        <v>-0.83</v>
      </c>
      <c r="E137" s="12">
        <v>-0.0187</v>
      </c>
      <c r="F137" s="6">
        <v>43.74</v>
      </c>
      <c r="G137" s="6">
        <v>43.14</v>
      </c>
      <c r="H137" s="6">
        <v>43.82</v>
      </c>
      <c r="I137" s="9">
        <v>6.6994887E7</v>
      </c>
      <c r="J137" s="10"/>
    </row>
    <row r="138">
      <c r="A138" s="4" t="s">
        <v>10</v>
      </c>
      <c r="B138" s="5">
        <v>41838.0</v>
      </c>
      <c r="C138" s="6">
        <v>43.9</v>
      </c>
      <c r="D138" s="13">
        <f>+0.68</f>
        <v>0.68</v>
      </c>
      <c r="E138" s="14">
        <f>+1.56%</f>
        <v>0.0156</v>
      </c>
      <c r="F138" s="6">
        <v>43.84</v>
      </c>
      <c r="G138" s="6">
        <v>43.68</v>
      </c>
      <c r="H138" s="6">
        <v>43.99</v>
      </c>
      <c r="I138" s="9">
        <v>5.1872708E7</v>
      </c>
      <c r="J138" s="10"/>
    </row>
    <row r="139">
      <c r="A139" s="4" t="s">
        <v>10</v>
      </c>
      <c r="B139" s="5">
        <v>41841.0</v>
      </c>
      <c r="C139" s="6">
        <v>44.04</v>
      </c>
      <c r="D139" s="13">
        <f>+0.15</f>
        <v>0.15</v>
      </c>
      <c r="E139" s="14">
        <f>+0.34%</f>
        <v>0.0034</v>
      </c>
      <c r="F139" s="6">
        <v>43.68</v>
      </c>
      <c r="G139" s="6">
        <v>43.66</v>
      </c>
      <c r="H139" s="6">
        <v>44.13</v>
      </c>
      <c r="I139" s="9">
        <v>5.6036353E7</v>
      </c>
      <c r="J139" s="10"/>
    </row>
    <row r="140">
      <c r="A140" s="4" t="s">
        <v>10</v>
      </c>
      <c r="B140" s="5">
        <v>41842.0</v>
      </c>
      <c r="C140" s="6">
        <v>44.45</v>
      </c>
      <c r="D140" s="13">
        <f>+0.41</f>
        <v>0.41</v>
      </c>
      <c r="E140" s="14">
        <f>+0.93%</f>
        <v>0.0093</v>
      </c>
      <c r="F140" s="6">
        <v>44.53</v>
      </c>
      <c r="G140" s="6">
        <v>44.43</v>
      </c>
      <c r="H140" s="6">
        <v>44.56</v>
      </c>
      <c r="I140" s="9">
        <v>4.3480273E7</v>
      </c>
      <c r="J140" s="10"/>
    </row>
    <row r="141">
      <c r="A141" s="4" t="s">
        <v>10</v>
      </c>
      <c r="B141" s="5">
        <v>41843.0</v>
      </c>
      <c r="C141" s="6">
        <v>44.49</v>
      </c>
      <c r="D141" s="13">
        <f>+0.04</f>
        <v>0.04</v>
      </c>
      <c r="E141" s="14">
        <f>+0.09%</f>
        <v>0.0009</v>
      </c>
      <c r="F141" s="6">
        <v>44.55</v>
      </c>
      <c r="G141" s="6">
        <v>44.39</v>
      </c>
      <c r="H141" s="6">
        <v>44.55</v>
      </c>
      <c r="I141" s="9">
        <v>2.9647865E7</v>
      </c>
      <c r="J141" s="10"/>
    </row>
    <row r="142">
      <c r="A142" s="4" t="s">
        <v>10</v>
      </c>
      <c r="B142" s="5">
        <v>41844.0</v>
      </c>
      <c r="C142" s="6">
        <v>44.69</v>
      </c>
      <c r="D142" s="13">
        <f>+0.2</f>
        <v>0.2</v>
      </c>
      <c r="E142" s="14">
        <f>+0.45%</f>
        <v>0.0045</v>
      </c>
      <c r="F142" s="6">
        <v>44.55</v>
      </c>
      <c r="G142" s="6">
        <v>44.5</v>
      </c>
      <c r="H142" s="6">
        <v>44.73</v>
      </c>
      <c r="I142" s="9">
        <v>3.150369E7</v>
      </c>
      <c r="J142" s="10"/>
    </row>
    <row r="143">
      <c r="A143" s="4" t="s">
        <v>10</v>
      </c>
      <c r="B143" s="5">
        <v>41845.0</v>
      </c>
      <c r="C143" s="6">
        <v>44.51</v>
      </c>
      <c r="D143" s="11">
        <v>-0.18</v>
      </c>
      <c r="E143" s="12">
        <v>-0.004</v>
      </c>
      <c r="F143" s="6">
        <v>44.48</v>
      </c>
      <c r="G143" s="6">
        <v>44.37</v>
      </c>
      <c r="H143" s="6">
        <v>44.56</v>
      </c>
      <c r="I143" s="9">
        <v>3.4409227E7</v>
      </c>
      <c r="J143" s="10"/>
    </row>
    <row r="144">
      <c r="A144" s="4" t="s">
        <v>10</v>
      </c>
      <c r="B144" s="5">
        <v>41848.0</v>
      </c>
      <c r="C144" s="6">
        <v>44.82</v>
      </c>
      <c r="D144" s="13">
        <f>+0.31</f>
        <v>0.31</v>
      </c>
      <c r="E144" s="14">
        <f>+0.69%</f>
        <v>0.0069</v>
      </c>
      <c r="F144" s="6">
        <v>44.57</v>
      </c>
      <c r="G144" s="6">
        <v>44.49</v>
      </c>
      <c r="H144" s="6">
        <v>44.84</v>
      </c>
      <c r="I144" s="9">
        <v>3.8243158E7</v>
      </c>
      <c r="J144" s="10"/>
    </row>
    <row r="145">
      <c r="A145" s="4" t="s">
        <v>10</v>
      </c>
      <c r="B145" s="5">
        <v>41849.0</v>
      </c>
      <c r="C145" s="6">
        <v>44.55</v>
      </c>
      <c r="D145" s="11">
        <v>-0.27</v>
      </c>
      <c r="E145" s="12">
        <v>-0.006</v>
      </c>
      <c r="F145" s="6">
        <v>44.86</v>
      </c>
      <c r="G145" s="6">
        <v>44.52</v>
      </c>
      <c r="H145" s="6">
        <v>44.86</v>
      </c>
      <c r="I145" s="9">
        <v>3.5723143E7</v>
      </c>
      <c r="J145" s="10"/>
    </row>
    <row r="146">
      <c r="A146" s="4" t="s">
        <v>10</v>
      </c>
      <c r="B146" s="5">
        <v>41850.0</v>
      </c>
      <c r="C146" s="6">
        <v>44.33</v>
      </c>
      <c r="D146" s="11">
        <v>-0.22</v>
      </c>
      <c r="E146" s="12">
        <v>-0.0049</v>
      </c>
      <c r="F146" s="6">
        <v>44.74</v>
      </c>
      <c r="G146" s="6">
        <v>44.12</v>
      </c>
      <c r="H146" s="6">
        <v>44.78</v>
      </c>
      <c r="I146" s="9">
        <v>5.4179568E7</v>
      </c>
      <c r="J146" s="10"/>
    </row>
    <row r="147">
      <c r="A147" s="4" t="s">
        <v>10</v>
      </c>
      <c r="B147" s="5">
        <v>41851.0</v>
      </c>
      <c r="C147" s="6">
        <v>43.56</v>
      </c>
      <c r="D147" s="11">
        <v>-0.78</v>
      </c>
      <c r="E147" s="12">
        <v>-0.0175</v>
      </c>
      <c r="F147" s="6">
        <v>43.8</v>
      </c>
      <c r="G147" s="6">
        <v>43.4</v>
      </c>
      <c r="H147" s="6">
        <v>43.89</v>
      </c>
      <c r="I147" s="9">
        <v>8.8185169E7</v>
      </c>
      <c r="J147" s="10"/>
    </row>
    <row r="148">
      <c r="A148" s="4" t="s">
        <v>10</v>
      </c>
      <c r="B148" s="5">
        <v>41852.0</v>
      </c>
      <c r="C148" s="6">
        <v>43.8</v>
      </c>
      <c r="D148" s="13">
        <f>+0.24</f>
        <v>0.24</v>
      </c>
      <c r="E148" s="14">
        <f>+0.55%</f>
        <v>0.0055</v>
      </c>
      <c r="F148" s="6">
        <v>43.69</v>
      </c>
      <c r="G148" s="6">
        <v>43.39</v>
      </c>
      <c r="H148" s="6">
        <v>43.91</v>
      </c>
      <c r="I148" s="9">
        <v>1.08801014E8</v>
      </c>
      <c r="J148" s="10"/>
    </row>
    <row r="149">
      <c r="A149" s="4" t="s">
        <v>10</v>
      </c>
      <c r="B149" s="5">
        <v>41855.0</v>
      </c>
      <c r="C149" s="6">
        <v>44.2</v>
      </c>
      <c r="D149" s="13">
        <f>+0.41</f>
        <v>0.41</v>
      </c>
      <c r="E149" s="14">
        <f>+0.93%</f>
        <v>0.0093</v>
      </c>
      <c r="F149" s="6">
        <v>43.99</v>
      </c>
      <c r="G149" s="6">
        <v>43.82</v>
      </c>
      <c r="H149" s="6">
        <v>44.3</v>
      </c>
      <c r="I149" s="9">
        <v>4.3920938E7</v>
      </c>
      <c r="J149" s="10"/>
    </row>
    <row r="150">
      <c r="A150" s="4" t="s">
        <v>10</v>
      </c>
      <c r="B150" s="5">
        <v>41856.0</v>
      </c>
      <c r="C150" s="6">
        <v>43.53</v>
      </c>
      <c r="D150" s="11">
        <v>-0.68</v>
      </c>
      <c r="E150" s="12">
        <v>-0.0153</v>
      </c>
      <c r="F150" s="6">
        <v>43.76</v>
      </c>
      <c r="G150" s="6">
        <v>43.39</v>
      </c>
      <c r="H150" s="6">
        <v>43.88</v>
      </c>
      <c r="I150" s="9">
        <v>6.7276E7</v>
      </c>
      <c r="J150" s="10"/>
    </row>
    <row r="151">
      <c r="A151" s="4" t="s">
        <v>10</v>
      </c>
      <c r="B151" s="5">
        <v>41857.0</v>
      </c>
      <c r="C151" s="6">
        <v>43.22</v>
      </c>
      <c r="D151" s="11">
        <v>-0.3</v>
      </c>
      <c r="E151" s="12">
        <v>-0.007</v>
      </c>
      <c r="F151" s="6">
        <v>43.29</v>
      </c>
      <c r="G151" s="6">
        <v>43.18</v>
      </c>
      <c r="H151" s="6">
        <v>43.47</v>
      </c>
      <c r="I151" s="9">
        <v>6.3565172E7</v>
      </c>
      <c r="J151" s="10"/>
    </row>
    <row r="152">
      <c r="A152" s="4" t="s">
        <v>10</v>
      </c>
      <c r="B152" s="5">
        <v>41858.0</v>
      </c>
      <c r="C152" s="6">
        <v>43.06</v>
      </c>
      <c r="D152" s="11">
        <v>-0.16</v>
      </c>
      <c r="E152" s="12">
        <v>-0.0038</v>
      </c>
      <c r="F152" s="6">
        <v>43.33</v>
      </c>
      <c r="G152" s="6">
        <v>42.88</v>
      </c>
      <c r="H152" s="6">
        <v>43.36</v>
      </c>
      <c r="I152" s="9">
        <v>7.7764021E7</v>
      </c>
      <c r="J152" s="10"/>
    </row>
    <row r="153">
      <c r="A153" s="4" t="s">
        <v>10</v>
      </c>
      <c r="B153" s="5">
        <v>41859.0</v>
      </c>
      <c r="C153" s="6">
        <v>43.45</v>
      </c>
      <c r="D153" s="13">
        <f>+0.39</f>
        <v>0.39</v>
      </c>
      <c r="E153" s="14">
        <f>+0.9%</f>
        <v>0.009</v>
      </c>
      <c r="F153" s="6">
        <v>43.24</v>
      </c>
      <c r="G153" s="6">
        <v>43.07</v>
      </c>
      <c r="H153" s="6">
        <v>43.52</v>
      </c>
      <c r="I153" s="9">
        <v>5.3612359E7</v>
      </c>
      <c r="J153" s="10"/>
    </row>
    <row r="154">
      <c r="A154" s="4" t="s">
        <v>10</v>
      </c>
      <c r="B154" s="5">
        <v>41862.0</v>
      </c>
      <c r="C154" s="6">
        <v>44.0</v>
      </c>
      <c r="D154" s="13">
        <f>+0.56</f>
        <v>0.56</v>
      </c>
      <c r="E154" s="14">
        <f>+1.28%</f>
        <v>0.0128</v>
      </c>
      <c r="F154" s="6">
        <v>43.66</v>
      </c>
      <c r="G154" s="6">
        <v>43.63</v>
      </c>
      <c r="H154" s="6">
        <v>44.04</v>
      </c>
      <c r="I154" s="9">
        <v>4.9923985E7</v>
      </c>
      <c r="J154" s="10"/>
    </row>
    <row r="155">
      <c r="A155" s="4" t="s">
        <v>10</v>
      </c>
      <c r="B155" s="5">
        <v>41863.0</v>
      </c>
      <c r="C155" s="6">
        <v>44.05</v>
      </c>
      <c r="D155" s="13">
        <f>+0.05</f>
        <v>0.05</v>
      </c>
      <c r="E155" s="14">
        <f>+0.11%</f>
        <v>0.0011</v>
      </c>
      <c r="F155" s="6">
        <v>43.83</v>
      </c>
      <c r="G155" s="6">
        <v>43.78</v>
      </c>
      <c r="H155" s="6">
        <v>44.06</v>
      </c>
      <c r="I155" s="9">
        <v>3.6824539E7</v>
      </c>
      <c r="J155" s="10"/>
    </row>
    <row r="156">
      <c r="A156" s="4" t="s">
        <v>10</v>
      </c>
      <c r="B156" s="5">
        <v>41864.0</v>
      </c>
      <c r="C156" s="6">
        <v>44.29</v>
      </c>
      <c r="D156" s="13">
        <f>+0.24</f>
        <v>0.24</v>
      </c>
      <c r="E156" s="14">
        <f>+0.54%</f>
        <v>0.0054</v>
      </c>
      <c r="F156" s="6">
        <v>44.4</v>
      </c>
      <c r="G156" s="6">
        <v>44.17</v>
      </c>
      <c r="H156" s="6">
        <v>44.51</v>
      </c>
      <c r="I156" s="9">
        <v>4.9491868E7</v>
      </c>
      <c r="J156" s="10"/>
    </row>
    <row r="157">
      <c r="A157" s="4" t="s">
        <v>10</v>
      </c>
      <c r="B157" s="5">
        <v>41865.0</v>
      </c>
      <c r="C157" s="6">
        <v>44.36</v>
      </c>
      <c r="D157" s="13">
        <f>+0.07</f>
        <v>0.07</v>
      </c>
      <c r="E157" s="14">
        <f>+0.16%</f>
        <v>0.0016</v>
      </c>
      <c r="F157" s="6">
        <v>44.32</v>
      </c>
      <c r="G157" s="6">
        <v>44.26</v>
      </c>
      <c r="H157" s="6">
        <v>44.44</v>
      </c>
      <c r="I157" s="9">
        <v>3.3152137E7</v>
      </c>
      <c r="J157" s="10"/>
    </row>
    <row r="158">
      <c r="A158" s="4" t="s">
        <v>10</v>
      </c>
      <c r="B158" s="5">
        <v>41866.0</v>
      </c>
      <c r="C158" s="6">
        <v>44.24</v>
      </c>
      <c r="D158" s="11">
        <v>-0.12</v>
      </c>
      <c r="E158" s="12">
        <v>-0.0027</v>
      </c>
      <c r="F158" s="6">
        <v>44.46</v>
      </c>
      <c r="G158" s="6">
        <v>44.01</v>
      </c>
      <c r="H158" s="6">
        <v>44.56</v>
      </c>
      <c r="I158" s="9">
        <v>6.6006084E7</v>
      </c>
      <c r="J158" s="10"/>
    </row>
    <row r="159">
      <c r="A159" s="4" t="s">
        <v>10</v>
      </c>
      <c r="B159" s="5">
        <v>41869.0</v>
      </c>
      <c r="C159" s="6">
        <v>44.67</v>
      </c>
      <c r="D159" s="13">
        <f>+0.43</f>
        <v>0.43</v>
      </c>
      <c r="E159" s="14">
        <f>+0.97%</f>
        <v>0.0097</v>
      </c>
      <c r="F159" s="6">
        <v>44.47</v>
      </c>
      <c r="G159" s="6">
        <v>44.37</v>
      </c>
      <c r="H159" s="6">
        <v>44.67</v>
      </c>
      <c r="I159" s="9">
        <v>3.8362101E7</v>
      </c>
      <c r="J159" s="10"/>
    </row>
    <row r="160">
      <c r="A160" s="4" t="s">
        <v>10</v>
      </c>
      <c r="B160" s="5">
        <v>41870.0</v>
      </c>
      <c r="C160" s="6">
        <v>44.88</v>
      </c>
      <c r="D160" s="13">
        <f>+0.21</f>
        <v>0.21</v>
      </c>
      <c r="E160" s="14">
        <f>+0.47%</f>
        <v>0.0047</v>
      </c>
      <c r="F160" s="6">
        <v>44.71</v>
      </c>
      <c r="G160" s="6">
        <v>44.69</v>
      </c>
      <c r="H160" s="6">
        <v>44.9</v>
      </c>
      <c r="I160" s="9">
        <v>3.3592713E7</v>
      </c>
      <c r="J160" s="10"/>
    </row>
    <row r="161">
      <c r="A161" s="4" t="s">
        <v>10</v>
      </c>
      <c r="B161" s="5">
        <v>41871.0</v>
      </c>
      <c r="C161" s="6">
        <v>44.79</v>
      </c>
      <c r="D161" s="11">
        <v>-0.09</v>
      </c>
      <c r="E161" s="12">
        <v>-0.002</v>
      </c>
      <c r="F161" s="6">
        <v>44.67</v>
      </c>
      <c r="G161" s="6">
        <v>44.59</v>
      </c>
      <c r="H161" s="6">
        <v>44.87</v>
      </c>
      <c r="I161" s="9">
        <v>3.0890787E7</v>
      </c>
      <c r="J161" s="10"/>
    </row>
    <row r="162">
      <c r="A162" s="4" t="s">
        <v>10</v>
      </c>
      <c r="B162" s="5">
        <v>41872.0</v>
      </c>
      <c r="C162" s="6">
        <v>44.6</v>
      </c>
      <c r="D162" s="11">
        <v>-0.19</v>
      </c>
      <c r="E162" s="12">
        <v>-0.0042</v>
      </c>
      <c r="F162" s="6">
        <v>44.69</v>
      </c>
      <c r="G162" s="6">
        <v>44.54</v>
      </c>
      <c r="H162" s="6">
        <v>44.77</v>
      </c>
      <c r="I162" s="9">
        <v>3.5476948E7</v>
      </c>
      <c r="J162" s="10"/>
    </row>
    <row r="163">
      <c r="A163" s="4" t="s">
        <v>10</v>
      </c>
      <c r="B163" s="5">
        <v>41873.0</v>
      </c>
      <c r="C163" s="6">
        <v>44.48</v>
      </c>
      <c r="D163" s="11">
        <v>-0.12</v>
      </c>
      <c r="E163" s="12">
        <v>-0.0027</v>
      </c>
      <c r="F163" s="6">
        <v>44.65</v>
      </c>
      <c r="G163" s="6">
        <v>44.31</v>
      </c>
      <c r="H163" s="6">
        <v>44.72</v>
      </c>
      <c r="I163" s="9">
        <v>4.5995835E7</v>
      </c>
      <c r="J163" s="10"/>
    </row>
    <row r="164">
      <c r="A164" s="4" t="s">
        <v>10</v>
      </c>
      <c r="B164" s="5">
        <v>41876.0</v>
      </c>
      <c r="C164" s="6">
        <v>44.81</v>
      </c>
      <c r="D164" s="13">
        <f>+0.33</f>
        <v>0.33</v>
      </c>
      <c r="E164" s="14">
        <f>+0.74%</f>
        <v>0.0074</v>
      </c>
      <c r="F164" s="6">
        <v>44.6</v>
      </c>
      <c r="G164" s="6">
        <v>44.54</v>
      </c>
      <c r="H164" s="6">
        <v>44.83</v>
      </c>
      <c r="I164" s="9">
        <v>3.1989853E7</v>
      </c>
      <c r="J164" s="10"/>
    </row>
    <row r="165">
      <c r="A165" s="4" t="s">
        <v>10</v>
      </c>
      <c r="B165" s="5">
        <v>41877.0</v>
      </c>
      <c r="C165" s="6">
        <v>45.08</v>
      </c>
      <c r="D165" s="13">
        <f>+0.27</f>
        <v>0.27</v>
      </c>
      <c r="E165" s="14">
        <f>+0.6%</f>
        <v>0.006</v>
      </c>
      <c r="F165" s="6">
        <v>44.9</v>
      </c>
      <c r="G165" s="6">
        <v>44.88</v>
      </c>
      <c r="H165" s="6">
        <v>45.11</v>
      </c>
      <c r="I165" s="9">
        <v>4.5918813E7</v>
      </c>
      <c r="J165" s="10"/>
    </row>
    <row r="166">
      <c r="A166" s="4" t="s">
        <v>10</v>
      </c>
      <c r="B166" s="5">
        <v>41878.0</v>
      </c>
      <c r="C166" s="6">
        <v>45.31</v>
      </c>
      <c r="D166" s="13">
        <f>+0.23</f>
        <v>0.23</v>
      </c>
      <c r="E166" s="14">
        <f>+0.51%</f>
        <v>0.0051</v>
      </c>
      <c r="F166" s="6">
        <v>45.17</v>
      </c>
      <c r="G166" s="6">
        <v>45.07</v>
      </c>
      <c r="H166" s="6">
        <v>45.31</v>
      </c>
      <c r="I166" s="9">
        <v>3.4239121E7</v>
      </c>
      <c r="J166" s="10"/>
    </row>
    <row r="167">
      <c r="A167" s="4" t="s">
        <v>10</v>
      </c>
      <c r="B167" s="5">
        <v>41879.0</v>
      </c>
      <c r="C167" s="6">
        <v>44.86</v>
      </c>
      <c r="D167" s="11">
        <v>-0.45</v>
      </c>
      <c r="E167" s="12">
        <v>-0.0099</v>
      </c>
      <c r="F167" s="6">
        <v>44.72</v>
      </c>
      <c r="G167" s="6">
        <v>44.67</v>
      </c>
      <c r="H167" s="6">
        <v>44.91</v>
      </c>
      <c r="I167" s="9">
        <v>3.8158697E7</v>
      </c>
      <c r="J167" s="10"/>
    </row>
    <row r="168">
      <c r="A168" s="4" t="s">
        <v>10</v>
      </c>
      <c r="B168" s="5">
        <v>41880.0</v>
      </c>
      <c r="C168" s="6">
        <v>44.79</v>
      </c>
      <c r="D168" s="11">
        <v>-0.07</v>
      </c>
      <c r="E168" s="12">
        <v>-0.0016</v>
      </c>
      <c r="F168" s="6">
        <v>44.9</v>
      </c>
      <c r="G168" s="6">
        <v>44.73</v>
      </c>
      <c r="H168" s="6">
        <v>44.97</v>
      </c>
      <c r="I168" s="9">
        <v>3.9793813E7</v>
      </c>
      <c r="J168" s="10"/>
    </row>
    <row r="169">
      <c r="A169" s="4" t="s">
        <v>10</v>
      </c>
      <c r="B169" s="5">
        <v>41884.0</v>
      </c>
      <c r="C169" s="6">
        <v>44.72</v>
      </c>
      <c r="D169" s="11">
        <v>-0.07</v>
      </c>
      <c r="E169" s="12">
        <v>-0.0016</v>
      </c>
      <c r="F169" s="6">
        <v>44.78</v>
      </c>
      <c r="G169" s="6">
        <v>44.61</v>
      </c>
      <c r="H169" s="6">
        <v>44.79</v>
      </c>
      <c r="I169" s="9">
        <v>4.8128976E7</v>
      </c>
      <c r="J169" s="6">
        <v>2.16419727417E9</v>
      </c>
    </row>
    <row r="170">
      <c r="A170" s="4" t="s">
        <v>10</v>
      </c>
      <c r="B170" s="5">
        <v>41885.0</v>
      </c>
      <c r="C170" s="6">
        <v>45.31</v>
      </c>
      <c r="D170" s="13">
        <f>+0.59</f>
        <v>0.59</v>
      </c>
      <c r="E170" s="14">
        <f>+1.31%</f>
        <v>0.0131</v>
      </c>
      <c r="F170" s="6">
        <v>45.48</v>
      </c>
      <c r="G170" s="6">
        <v>45.23</v>
      </c>
      <c r="H170" s="6">
        <v>45.52</v>
      </c>
      <c r="I170" s="9">
        <v>5.1700418E7</v>
      </c>
      <c r="J170" s="6">
        <v>2.35815540793E9</v>
      </c>
    </row>
    <row r="171">
      <c r="A171" s="4" t="s">
        <v>10</v>
      </c>
      <c r="B171" s="5">
        <v>41886.0</v>
      </c>
      <c r="C171" s="6">
        <v>45.19</v>
      </c>
      <c r="D171" s="11">
        <v>-0.12</v>
      </c>
      <c r="E171" s="12">
        <v>-0.0026</v>
      </c>
      <c r="F171" s="6">
        <v>45.46</v>
      </c>
      <c r="G171" s="6">
        <v>45.07</v>
      </c>
      <c r="H171" s="6">
        <v>45.56</v>
      </c>
      <c r="I171" s="9">
        <v>4.1676675E7</v>
      </c>
      <c r="J171" s="6">
        <v>1.95123861235E9</v>
      </c>
    </row>
    <row r="172">
      <c r="A172" s="4" t="s">
        <v>10</v>
      </c>
      <c r="B172" s="5">
        <v>41887.0</v>
      </c>
      <c r="C172" s="6">
        <v>45.58</v>
      </c>
      <c r="D172" s="13">
        <f>+0.39</f>
        <v>0.39</v>
      </c>
      <c r="E172" s="14">
        <f>+0.86%</f>
        <v>0.0086</v>
      </c>
      <c r="F172" s="6">
        <v>45.27</v>
      </c>
      <c r="G172" s="6">
        <v>45.15</v>
      </c>
      <c r="H172" s="6">
        <v>45.58</v>
      </c>
      <c r="I172" s="9">
        <v>5.3037396E7</v>
      </c>
      <c r="J172" s="6">
        <v>2.4032933428E9</v>
      </c>
    </row>
    <row r="173">
      <c r="A173" s="4" t="s">
        <v>10</v>
      </c>
      <c r="B173" s="5">
        <v>41890.0</v>
      </c>
      <c r="C173" s="6">
        <v>45.04</v>
      </c>
      <c r="D173" s="11">
        <v>-0.54</v>
      </c>
      <c r="E173" s="12">
        <v>-0.0118</v>
      </c>
      <c r="F173" s="6">
        <v>45.41</v>
      </c>
      <c r="G173" s="6">
        <v>44.95</v>
      </c>
      <c r="H173" s="6">
        <v>45.45</v>
      </c>
      <c r="I173" s="9">
        <v>5.0222951E7</v>
      </c>
      <c r="J173" s="6">
        <v>2.28241587229E9</v>
      </c>
    </row>
    <row r="174">
      <c r="A174" s="4" t="s">
        <v>10</v>
      </c>
      <c r="B174" s="5">
        <v>41891.0</v>
      </c>
      <c r="C174" s="6">
        <v>44.48</v>
      </c>
      <c r="D174" s="11">
        <v>-0.56</v>
      </c>
      <c r="E174" s="12">
        <v>-0.0124</v>
      </c>
      <c r="F174" s="6">
        <v>44.77</v>
      </c>
      <c r="G174" s="6">
        <v>44.29</v>
      </c>
      <c r="H174" s="6">
        <v>44.87</v>
      </c>
      <c r="I174" s="9">
        <v>8.594061E7</v>
      </c>
      <c r="J174" s="6">
        <v>3.85216994154E9</v>
      </c>
    </row>
    <row r="175">
      <c r="A175" s="4" t="s">
        <v>10</v>
      </c>
      <c r="B175" s="5">
        <v>41892.0</v>
      </c>
      <c r="C175" s="6">
        <v>44.29</v>
      </c>
      <c r="D175" s="11">
        <v>-0.19</v>
      </c>
      <c r="E175" s="12">
        <v>-0.0042</v>
      </c>
      <c r="F175" s="6">
        <v>44.06</v>
      </c>
      <c r="G175" s="6">
        <v>43.96</v>
      </c>
      <c r="H175" s="6">
        <v>44.37</v>
      </c>
      <c r="I175" s="9">
        <v>5.7440068E7</v>
      </c>
      <c r="J175" s="6">
        <v>2.61364674234E9</v>
      </c>
    </row>
    <row r="176">
      <c r="A176" s="4" t="s">
        <v>10</v>
      </c>
      <c r="B176" s="5">
        <v>41893.0</v>
      </c>
      <c r="C176" s="6">
        <v>43.99</v>
      </c>
      <c r="D176" s="11">
        <v>-0.3</v>
      </c>
      <c r="E176" s="12">
        <v>-0.0067</v>
      </c>
      <c r="F176" s="6">
        <v>43.98</v>
      </c>
      <c r="G176" s="6">
        <v>43.93</v>
      </c>
      <c r="H176" s="6">
        <v>44.06</v>
      </c>
      <c r="I176" s="9">
        <v>7.0624497E7</v>
      </c>
      <c r="J176" s="6">
        <v>3.11604279679E9</v>
      </c>
    </row>
    <row r="177">
      <c r="A177" s="4" t="s">
        <v>10</v>
      </c>
      <c r="B177" s="5">
        <v>41894.0</v>
      </c>
      <c r="C177" s="6">
        <v>43.53</v>
      </c>
      <c r="D177" s="11">
        <v>-0.47</v>
      </c>
      <c r="E177" s="12">
        <v>-0.0106</v>
      </c>
      <c r="F177" s="6">
        <v>43.73</v>
      </c>
      <c r="G177" s="6">
        <v>43.38</v>
      </c>
      <c r="H177" s="6">
        <v>43.74</v>
      </c>
      <c r="I177" s="9">
        <v>8.5786015E7</v>
      </c>
      <c r="J177" s="6">
        <v>4.15568032573E9</v>
      </c>
    </row>
    <row r="178">
      <c r="A178" s="4" t="s">
        <v>10</v>
      </c>
      <c r="B178" s="5">
        <v>41897.0</v>
      </c>
      <c r="C178" s="6">
        <v>43.31</v>
      </c>
      <c r="D178" s="11">
        <v>-0.22</v>
      </c>
      <c r="E178" s="12">
        <v>-0.005</v>
      </c>
      <c r="F178" s="6">
        <v>43.4</v>
      </c>
      <c r="G178" s="6">
        <v>43.18</v>
      </c>
      <c r="H178" s="6">
        <v>43.45</v>
      </c>
      <c r="I178" s="9">
        <v>6.8507793E7</v>
      </c>
      <c r="J178" s="6">
        <v>2.99564631538E9</v>
      </c>
    </row>
    <row r="179">
      <c r="A179" s="4" t="s">
        <v>10</v>
      </c>
      <c r="B179" s="5">
        <v>41898.0</v>
      </c>
      <c r="C179" s="6">
        <v>43.88</v>
      </c>
      <c r="D179" s="13">
        <f>+0.57</f>
        <v>0.57</v>
      </c>
      <c r="E179" s="14">
        <f>+1.31%</f>
        <v>0.0131</v>
      </c>
      <c r="F179" s="6">
        <v>43.27</v>
      </c>
      <c r="G179" s="6">
        <v>43.24</v>
      </c>
      <c r="H179" s="6">
        <v>44.17</v>
      </c>
      <c r="I179" s="9">
        <v>9.7318581E7</v>
      </c>
      <c r="J179" s="6">
        <v>4.29075566935E9</v>
      </c>
    </row>
    <row r="180">
      <c r="A180" s="4" t="s">
        <v>10</v>
      </c>
      <c r="B180" s="5">
        <v>41899.0</v>
      </c>
      <c r="C180" s="6">
        <v>43.47</v>
      </c>
      <c r="D180" s="11">
        <v>-0.41</v>
      </c>
      <c r="E180" s="12">
        <v>-0.0093</v>
      </c>
      <c r="F180" s="6">
        <v>43.93</v>
      </c>
      <c r="G180" s="6">
        <v>43.46</v>
      </c>
      <c r="H180" s="6">
        <v>44.0</v>
      </c>
      <c r="I180" s="9">
        <v>7.6121704E7</v>
      </c>
      <c r="J180" s="6">
        <v>3.3575038588E9</v>
      </c>
    </row>
    <row r="181">
      <c r="A181" s="4" t="s">
        <v>10</v>
      </c>
      <c r="B181" s="5">
        <v>41900.0</v>
      </c>
      <c r="C181" s="6">
        <v>43.53</v>
      </c>
      <c r="D181" s="13">
        <f>+0.06</f>
        <v>0.06</v>
      </c>
      <c r="E181" s="14">
        <f>+0.14%</f>
        <v>0.0014</v>
      </c>
      <c r="F181" s="6">
        <v>43.61</v>
      </c>
      <c r="G181" s="6">
        <v>43.47</v>
      </c>
      <c r="H181" s="6">
        <v>43.69</v>
      </c>
      <c r="I181" s="9">
        <v>5.0513912E7</v>
      </c>
      <c r="J181" s="6">
        <v>2.2149704683E9</v>
      </c>
    </row>
    <row r="182">
      <c r="A182" s="4" t="s">
        <v>10</v>
      </c>
      <c r="B182" s="5">
        <v>41901.0</v>
      </c>
      <c r="C182" s="6">
        <v>43.2</v>
      </c>
      <c r="D182" s="11">
        <v>-0.33</v>
      </c>
      <c r="E182" s="12">
        <v>-0.0075</v>
      </c>
      <c r="F182" s="6">
        <v>43.66</v>
      </c>
      <c r="G182" s="6">
        <v>43.09</v>
      </c>
      <c r="H182" s="6">
        <v>43.71</v>
      </c>
      <c r="I182" s="9">
        <v>8.8033081E7</v>
      </c>
      <c r="J182" s="6">
        <v>3.8342313078E9</v>
      </c>
    </row>
    <row r="183">
      <c r="A183" s="4" t="s">
        <v>10</v>
      </c>
      <c r="B183" s="5">
        <v>41904.0</v>
      </c>
      <c r="C183" s="6">
        <v>42.54</v>
      </c>
      <c r="D183" s="11">
        <v>-0.66</v>
      </c>
      <c r="E183" s="12">
        <v>-0.0152</v>
      </c>
      <c r="F183" s="6">
        <v>42.82</v>
      </c>
      <c r="G183" s="6">
        <v>42.35</v>
      </c>
      <c r="H183" s="6">
        <v>42.87</v>
      </c>
      <c r="I183" s="9">
        <v>8.3094024E7</v>
      </c>
      <c r="J183" s="6">
        <v>3.56806750754E9</v>
      </c>
    </row>
    <row r="184">
      <c r="A184" s="4" t="s">
        <v>10</v>
      </c>
      <c r="B184" s="5">
        <v>41905.0</v>
      </c>
      <c r="C184" s="6">
        <v>42.3</v>
      </c>
      <c r="D184" s="11">
        <v>-0.24</v>
      </c>
      <c r="E184" s="12">
        <v>-0.0056</v>
      </c>
      <c r="F184" s="6">
        <v>42.44</v>
      </c>
      <c r="G184" s="6">
        <v>42.25</v>
      </c>
      <c r="H184" s="6">
        <v>42.64</v>
      </c>
      <c r="I184" s="9">
        <v>8.2990709E7</v>
      </c>
      <c r="J184" s="6">
        <v>3.57631815439E9</v>
      </c>
    </row>
    <row r="185">
      <c r="A185" s="4" t="s">
        <v>10</v>
      </c>
      <c r="B185" s="5">
        <v>41906.0</v>
      </c>
      <c r="C185" s="6">
        <v>42.91</v>
      </c>
      <c r="D185" s="13">
        <f>+0.61</f>
        <v>0.61</v>
      </c>
      <c r="E185" s="14">
        <f>+1.43%</f>
        <v>0.0143</v>
      </c>
      <c r="F185" s="6">
        <v>42.61</v>
      </c>
      <c r="G185" s="6">
        <v>42.4</v>
      </c>
      <c r="H185" s="6">
        <v>43.0</v>
      </c>
      <c r="I185" s="9">
        <v>5.5218861E7</v>
      </c>
      <c r="J185" s="6">
        <v>2.37528665492E9</v>
      </c>
    </row>
    <row r="186">
      <c r="A186" s="4" t="s">
        <v>10</v>
      </c>
      <c r="B186" s="5">
        <v>41907.0</v>
      </c>
      <c r="C186" s="6">
        <v>41.98</v>
      </c>
      <c r="D186" s="11">
        <v>-0.93</v>
      </c>
      <c r="E186" s="12">
        <v>-0.0218</v>
      </c>
      <c r="F186" s="6">
        <v>42.26</v>
      </c>
      <c r="G186" s="6">
        <v>41.87</v>
      </c>
      <c r="H186" s="6">
        <v>42.27</v>
      </c>
      <c r="I186" s="9">
        <v>6.8810746E7</v>
      </c>
      <c r="J186" s="6">
        <v>2.91062488128E9</v>
      </c>
    </row>
    <row r="187">
      <c r="A187" s="4" t="s">
        <v>10</v>
      </c>
      <c r="B187" s="5">
        <v>41908.0</v>
      </c>
      <c r="C187" s="6">
        <v>42.17</v>
      </c>
      <c r="D187" s="13">
        <f>+0.19</f>
        <v>0.19</v>
      </c>
      <c r="E187" s="14">
        <f>+0.45%</f>
        <v>0.0045</v>
      </c>
      <c r="F187" s="6">
        <v>42.02</v>
      </c>
      <c r="G187" s="6">
        <v>41.96</v>
      </c>
      <c r="H187" s="6">
        <v>42.31</v>
      </c>
      <c r="I187" s="9">
        <v>5.4551815E7</v>
      </c>
      <c r="J187" s="6">
        <v>2.31107909461E9</v>
      </c>
    </row>
    <row r="188">
      <c r="A188" s="4" t="s">
        <v>10</v>
      </c>
      <c r="B188" s="5">
        <v>41911.0</v>
      </c>
      <c r="C188" s="6">
        <v>41.31</v>
      </c>
      <c r="D188" s="11">
        <v>-0.85</v>
      </c>
      <c r="E188" s="12">
        <v>-0.0203</v>
      </c>
      <c r="F188" s="6">
        <v>41.12</v>
      </c>
      <c r="G188" s="6">
        <v>41.11</v>
      </c>
      <c r="H188" s="6">
        <v>41.52</v>
      </c>
      <c r="I188" s="9">
        <v>7.4209568E7</v>
      </c>
      <c r="J188" s="6">
        <v>3.08967688895E9</v>
      </c>
    </row>
    <row r="189">
      <c r="A189" s="4" t="s">
        <v>10</v>
      </c>
      <c r="B189" s="5">
        <v>41912.0</v>
      </c>
      <c r="C189" s="6">
        <v>41.31</v>
      </c>
      <c r="D189" s="11">
        <v>0.0</v>
      </c>
      <c r="E189" s="12">
        <v>0.0</v>
      </c>
      <c r="F189" s="6">
        <v>41.2</v>
      </c>
      <c r="G189" s="6">
        <v>41.11</v>
      </c>
      <c r="H189" s="6">
        <v>41.39</v>
      </c>
      <c r="I189" s="9">
        <v>8.770445E7</v>
      </c>
      <c r="J189" s="6">
        <v>3.64166694084E9</v>
      </c>
    </row>
    <row r="190">
      <c r="A190" s="4" t="s">
        <v>10</v>
      </c>
      <c r="B190" s="5">
        <v>41913.0</v>
      </c>
      <c r="C190" s="6">
        <v>40.47</v>
      </c>
      <c r="D190" s="11">
        <v>-0.84</v>
      </c>
      <c r="E190" s="12">
        <v>-0.0205</v>
      </c>
      <c r="F190" s="6">
        <v>41.09</v>
      </c>
      <c r="G190" s="6">
        <v>40.46</v>
      </c>
      <c r="H190" s="6">
        <v>41.13</v>
      </c>
      <c r="I190" s="9">
        <v>1.09935982E8</v>
      </c>
      <c r="J190" s="6">
        <v>4.56980021999E9</v>
      </c>
    </row>
    <row r="191">
      <c r="A191" s="4" t="s">
        <v>10</v>
      </c>
      <c r="B191" s="5">
        <v>41914.0</v>
      </c>
      <c r="C191" s="6">
        <v>40.68</v>
      </c>
      <c r="D191" s="13">
        <f>+0.22</f>
        <v>0.22</v>
      </c>
      <c r="E191" s="14">
        <f>+0.54%</f>
        <v>0.0054</v>
      </c>
      <c r="F191" s="6">
        <v>40.62</v>
      </c>
      <c r="G191" s="6">
        <v>40.13</v>
      </c>
      <c r="H191" s="6">
        <v>40.97</v>
      </c>
      <c r="I191" s="9">
        <v>9.2886394E7</v>
      </c>
      <c r="J191" s="6">
        <v>3.79535383125E9</v>
      </c>
    </row>
    <row r="192">
      <c r="A192" s="4" t="s">
        <v>10</v>
      </c>
      <c r="B192" s="5">
        <v>41915.0</v>
      </c>
      <c r="C192" s="6">
        <v>41.03</v>
      </c>
      <c r="D192" s="13">
        <f>+0.35</f>
        <v>0.35</v>
      </c>
      <c r="E192" s="14">
        <f>+0.86%</f>
        <v>0.0086</v>
      </c>
      <c r="F192" s="6">
        <v>40.83</v>
      </c>
      <c r="G192" s="6">
        <v>40.64</v>
      </c>
      <c r="H192" s="6">
        <v>41.14</v>
      </c>
      <c r="I192" s="9">
        <v>6.1010963E7</v>
      </c>
      <c r="J192" s="6">
        <v>2.52174321452E9</v>
      </c>
    </row>
    <row r="193">
      <c r="A193" s="4" t="s">
        <v>10</v>
      </c>
      <c r="B193" s="5">
        <v>41918.0</v>
      </c>
      <c r="C193" s="6">
        <v>41.57</v>
      </c>
      <c r="D193" s="13">
        <f>+0.54</f>
        <v>0.54</v>
      </c>
      <c r="E193" s="14">
        <f>+1.31%</f>
        <v>0.0131</v>
      </c>
      <c r="F193" s="6">
        <v>41.87</v>
      </c>
      <c r="G193" s="6">
        <v>41.56</v>
      </c>
      <c r="H193" s="6">
        <v>41.91</v>
      </c>
      <c r="I193" s="9">
        <v>8.4259616E7</v>
      </c>
      <c r="J193" s="6">
        <v>3.52954214056E9</v>
      </c>
    </row>
    <row r="194">
      <c r="A194" s="4" t="s">
        <v>10</v>
      </c>
      <c r="B194" s="5">
        <v>41919.0</v>
      </c>
      <c r="C194" s="6">
        <v>41.2</v>
      </c>
      <c r="D194" s="11">
        <v>-0.37</v>
      </c>
      <c r="E194" s="12">
        <v>-0.0088</v>
      </c>
      <c r="F194" s="6">
        <v>41.51</v>
      </c>
      <c r="G194" s="6">
        <v>41.2</v>
      </c>
      <c r="H194" s="6">
        <v>41.61</v>
      </c>
      <c r="I194" s="9">
        <v>4.1767475E7</v>
      </c>
      <c r="J194" s="6">
        <v>1.73881585052E9</v>
      </c>
    </row>
    <row r="195">
      <c r="A195" s="4" t="s">
        <v>10</v>
      </c>
      <c r="B195" s="5">
        <v>41920.0</v>
      </c>
      <c r="C195" s="6">
        <v>41.82</v>
      </c>
      <c r="D195" s="13">
        <f>+0.62</f>
        <v>0.62</v>
      </c>
      <c r="E195" s="14">
        <f>+1.5%</f>
        <v>0.015</v>
      </c>
      <c r="F195" s="6">
        <v>41.28</v>
      </c>
      <c r="G195" s="6">
        <v>40.81</v>
      </c>
      <c r="H195" s="6">
        <v>41.9</v>
      </c>
      <c r="I195" s="9">
        <v>9.0903024E7</v>
      </c>
      <c r="J195" s="6">
        <v>3.82429186758E9</v>
      </c>
    </row>
    <row r="196">
      <c r="A196" s="4" t="s">
        <v>10</v>
      </c>
      <c r="B196" s="5">
        <v>41921.0</v>
      </c>
      <c r="C196" s="6">
        <v>41.16</v>
      </c>
      <c r="D196" s="11">
        <v>-0.66</v>
      </c>
      <c r="E196" s="12">
        <v>-0.0157</v>
      </c>
      <c r="F196" s="6">
        <v>41.65</v>
      </c>
      <c r="G196" s="6">
        <v>41.02</v>
      </c>
      <c r="H196" s="6">
        <v>41.7</v>
      </c>
      <c r="I196" s="9">
        <v>8.2942796E7</v>
      </c>
      <c r="J196" s="6">
        <v>3.55030649257E9</v>
      </c>
    </row>
    <row r="197">
      <c r="A197" s="4" t="s">
        <v>10</v>
      </c>
      <c r="B197" s="5">
        <v>41922.0</v>
      </c>
      <c r="C197" s="6">
        <v>40.27</v>
      </c>
      <c r="D197" s="11">
        <v>-0.89</v>
      </c>
      <c r="E197" s="12">
        <v>-0.0217</v>
      </c>
      <c r="F197" s="6">
        <v>40.71</v>
      </c>
      <c r="G197" s="6">
        <v>40.23</v>
      </c>
      <c r="H197" s="6">
        <v>40.85</v>
      </c>
      <c r="I197" s="9">
        <v>1.04177298E8</v>
      </c>
      <c r="J197" s="6">
        <v>4.24350937879E9</v>
      </c>
    </row>
    <row r="198">
      <c r="A198" s="4" t="s">
        <v>10</v>
      </c>
      <c r="B198" s="5">
        <v>41925.0</v>
      </c>
      <c r="C198" s="6">
        <v>40.67</v>
      </c>
      <c r="D198" s="13">
        <f>+0.41</f>
        <v>0.41</v>
      </c>
      <c r="E198" s="14">
        <f>+1.01%</f>
        <v>0.0101</v>
      </c>
      <c r="F198" s="6">
        <v>40.95</v>
      </c>
      <c r="G198" s="6">
        <v>40.65</v>
      </c>
      <c r="H198" s="6">
        <v>41.25</v>
      </c>
      <c r="I198" s="9">
        <v>8.9760992E7</v>
      </c>
      <c r="J198" s="6">
        <v>3.69845390413E9</v>
      </c>
    </row>
    <row r="199">
      <c r="A199" s="4" t="s">
        <v>10</v>
      </c>
      <c r="B199" s="5">
        <v>41926.0</v>
      </c>
      <c r="C199" s="6">
        <v>40.91</v>
      </c>
      <c r="D199" s="13">
        <f>+0.24</f>
        <v>0.24</v>
      </c>
      <c r="E199" s="14">
        <f>+0.59%</f>
        <v>0.0059</v>
      </c>
      <c r="F199" s="6">
        <v>40.81</v>
      </c>
      <c r="G199" s="6">
        <v>40.6</v>
      </c>
      <c r="H199" s="6">
        <v>41.17</v>
      </c>
      <c r="I199" s="9">
        <v>7.1636692E7</v>
      </c>
      <c r="J199" s="6">
        <v>2.94791301932E9</v>
      </c>
    </row>
    <row r="200">
      <c r="A200" s="4" t="s">
        <v>10</v>
      </c>
      <c r="B200" s="5">
        <v>41927.0</v>
      </c>
      <c r="C200" s="6">
        <v>40.4</v>
      </c>
      <c r="D200" s="11">
        <v>-0.52</v>
      </c>
      <c r="E200" s="12">
        <v>-0.0126</v>
      </c>
      <c r="F200" s="6">
        <v>40.36</v>
      </c>
      <c r="G200" s="6">
        <v>39.54</v>
      </c>
      <c r="H200" s="6">
        <v>40.57</v>
      </c>
      <c r="I200" s="9">
        <v>1.22284529E8</v>
      </c>
      <c r="J200" s="6">
        <v>4.93807640236E9</v>
      </c>
    </row>
    <row r="201">
      <c r="A201" s="4" t="s">
        <v>10</v>
      </c>
      <c r="B201" s="5">
        <v>41928.0</v>
      </c>
      <c r="C201" s="6">
        <v>40.03</v>
      </c>
      <c r="D201" s="11">
        <v>-0.37</v>
      </c>
      <c r="E201" s="12">
        <v>-0.0091</v>
      </c>
      <c r="F201" s="6">
        <v>39.46</v>
      </c>
      <c r="G201" s="6">
        <v>39.44</v>
      </c>
      <c r="H201" s="6">
        <v>40.48</v>
      </c>
      <c r="I201" s="9">
        <v>1.0107649E8</v>
      </c>
      <c r="J201" s="6">
        <v>4.16351204489E9</v>
      </c>
    </row>
    <row r="202">
      <c r="A202" s="4" t="s">
        <v>10</v>
      </c>
      <c r="B202" s="5">
        <v>41929.0</v>
      </c>
      <c r="C202" s="6">
        <v>40.48</v>
      </c>
      <c r="D202" s="13">
        <f>+0.45</f>
        <v>0.45</v>
      </c>
      <c r="E202" s="14">
        <f>+1.12%</f>
        <v>0.0112</v>
      </c>
      <c r="F202" s="6">
        <v>40.47</v>
      </c>
      <c r="G202" s="6">
        <v>40.24</v>
      </c>
      <c r="H202" s="6">
        <v>40.75</v>
      </c>
      <c r="I202" s="9">
        <v>7.3616371E7</v>
      </c>
      <c r="J202" s="6">
        <v>3.02178859023E9</v>
      </c>
    </row>
    <row r="203">
      <c r="A203" s="4" t="s">
        <v>10</v>
      </c>
      <c r="B203" s="5">
        <v>41932.0</v>
      </c>
      <c r="C203" s="6">
        <v>40.6</v>
      </c>
      <c r="D203" s="13">
        <f>+0.12</f>
        <v>0.12</v>
      </c>
      <c r="E203" s="14">
        <f>+0.29%</f>
        <v>0.0029</v>
      </c>
      <c r="F203" s="6">
        <v>40.44</v>
      </c>
      <c r="G203" s="6">
        <v>40.35</v>
      </c>
      <c r="H203" s="6">
        <v>40.64</v>
      </c>
      <c r="I203" s="9">
        <v>5.0854731E7</v>
      </c>
      <c r="J203" s="6">
        <v>2.07414658481E9</v>
      </c>
    </row>
    <row r="204">
      <c r="A204" s="4" t="s">
        <v>10</v>
      </c>
      <c r="B204" s="5">
        <v>41933.0</v>
      </c>
      <c r="C204" s="6">
        <v>40.76</v>
      </c>
      <c r="D204" s="13">
        <f>+0.17</f>
        <v>0.17</v>
      </c>
      <c r="E204" s="14">
        <f>+0.42%</f>
        <v>0.0042</v>
      </c>
      <c r="F204" s="6">
        <v>40.52</v>
      </c>
      <c r="G204" s="6">
        <v>40.49</v>
      </c>
      <c r="H204" s="6">
        <v>40.92</v>
      </c>
      <c r="I204" s="9">
        <v>4.9877254E7</v>
      </c>
      <c r="J204" s="6">
        <v>2.04462646621E9</v>
      </c>
    </row>
    <row r="205">
      <c r="A205" s="4" t="s">
        <v>10</v>
      </c>
      <c r="B205" s="5">
        <v>41934.0</v>
      </c>
      <c r="C205" s="6">
        <v>40.5</v>
      </c>
      <c r="D205" s="11">
        <v>-0.27</v>
      </c>
      <c r="E205" s="12">
        <v>-0.0066</v>
      </c>
      <c r="F205" s="6">
        <v>40.71</v>
      </c>
      <c r="G205" s="6">
        <v>40.36</v>
      </c>
      <c r="H205" s="6">
        <v>40.79</v>
      </c>
      <c r="I205" s="9">
        <v>5.071159E7</v>
      </c>
      <c r="J205" s="6">
        <v>2.07068587662E9</v>
      </c>
    </row>
    <row r="206">
      <c r="A206" s="4" t="s">
        <v>10</v>
      </c>
      <c r="B206" s="5">
        <v>41935.0</v>
      </c>
      <c r="C206" s="6">
        <v>40.49</v>
      </c>
      <c r="D206" s="11">
        <v>-0.01</v>
      </c>
      <c r="E206" s="12">
        <v>-2.0E-4</v>
      </c>
      <c r="F206" s="6">
        <v>40.6</v>
      </c>
      <c r="G206" s="6">
        <v>40.44</v>
      </c>
      <c r="H206" s="6">
        <v>40.72</v>
      </c>
      <c r="I206" s="9">
        <v>4.3661609E7</v>
      </c>
      <c r="J206" s="6">
        <v>1.78254424985E9</v>
      </c>
    </row>
    <row r="207">
      <c r="A207" s="4" t="s">
        <v>10</v>
      </c>
      <c r="B207" s="5">
        <v>41936.0</v>
      </c>
      <c r="C207" s="6">
        <v>40.77</v>
      </c>
      <c r="D207" s="13">
        <f>+0.29</f>
        <v>0.29</v>
      </c>
      <c r="E207" s="14">
        <f>+0.71%</f>
        <v>0.0071</v>
      </c>
      <c r="F207" s="6">
        <v>40.53</v>
      </c>
      <c r="G207" s="6">
        <v>40.5</v>
      </c>
      <c r="H207" s="6">
        <v>40.97</v>
      </c>
      <c r="I207" s="9">
        <v>4.3724663E7</v>
      </c>
      <c r="J207" s="6">
        <v>1.79419918712E9</v>
      </c>
    </row>
    <row r="208">
      <c r="A208" s="4" t="s">
        <v>10</v>
      </c>
      <c r="B208" s="5">
        <v>41939.0</v>
      </c>
      <c r="C208" s="6">
        <v>40.46</v>
      </c>
      <c r="D208" s="11">
        <v>-0.32</v>
      </c>
      <c r="E208" s="12">
        <v>-0.0078</v>
      </c>
      <c r="F208" s="6">
        <v>40.13</v>
      </c>
      <c r="G208" s="6">
        <v>40.04</v>
      </c>
      <c r="H208" s="6">
        <v>40.52</v>
      </c>
      <c r="I208" s="9">
        <v>4.4793234E7</v>
      </c>
      <c r="J208" s="6">
        <v>1.81729694154E9</v>
      </c>
    </row>
    <row r="209">
      <c r="A209" s="4" t="s">
        <v>10</v>
      </c>
      <c r="B209" s="5">
        <v>41940.0</v>
      </c>
      <c r="C209" s="6">
        <v>41.27</v>
      </c>
      <c r="D209" s="13">
        <f>+0.82</f>
        <v>0.82</v>
      </c>
      <c r="E209" s="14">
        <f>+2.01%</f>
        <v>0.0201</v>
      </c>
      <c r="F209" s="6">
        <v>40.94</v>
      </c>
      <c r="G209" s="6">
        <v>40.93</v>
      </c>
      <c r="H209" s="6">
        <v>41.39</v>
      </c>
      <c r="I209" s="9">
        <v>7.389172E7</v>
      </c>
      <c r="J209" s="6">
        <v>3.06785756851E9</v>
      </c>
    </row>
    <row r="210">
      <c r="A210" s="4" t="s">
        <v>10</v>
      </c>
      <c r="B210" s="5">
        <v>41941.0</v>
      </c>
      <c r="C210" s="6">
        <v>41.33</v>
      </c>
      <c r="D210" s="13">
        <f>+0.06</f>
        <v>0.06</v>
      </c>
      <c r="E210" s="14">
        <f>+0.14%</f>
        <v>0.0014</v>
      </c>
      <c r="F210" s="6">
        <v>41.66</v>
      </c>
      <c r="G210" s="6">
        <v>41.07</v>
      </c>
      <c r="H210" s="6">
        <v>41.77</v>
      </c>
      <c r="I210" s="9">
        <v>7.5309238E7</v>
      </c>
      <c r="J210" s="6">
        <v>3.15325964365E9</v>
      </c>
    </row>
    <row r="211">
      <c r="A211" s="4" t="s">
        <v>10</v>
      </c>
      <c r="B211" s="5">
        <v>41942.0</v>
      </c>
      <c r="C211" s="6">
        <v>41.72</v>
      </c>
      <c r="D211" s="13">
        <f>+0.39</f>
        <v>0.39</v>
      </c>
      <c r="E211" s="14">
        <f>+0.94%</f>
        <v>0.0094</v>
      </c>
      <c r="F211" s="6">
        <v>41.41</v>
      </c>
      <c r="G211" s="6">
        <v>41.41</v>
      </c>
      <c r="H211" s="6">
        <v>41.89</v>
      </c>
      <c r="I211" s="9">
        <v>5.4208151E7</v>
      </c>
      <c r="J211" s="6">
        <v>2.2720002803E9</v>
      </c>
    </row>
    <row r="212">
      <c r="A212" s="4" t="s">
        <v>10</v>
      </c>
      <c r="B212" s="5">
        <v>41943.0</v>
      </c>
      <c r="C212" s="6">
        <v>41.9</v>
      </c>
      <c r="D212" s="13">
        <f>+0.18</f>
        <v>0.18</v>
      </c>
      <c r="E212" s="14">
        <f>+0.43%</f>
        <v>0.0043</v>
      </c>
      <c r="F212" s="6">
        <v>41.91</v>
      </c>
      <c r="G212" s="6">
        <v>41.74</v>
      </c>
      <c r="H212" s="6">
        <v>42.08</v>
      </c>
      <c r="I212" s="9">
        <v>1.08786282E8</v>
      </c>
      <c r="J212" s="6">
        <v>4.61420414697E9</v>
      </c>
    </row>
    <row r="213">
      <c r="A213" s="4" t="s">
        <v>10</v>
      </c>
      <c r="B213" s="5">
        <v>41946.0</v>
      </c>
      <c r="C213" s="6">
        <v>41.55</v>
      </c>
      <c r="D213" s="11">
        <v>-0.35</v>
      </c>
      <c r="E213" s="12">
        <v>-0.0083</v>
      </c>
      <c r="F213" s="6">
        <v>41.76</v>
      </c>
      <c r="G213" s="6">
        <v>41.45</v>
      </c>
      <c r="H213" s="6">
        <v>41.78</v>
      </c>
      <c r="I213" s="9">
        <v>5.9606582E7</v>
      </c>
      <c r="J213" s="6">
        <v>2.63067004718E9</v>
      </c>
    </row>
    <row r="214">
      <c r="A214" s="4" t="s">
        <v>10</v>
      </c>
      <c r="B214" s="5">
        <v>41947.0</v>
      </c>
      <c r="C214" s="6">
        <v>41.59</v>
      </c>
      <c r="D214" s="13">
        <f>+0.04</f>
        <v>0.04</v>
      </c>
      <c r="E214" s="14">
        <f>+0.1%</f>
        <v>0.001</v>
      </c>
      <c r="F214" s="6">
        <v>41.6</v>
      </c>
      <c r="G214" s="6">
        <v>41.3</v>
      </c>
      <c r="H214" s="6">
        <v>41.63</v>
      </c>
      <c r="I214" s="9">
        <v>4.1428198E7</v>
      </c>
      <c r="J214" s="6">
        <v>1.72967384627E9</v>
      </c>
    </row>
    <row r="215">
      <c r="A215" s="4" t="s">
        <v>10</v>
      </c>
      <c r="B215" s="5">
        <v>41948.0</v>
      </c>
      <c r="C215" s="6">
        <v>41.22</v>
      </c>
      <c r="D215" s="11">
        <v>-0.37</v>
      </c>
      <c r="E215" s="12">
        <v>-0.0088</v>
      </c>
      <c r="F215" s="6">
        <v>41.25</v>
      </c>
      <c r="G215" s="6">
        <v>40.98</v>
      </c>
      <c r="H215" s="6">
        <v>41.3</v>
      </c>
      <c r="I215" s="9">
        <v>4.8726561E7</v>
      </c>
      <c r="J215" s="6">
        <v>2.01874337924E9</v>
      </c>
    </row>
    <row r="216">
      <c r="A216" s="4" t="s">
        <v>10</v>
      </c>
      <c r="B216" s="5">
        <v>41949.0</v>
      </c>
      <c r="C216" s="6">
        <v>40.71</v>
      </c>
      <c r="D216" s="11">
        <v>-0.51</v>
      </c>
      <c r="E216" s="12">
        <v>-0.0123</v>
      </c>
      <c r="F216" s="6">
        <v>41.1</v>
      </c>
      <c r="G216" s="6">
        <v>40.69</v>
      </c>
      <c r="H216" s="6">
        <v>41.16</v>
      </c>
      <c r="I216" s="9">
        <v>5.2054353E7</v>
      </c>
      <c r="J216" s="6">
        <v>2.16047037967E9</v>
      </c>
    </row>
    <row r="217">
      <c r="A217" s="4" t="s">
        <v>10</v>
      </c>
      <c r="B217" s="5">
        <v>41950.0</v>
      </c>
      <c r="C217" s="6">
        <v>40.97</v>
      </c>
      <c r="D217" s="13">
        <f>+0.26</f>
        <v>0.26</v>
      </c>
      <c r="E217" s="14">
        <f>+0.63%</f>
        <v>0.0063</v>
      </c>
      <c r="F217" s="6">
        <v>40.83</v>
      </c>
      <c r="G217" s="6">
        <v>40.76</v>
      </c>
      <c r="H217" s="6">
        <v>41.03</v>
      </c>
      <c r="I217" s="9">
        <v>4.2327528E7</v>
      </c>
      <c r="J217" s="6">
        <v>1.74241769776E9</v>
      </c>
    </row>
    <row r="218">
      <c r="A218" s="4" t="s">
        <v>10</v>
      </c>
      <c r="B218" s="5">
        <v>41953.0</v>
      </c>
      <c r="C218" s="6">
        <v>41.08</v>
      </c>
      <c r="D218" s="13">
        <f>+0.11</f>
        <v>0.11</v>
      </c>
      <c r="E218" s="14">
        <f>+0.27%</f>
        <v>0.0027</v>
      </c>
      <c r="F218" s="6">
        <v>41.41</v>
      </c>
      <c r="G218" s="6">
        <v>41.05</v>
      </c>
      <c r="H218" s="6">
        <v>41.44</v>
      </c>
      <c r="I218" s="9">
        <v>4.5891646E7</v>
      </c>
      <c r="J218" s="6">
        <v>1.903116108E9</v>
      </c>
    </row>
    <row r="219">
      <c r="A219" s="4" t="s">
        <v>10</v>
      </c>
      <c r="B219" s="5">
        <v>41954.0</v>
      </c>
      <c r="C219" s="6">
        <v>41.04</v>
      </c>
      <c r="D219" s="11">
        <v>-0.04</v>
      </c>
      <c r="E219" s="12">
        <v>-0.001</v>
      </c>
      <c r="F219" s="6">
        <v>40.95</v>
      </c>
      <c r="G219" s="6">
        <v>40.89</v>
      </c>
      <c r="H219" s="6">
        <v>41.11</v>
      </c>
      <c r="I219" s="9">
        <v>2.8394984E7</v>
      </c>
      <c r="J219" s="6">
        <v>1.17164213524E9</v>
      </c>
    </row>
    <row r="220">
      <c r="A220" s="4" t="s">
        <v>10</v>
      </c>
      <c r="B220" s="5">
        <v>41955.0</v>
      </c>
      <c r="C220" s="6">
        <v>40.96</v>
      </c>
      <c r="D220" s="11">
        <v>-0.08</v>
      </c>
      <c r="E220" s="12">
        <v>-0.0019</v>
      </c>
      <c r="F220" s="6">
        <v>41.06</v>
      </c>
      <c r="G220" s="6">
        <v>40.92</v>
      </c>
      <c r="H220" s="6">
        <v>41.25</v>
      </c>
      <c r="I220" s="9">
        <v>2.5122319E7</v>
      </c>
      <c r="J220" s="6">
        <v>1.03788614903E9</v>
      </c>
    </row>
    <row r="221">
      <c r="A221" s="4" t="s">
        <v>10</v>
      </c>
      <c r="B221" s="5">
        <v>41956.0</v>
      </c>
      <c r="C221" s="6">
        <v>40.85</v>
      </c>
      <c r="D221" s="11">
        <v>-0.11</v>
      </c>
      <c r="E221" s="12">
        <v>-0.0027</v>
      </c>
      <c r="F221" s="6">
        <v>41.14</v>
      </c>
      <c r="G221" s="6">
        <v>40.74</v>
      </c>
      <c r="H221" s="6">
        <v>41.16</v>
      </c>
      <c r="I221" s="9">
        <v>3.0709793E7</v>
      </c>
      <c r="J221" s="6">
        <v>1.26407525404E9</v>
      </c>
    </row>
    <row r="222">
      <c r="A222" s="4" t="s">
        <v>10</v>
      </c>
      <c r="B222" s="5">
        <v>41957.0</v>
      </c>
      <c r="C222" s="6">
        <v>41.19</v>
      </c>
      <c r="D222" s="13">
        <f>+0.34</f>
        <v>0.34</v>
      </c>
      <c r="E222" s="14">
        <f>+0.83%</f>
        <v>0.0083</v>
      </c>
      <c r="F222" s="6">
        <v>40.78</v>
      </c>
      <c r="G222" s="6">
        <v>40.75</v>
      </c>
      <c r="H222" s="6">
        <v>41.21</v>
      </c>
      <c r="I222" s="9">
        <v>4.7386412E7</v>
      </c>
      <c r="J222" s="6">
        <v>2.03800679487E9</v>
      </c>
    </row>
    <row r="223">
      <c r="A223" s="4" t="s">
        <v>10</v>
      </c>
      <c r="B223" s="5">
        <v>41960.0</v>
      </c>
      <c r="C223" s="6">
        <v>40.75</v>
      </c>
      <c r="D223" s="11">
        <v>-0.44</v>
      </c>
      <c r="E223" s="12">
        <v>-0.0106</v>
      </c>
      <c r="F223" s="6">
        <v>40.84</v>
      </c>
      <c r="G223" s="6">
        <v>40.67</v>
      </c>
      <c r="H223" s="6">
        <v>40.84</v>
      </c>
      <c r="I223" s="9">
        <v>3.8237751E7</v>
      </c>
      <c r="J223" s="6">
        <v>1.56779795422E9</v>
      </c>
    </row>
    <row r="224">
      <c r="A224" s="4" t="s">
        <v>10</v>
      </c>
      <c r="B224" s="5">
        <v>41961.0</v>
      </c>
      <c r="C224" s="6">
        <v>40.97</v>
      </c>
      <c r="D224" s="13">
        <f>+0.22</f>
        <v>0.22</v>
      </c>
      <c r="E224" s="14">
        <f>+0.54%</f>
        <v>0.0054</v>
      </c>
      <c r="F224" s="6">
        <v>40.81</v>
      </c>
      <c r="G224" s="6">
        <v>40.8</v>
      </c>
      <c r="H224" s="6">
        <v>41.0</v>
      </c>
      <c r="I224" s="9">
        <v>2.3114458E7</v>
      </c>
      <c r="J224" s="6">
        <v>9.5141303114E8</v>
      </c>
    </row>
    <row r="225">
      <c r="A225" s="4" t="s">
        <v>10</v>
      </c>
      <c r="B225" s="5">
        <v>41962.0</v>
      </c>
      <c r="C225" s="6">
        <v>40.95</v>
      </c>
      <c r="D225" s="11">
        <v>-0.02</v>
      </c>
      <c r="E225" s="12">
        <v>-5.0E-4</v>
      </c>
      <c r="F225" s="6">
        <v>40.84</v>
      </c>
      <c r="G225" s="6">
        <v>40.66</v>
      </c>
      <c r="H225" s="6">
        <v>41.11</v>
      </c>
      <c r="I225" s="9">
        <v>4.9215328E7</v>
      </c>
      <c r="J225" s="6">
        <v>2.02543904675E9</v>
      </c>
    </row>
    <row r="226">
      <c r="A226" s="4" t="s">
        <v>10</v>
      </c>
      <c r="B226" s="5">
        <v>41963.0</v>
      </c>
      <c r="C226" s="6">
        <v>40.88</v>
      </c>
      <c r="D226" s="11">
        <v>-0.07</v>
      </c>
      <c r="E226" s="12">
        <v>-0.0017</v>
      </c>
      <c r="F226" s="6">
        <v>40.92</v>
      </c>
      <c r="G226" s="6">
        <v>40.85</v>
      </c>
      <c r="H226" s="6">
        <v>41.07</v>
      </c>
      <c r="I226" s="9">
        <v>2.8926175E7</v>
      </c>
      <c r="J226" s="6">
        <v>1.19155427078E9</v>
      </c>
    </row>
    <row r="227">
      <c r="A227" s="4" t="s">
        <v>10</v>
      </c>
      <c r="B227" s="5">
        <v>41964.0</v>
      </c>
      <c r="C227" s="6">
        <v>42.19</v>
      </c>
      <c r="D227" s="13">
        <f>+1.3</f>
        <v>1.3</v>
      </c>
      <c r="E227" s="14">
        <f>+3.19%</f>
        <v>0.0319</v>
      </c>
      <c r="F227" s="6">
        <v>41.94</v>
      </c>
      <c r="G227" s="6">
        <v>41.73</v>
      </c>
      <c r="H227" s="6">
        <v>42.21</v>
      </c>
      <c r="I227" s="9">
        <v>1.11455167E8</v>
      </c>
      <c r="J227" s="6">
        <v>4.71994037307E9</v>
      </c>
    </row>
    <row r="228">
      <c r="A228" s="4" t="s">
        <v>10</v>
      </c>
      <c r="B228" s="5">
        <v>41967.0</v>
      </c>
      <c r="C228" s="6">
        <v>41.84</v>
      </c>
      <c r="D228" s="11">
        <v>-0.35</v>
      </c>
      <c r="E228" s="12">
        <v>-0.0082</v>
      </c>
      <c r="F228" s="6">
        <v>41.96</v>
      </c>
      <c r="G228" s="6">
        <v>41.8</v>
      </c>
      <c r="H228" s="6">
        <v>41.98</v>
      </c>
      <c r="I228" s="9">
        <v>3.8061314E7</v>
      </c>
      <c r="J228" s="6">
        <v>1.6030739221E9</v>
      </c>
    </row>
    <row r="229">
      <c r="A229" s="4" t="s">
        <v>10</v>
      </c>
      <c r="B229" s="5">
        <v>41968.0</v>
      </c>
      <c r="C229" s="6">
        <v>41.57</v>
      </c>
      <c r="D229" s="11">
        <v>-0.27</v>
      </c>
      <c r="E229" s="12">
        <v>-0.0064</v>
      </c>
      <c r="F229" s="6">
        <v>41.91</v>
      </c>
      <c r="G229" s="6">
        <v>41.54</v>
      </c>
      <c r="H229" s="6">
        <v>41.95</v>
      </c>
      <c r="I229" s="9">
        <v>4.379431E7</v>
      </c>
      <c r="J229" s="6">
        <v>1.83730441582E9</v>
      </c>
    </row>
    <row r="230">
      <c r="A230" s="4" t="s">
        <v>10</v>
      </c>
      <c r="B230" s="5">
        <v>41969.0</v>
      </c>
      <c r="C230" s="6">
        <v>42.1</v>
      </c>
      <c r="D230" s="13">
        <f>+0.53</f>
        <v>0.53</v>
      </c>
      <c r="E230" s="14">
        <f>+1.26%</f>
        <v>0.0126</v>
      </c>
      <c r="F230" s="6">
        <v>41.94</v>
      </c>
      <c r="G230" s="6">
        <v>41.9</v>
      </c>
      <c r="H230" s="6">
        <v>42.13</v>
      </c>
      <c r="I230" s="9">
        <v>3.0953292E7</v>
      </c>
      <c r="J230" s="6">
        <v>1.31872969818E9</v>
      </c>
    </row>
    <row r="231">
      <c r="A231" s="4" t="s">
        <v>10</v>
      </c>
      <c r="B231" s="5">
        <v>41971.0</v>
      </c>
      <c r="C231" s="6">
        <v>41.25</v>
      </c>
      <c r="D231" s="11">
        <v>-0.84</v>
      </c>
      <c r="E231" s="12">
        <v>-0.02</v>
      </c>
      <c r="F231" s="6">
        <v>41.62</v>
      </c>
      <c r="G231" s="6">
        <v>41.23</v>
      </c>
      <c r="H231" s="6">
        <v>41.63</v>
      </c>
      <c r="I231" s="9">
        <v>4.9144671E7</v>
      </c>
      <c r="J231" s="6">
        <v>2.06512398213E9</v>
      </c>
    </row>
    <row r="232">
      <c r="A232" s="4" t="s">
        <v>10</v>
      </c>
      <c r="B232" s="5">
        <v>41974.0</v>
      </c>
      <c r="C232" s="6">
        <v>40.55</v>
      </c>
      <c r="D232" s="11">
        <v>-0.71</v>
      </c>
      <c r="E232" s="12">
        <v>-0.0171</v>
      </c>
      <c r="F232" s="6">
        <v>40.8</v>
      </c>
      <c r="G232" s="6">
        <v>40.5</v>
      </c>
      <c r="H232" s="6">
        <v>40.81</v>
      </c>
      <c r="I232" s="9">
        <v>7.5105884E7</v>
      </c>
      <c r="J232" s="6">
        <v>3.06826146709E9</v>
      </c>
    </row>
    <row r="233">
      <c r="A233" s="4" t="s">
        <v>10</v>
      </c>
      <c r="B233" s="5">
        <v>41975.0</v>
      </c>
      <c r="C233" s="6">
        <v>40.54</v>
      </c>
      <c r="D233" s="11">
        <v>-0.01</v>
      </c>
      <c r="E233" s="12">
        <v>-2.0E-4</v>
      </c>
      <c r="F233" s="6">
        <v>40.66</v>
      </c>
      <c r="G233" s="6">
        <v>40.5</v>
      </c>
      <c r="H233" s="6">
        <v>40.7</v>
      </c>
      <c r="I233" s="9">
        <v>4.727332E7</v>
      </c>
      <c r="J233" s="6">
        <v>1.94824029717E9</v>
      </c>
    </row>
    <row r="234">
      <c r="A234" s="4" t="s">
        <v>10</v>
      </c>
      <c r="B234" s="5">
        <v>41976.0</v>
      </c>
      <c r="C234" s="6">
        <v>40.64</v>
      </c>
      <c r="D234" s="13">
        <f>+0.11</f>
        <v>0.11</v>
      </c>
      <c r="E234" s="14">
        <f>+0.27%</f>
        <v>0.0027</v>
      </c>
      <c r="F234" s="6">
        <v>40.63</v>
      </c>
      <c r="G234" s="6">
        <v>40.6</v>
      </c>
      <c r="H234" s="6">
        <v>40.81</v>
      </c>
      <c r="I234" s="9">
        <v>3.7508283E7</v>
      </c>
      <c r="J234" s="6">
        <v>1.53499317641E9</v>
      </c>
    </row>
    <row r="235">
      <c r="A235" s="4" t="s">
        <v>10</v>
      </c>
      <c r="B235" s="5">
        <v>41977.0</v>
      </c>
      <c r="C235" s="6">
        <v>40.71</v>
      </c>
      <c r="D235" s="13">
        <f>+0.07</f>
        <v>0.07</v>
      </c>
      <c r="E235" s="14">
        <f>+0.17%</f>
        <v>0.0017</v>
      </c>
      <c r="F235" s="6">
        <v>40.83</v>
      </c>
      <c r="G235" s="6">
        <v>40.62</v>
      </c>
      <c r="H235" s="6">
        <v>40.85</v>
      </c>
      <c r="I235" s="9">
        <v>3.14599E7</v>
      </c>
      <c r="J235" s="6">
        <v>1.29975618942E9</v>
      </c>
    </row>
    <row r="236">
      <c r="A236" s="4" t="s">
        <v>10</v>
      </c>
      <c r="B236" s="5">
        <v>41978.0</v>
      </c>
      <c r="C236" s="6">
        <v>40.63</v>
      </c>
      <c r="D236" s="11">
        <v>-0.08</v>
      </c>
      <c r="E236" s="12">
        <v>-0.002</v>
      </c>
      <c r="F236" s="6">
        <v>40.52</v>
      </c>
      <c r="G236" s="6">
        <v>40.43</v>
      </c>
      <c r="H236" s="6">
        <v>40.75</v>
      </c>
      <c r="I236" s="9">
        <v>3.2496263E7</v>
      </c>
      <c r="J236" s="6">
        <v>1.32718091426E9</v>
      </c>
    </row>
    <row r="237">
      <c r="A237" s="4" t="s">
        <v>10</v>
      </c>
      <c r="B237" s="5">
        <v>41981.0</v>
      </c>
      <c r="C237" s="6">
        <v>40.04</v>
      </c>
      <c r="D237" s="11">
        <v>-0.6</v>
      </c>
      <c r="E237" s="12">
        <v>-0.0147</v>
      </c>
      <c r="F237" s="6">
        <v>40.37</v>
      </c>
      <c r="G237" s="6">
        <v>39.98</v>
      </c>
      <c r="H237" s="6">
        <v>40.38</v>
      </c>
      <c r="I237" s="9">
        <v>4.3437853E7</v>
      </c>
      <c r="J237" s="6">
        <v>1.75911891072E9</v>
      </c>
    </row>
    <row r="238">
      <c r="A238" s="4" t="s">
        <v>10</v>
      </c>
      <c r="B238" s="5">
        <v>41982.0</v>
      </c>
      <c r="C238" s="6">
        <v>39.66</v>
      </c>
      <c r="D238" s="11">
        <v>-0.38</v>
      </c>
      <c r="E238" s="12">
        <v>-0.0094</v>
      </c>
      <c r="F238" s="6">
        <v>39.56</v>
      </c>
      <c r="G238" s="6">
        <v>39.43</v>
      </c>
      <c r="H238" s="6">
        <v>39.69</v>
      </c>
      <c r="I238" s="9">
        <v>5.4564138E7</v>
      </c>
      <c r="J238" s="6">
        <v>2.18145885111E9</v>
      </c>
    </row>
    <row r="239">
      <c r="A239" s="4" t="s">
        <v>10</v>
      </c>
      <c r="B239" s="5">
        <v>41983.0</v>
      </c>
      <c r="C239" s="6">
        <v>39.07</v>
      </c>
      <c r="D239" s="11">
        <v>-0.59</v>
      </c>
      <c r="E239" s="12">
        <v>-0.0148</v>
      </c>
      <c r="F239" s="6">
        <v>39.55</v>
      </c>
      <c r="G239" s="6">
        <v>39.03</v>
      </c>
      <c r="H239" s="6">
        <v>39.56</v>
      </c>
      <c r="I239" s="9">
        <v>5.5591679E7</v>
      </c>
      <c r="J239" s="6">
        <v>2.19476277055E9</v>
      </c>
    </row>
    <row r="240">
      <c r="A240" s="4" t="s">
        <v>10</v>
      </c>
      <c r="B240" s="5">
        <v>41984.0</v>
      </c>
      <c r="C240" s="6">
        <v>38.75</v>
      </c>
      <c r="D240" s="11">
        <v>-0.33</v>
      </c>
      <c r="E240" s="12">
        <v>-0.0084</v>
      </c>
      <c r="F240" s="6">
        <v>38.91</v>
      </c>
      <c r="G240" s="6">
        <v>38.69</v>
      </c>
      <c r="H240" s="6">
        <v>39.11</v>
      </c>
      <c r="I240" s="9">
        <v>6.5853686E7</v>
      </c>
      <c r="J240" s="6">
        <v>2.59474655475E9</v>
      </c>
    </row>
    <row r="241">
      <c r="A241" s="4" t="s">
        <v>10</v>
      </c>
      <c r="B241" s="5">
        <v>41985.0</v>
      </c>
      <c r="C241" s="6">
        <v>38.11</v>
      </c>
      <c r="D241" s="11">
        <v>-0.64</v>
      </c>
      <c r="E241" s="12">
        <v>-0.0164</v>
      </c>
      <c r="F241" s="6">
        <v>38.67</v>
      </c>
      <c r="G241" s="6">
        <v>38.1</v>
      </c>
      <c r="H241" s="6">
        <v>38.68</v>
      </c>
      <c r="I241" s="9">
        <v>7.9274575E7</v>
      </c>
      <c r="J241" s="6">
        <v>3.091841002E9</v>
      </c>
    </row>
    <row r="242">
      <c r="A242" s="4" t="s">
        <v>10</v>
      </c>
      <c r="B242" s="5">
        <v>41988.0</v>
      </c>
      <c r="C242" s="6">
        <v>37.56</v>
      </c>
      <c r="D242" s="11">
        <v>-0.55</v>
      </c>
      <c r="E242" s="12">
        <v>-0.0143</v>
      </c>
      <c r="F242" s="6">
        <v>38.19</v>
      </c>
      <c r="G242" s="6">
        <v>37.36</v>
      </c>
      <c r="H242" s="6">
        <v>38.22</v>
      </c>
      <c r="I242" s="9">
        <v>9.39217E7</v>
      </c>
      <c r="J242" s="6">
        <v>3.56056564711E9</v>
      </c>
    </row>
    <row r="243">
      <c r="A243" s="4" t="s">
        <v>10</v>
      </c>
      <c r="B243" s="5">
        <v>41989.0</v>
      </c>
      <c r="C243" s="6">
        <v>37.5</v>
      </c>
      <c r="D243" s="11">
        <v>-0.06</v>
      </c>
      <c r="E243" s="12">
        <v>-0.0016</v>
      </c>
      <c r="F243" s="6">
        <v>37.15</v>
      </c>
      <c r="G243" s="6">
        <v>37.0</v>
      </c>
      <c r="H243" s="6">
        <v>38.09</v>
      </c>
      <c r="I243" s="9">
        <v>1.17074114E8</v>
      </c>
      <c r="J243" s="6">
        <v>4.5331306839E9</v>
      </c>
    </row>
    <row r="244">
      <c r="A244" s="4" t="s">
        <v>10</v>
      </c>
      <c r="B244" s="5">
        <v>41990.0</v>
      </c>
      <c r="C244" s="6">
        <v>37.82</v>
      </c>
      <c r="D244" s="13">
        <f>+0.32</f>
        <v>0.32</v>
      </c>
      <c r="E244" s="14">
        <f>+0.85%</f>
        <v>0.0085</v>
      </c>
      <c r="F244" s="6">
        <v>37.13</v>
      </c>
      <c r="G244" s="6">
        <v>37.09</v>
      </c>
      <c r="H244" s="6">
        <v>38.32</v>
      </c>
      <c r="I244" s="9">
        <v>1.19530839E8</v>
      </c>
      <c r="J244" s="6">
        <v>4.543543905E9</v>
      </c>
    </row>
    <row r="245">
      <c r="A245" s="4" t="s">
        <v>10</v>
      </c>
      <c r="B245" s="5">
        <v>41991.0</v>
      </c>
      <c r="C245" s="6">
        <v>38.34</v>
      </c>
      <c r="D245" s="13">
        <f>+0.52</f>
        <v>0.52</v>
      </c>
      <c r="E245" s="14">
        <f>+1.37%</f>
        <v>0.0137</v>
      </c>
      <c r="F245" s="6">
        <v>38.4</v>
      </c>
      <c r="G245" s="6">
        <v>38.08</v>
      </c>
      <c r="H245" s="6">
        <v>38.64</v>
      </c>
      <c r="I245" s="9">
        <v>7.0091393E7</v>
      </c>
      <c r="J245" s="6">
        <v>2.70072444991E9</v>
      </c>
    </row>
    <row r="246">
      <c r="A246" s="4" t="s">
        <v>10</v>
      </c>
      <c r="B246" s="5">
        <v>41992.0</v>
      </c>
      <c r="C246" s="6">
        <v>38.61</v>
      </c>
      <c r="D246" s="13">
        <f>+0.27</f>
        <v>0.27</v>
      </c>
      <c r="E246" s="14">
        <f>+0.7%</f>
        <v>0.007</v>
      </c>
      <c r="F246" s="6">
        <v>38.41</v>
      </c>
      <c r="G246" s="6">
        <v>38.4</v>
      </c>
      <c r="H246" s="6">
        <v>38.79</v>
      </c>
      <c r="I246" s="9">
        <v>6.1239644E7</v>
      </c>
      <c r="J246" s="6">
        <v>2.37753876134E9</v>
      </c>
    </row>
    <row r="247">
      <c r="A247" s="4" t="s">
        <v>10</v>
      </c>
      <c r="B247" s="5">
        <v>41995.0</v>
      </c>
      <c r="C247" s="6">
        <v>39.14</v>
      </c>
      <c r="D247" s="13">
        <f>+0.54</f>
        <v>0.54</v>
      </c>
      <c r="E247" s="14">
        <f>+1.39%</f>
        <v>0.0139</v>
      </c>
      <c r="F247" s="6">
        <v>39.07</v>
      </c>
      <c r="G247" s="6">
        <v>38.99</v>
      </c>
      <c r="H247" s="6">
        <v>39.21</v>
      </c>
      <c r="I247" s="9">
        <v>4.7398461E7</v>
      </c>
      <c r="J247" s="6">
        <v>1.86511790289E9</v>
      </c>
    </row>
    <row r="248">
      <c r="A248" s="4" t="s">
        <v>10</v>
      </c>
      <c r="B248" s="5">
        <v>41996.0</v>
      </c>
      <c r="C248" s="6">
        <v>38.79</v>
      </c>
      <c r="D248" s="11">
        <v>-0.36</v>
      </c>
      <c r="E248" s="12">
        <v>-0.0091</v>
      </c>
      <c r="F248" s="6">
        <v>38.83</v>
      </c>
      <c r="G248" s="6">
        <v>38.57</v>
      </c>
      <c r="H248" s="6">
        <v>38.86</v>
      </c>
      <c r="I248" s="9">
        <v>5.2339345E7</v>
      </c>
      <c r="J248" s="6">
        <v>2.04041045204E9</v>
      </c>
    </row>
    <row r="249">
      <c r="A249" s="4" t="s">
        <v>10</v>
      </c>
      <c r="B249" s="5">
        <v>41997.0</v>
      </c>
      <c r="C249" s="6">
        <v>38.88</v>
      </c>
      <c r="D249" s="13">
        <f>+0.09</f>
        <v>0.09</v>
      </c>
      <c r="E249" s="14">
        <f>+0.23%</f>
        <v>0.0023</v>
      </c>
      <c r="F249" s="6">
        <v>38.86</v>
      </c>
      <c r="G249" s="6">
        <v>38.69</v>
      </c>
      <c r="H249" s="6">
        <v>38.93</v>
      </c>
      <c r="I249" s="9">
        <v>2.1433907E7</v>
      </c>
      <c r="J249" s="6">
        <v>8.5485374473E8</v>
      </c>
    </row>
    <row r="250">
      <c r="A250" s="4" t="s">
        <v>10</v>
      </c>
      <c r="B250" s="5">
        <v>41999.0</v>
      </c>
      <c r="C250" s="6">
        <v>39.18</v>
      </c>
      <c r="D250" s="13">
        <f>+0.31</f>
        <v>0.31</v>
      </c>
      <c r="E250" s="14">
        <f>+0.79%</f>
        <v>0.0079</v>
      </c>
      <c r="F250" s="6">
        <v>39.23</v>
      </c>
      <c r="G250" s="6">
        <v>39.15</v>
      </c>
      <c r="H250" s="6">
        <v>39.39</v>
      </c>
      <c r="I250" s="9">
        <v>2.8723046E7</v>
      </c>
      <c r="J250" s="6">
        <v>1.13386874853E9</v>
      </c>
    </row>
    <row r="251">
      <c r="A251" s="4" t="s">
        <v>10</v>
      </c>
      <c r="B251" s="5">
        <v>42002.0</v>
      </c>
      <c r="C251" s="6">
        <v>38.95</v>
      </c>
      <c r="D251" s="11">
        <v>-0.24</v>
      </c>
      <c r="E251" s="12">
        <v>-0.0061</v>
      </c>
      <c r="F251" s="6">
        <v>39.19</v>
      </c>
      <c r="G251" s="6">
        <v>38.95</v>
      </c>
      <c r="H251" s="6">
        <v>39.27</v>
      </c>
      <c r="I251" s="9">
        <v>3.8964338E7</v>
      </c>
      <c r="J251" s="6">
        <v>1.53194191023E9</v>
      </c>
    </row>
    <row r="252">
      <c r="A252" s="4" t="s">
        <v>10</v>
      </c>
      <c r="B252" s="5">
        <v>42003.0</v>
      </c>
      <c r="C252" s="6">
        <v>39.02</v>
      </c>
      <c r="D252" s="13">
        <f>+0.08</f>
        <v>0.08</v>
      </c>
      <c r="E252" s="14">
        <f>+0.2%</f>
        <v>0.002</v>
      </c>
      <c r="F252" s="6">
        <v>38.9</v>
      </c>
      <c r="G252" s="6">
        <v>38.89</v>
      </c>
      <c r="H252" s="6">
        <v>39.1</v>
      </c>
      <c r="I252" s="9">
        <v>3.2332735E7</v>
      </c>
      <c r="J252" s="6">
        <v>1.26842855404E9</v>
      </c>
    </row>
    <row r="253">
      <c r="A253" s="4" t="s">
        <v>10</v>
      </c>
      <c r="B253" s="5">
        <v>42004.0</v>
      </c>
      <c r="C253" s="6">
        <v>39.05</v>
      </c>
      <c r="D253" s="13">
        <f>+0.03</f>
        <v>0.03</v>
      </c>
      <c r="E253" s="14">
        <f>+0.08%</f>
        <v>0.0008</v>
      </c>
      <c r="F253" s="6">
        <v>39.23</v>
      </c>
      <c r="G253" s="6">
        <v>38.97</v>
      </c>
      <c r="H253" s="6">
        <v>39.25</v>
      </c>
      <c r="I253" s="9">
        <v>3.4940694E7</v>
      </c>
      <c r="J253" s="6">
        <v>1.37424132602E9</v>
      </c>
    </row>
    <row r="254">
      <c r="A254" s="4" t="s">
        <v>10</v>
      </c>
      <c r="B254" s="5">
        <v>42006.0</v>
      </c>
      <c r="C254" s="6">
        <v>38.54</v>
      </c>
      <c r="D254" s="11">
        <v>-0.52</v>
      </c>
      <c r="E254" s="12">
        <v>-0.0132</v>
      </c>
      <c r="F254" s="6">
        <v>38.96</v>
      </c>
      <c r="G254" s="6">
        <v>38.44</v>
      </c>
      <c r="H254" s="6">
        <v>38.97</v>
      </c>
      <c r="I254" s="9">
        <v>6.5009964E7</v>
      </c>
      <c r="J254" s="6">
        <v>2.61957033787E9</v>
      </c>
    </row>
    <row r="255">
      <c r="A255" s="4" t="s">
        <v>10</v>
      </c>
      <c r="B255" s="5">
        <v>42009.0</v>
      </c>
      <c r="C255" s="6">
        <v>37.85</v>
      </c>
      <c r="D255" s="11">
        <v>-0.69</v>
      </c>
      <c r="E255" s="12">
        <v>-0.0178</v>
      </c>
      <c r="F255" s="6">
        <v>38.29</v>
      </c>
      <c r="G255" s="6">
        <v>37.79</v>
      </c>
      <c r="H255" s="6">
        <v>38.29</v>
      </c>
      <c r="I255" s="9">
        <v>8.3166552E7</v>
      </c>
      <c r="J255" s="6">
        <v>3.24923529236E9</v>
      </c>
    </row>
    <row r="256">
      <c r="A256" s="4" t="s">
        <v>10</v>
      </c>
      <c r="B256" s="5">
        <v>42010.0</v>
      </c>
      <c r="C256" s="6">
        <v>37.69</v>
      </c>
      <c r="D256" s="11">
        <v>-0.16</v>
      </c>
      <c r="E256" s="12">
        <v>-0.0042</v>
      </c>
      <c r="F256" s="6">
        <v>37.86</v>
      </c>
      <c r="G256" s="6">
        <v>37.49</v>
      </c>
      <c r="H256" s="6">
        <v>38.03</v>
      </c>
      <c r="I256" s="9">
        <v>5.2066122E7</v>
      </c>
      <c r="J256" s="6">
        <v>2.0385023966E9</v>
      </c>
    </row>
    <row r="257">
      <c r="A257" s="4" t="s">
        <v>10</v>
      </c>
      <c r="B257" s="5">
        <v>42011.0</v>
      </c>
      <c r="C257" s="6">
        <v>38.51</v>
      </c>
      <c r="D257" s="13">
        <f>+0.82</f>
        <v>0.82</v>
      </c>
      <c r="E257" s="14">
        <f>+2.16%</f>
        <v>0.0216</v>
      </c>
      <c r="F257" s="6">
        <v>38.34</v>
      </c>
      <c r="G257" s="6">
        <v>38.21</v>
      </c>
      <c r="H257" s="6">
        <v>38.54</v>
      </c>
      <c r="I257" s="9">
        <v>6.4948658E7</v>
      </c>
      <c r="J257" s="6">
        <v>2.51086857775E9</v>
      </c>
    </row>
    <row r="258">
      <c r="A258" s="4" t="s">
        <v>10</v>
      </c>
      <c r="B258" s="5">
        <v>42012.0</v>
      </c>
      <c r="C258" s="6">
        <v>39.16</v>
      </c>
      <c r="D258" s="13">
        <f>+0.66</f>
        <v>0.66</v>
      </c>
      <c r="E258" s="14">
        <f>+1.7%</f>
        <v>0.017</v>
      </c>
      <c r="F258" s="6">
        <v>39.07</v>
      </c>
      <c r="G258" s="6">
        <v>39.02</v>
      </c>
      <c r="H258" s="6">
        <v>39.34</v>
      </c>
      <c r="I258" s="9">
        <v>5.5081573E7</v>
      </c>
      <c r="J258" s="6">
        <v>2.17240507968E9</v>
      </c>
    </row>
    <row r="259">
      <c r="A259" s="4" t="s">
        <v>10</v>
      </c>
      <c r="B259" s="5">
        <v>42013.0</v>
      </c>
      <c r="C259" s="6">
        <v>39.03</v>
      </c>
      <c r="D259" s="11">
        <v>-0.13</v>
      </c>
      <c r="E259" s="12">
        <v>-0.0033</v>
      </c>
      <c r="F259" s="6">
        <v>39.28</v>
      </c>
      <c r="G259" s="6">
        <v>38.92</v>
      </c>
      <c r="H259" s="6">
        <v>39.3</v>
      </c>
      <c r="I259" s="9">
        <v>3.8550074E7</v>
      </c>
      <c r="J259" s="6">
        <v>1.5171866355E9</v>
      </c>
    </row>
    <row r="260">
      <c r="A260" s="4" t="s">
        <v>10</v>
      </c>
      <c r="B260" s="5">
        <v>42016.0</v>
      </c>
      <c r="C260" s="6">
        <v>38.72</v>
      </c>
      <c r="D260" s="11">
        <v>-0.32</v>
      </c>
      <c r="E260" s="12">
        <v>-0.0081</v>
      </c>
      <c r="F260" s="6">
        <v>38.92</v>
      </c>
      <c r="G260" s="6">
        <v>38.67</v>
      </c>
      <c r="H260" s="6">
        <v>38.96</v>
      </c>
      <c r="I260" s="9">
        <v>5.5381813E7</v>
      </c>
      <c r="J260" s="6">
        <v>2.17638909191E9</v>
      </c>
    </row>
    <row r="261">
      <c r="A261" s="4" t="s">
        <v>10</v>
      </c>
      <c r="B261" s="5">
        <v>42017.0</v>
      </c>
      <c r="C261" s="6">
        <v>39.05</v>
      </c>
      <c r="D261" s="13">
        <f>+0.34</f>
        <v>0.34</v>
      </c>
      <c r="E261" s="14">
        <f>+0.87%</f>
        <v>0.0087</v>
      </c>
      <c r="F261" s="6">
        <v>39.21</v>
      </c>
      <c r="G261" s="6">
        <v>38.74</v>
      </c>
      <c r="H261" s="6">
        <v>39.41</v>
      </c>
      <c r="I261" s="9">
        <v>5.5565632E7</v>
      </c>
      <c r="J261" s="6">
        <v>2.18789809223E9</v>
      </c>
    </row>
    <row r="262">
      <c r="A262" s="4" t="s">
        <v>10</v>
      </c>
      <c r="B262" s="5">
        <v>42018.0</v>
      </c>
      <c r="C262" s="6">
        <v>38.84</v>
      </c>
      <c r="D262" s="11">
        <v>-0.22</v>
      </c>
      <c r="E262" s="12">
        <v>-0.0056</v>
      </c>
      <c r="F262" s="6">
        <v>38.63</v>
      </c>
      <c r="G262" s="6">
        <v>38.53</v>
      </c>
      <c r="H262" s="6">
        <v>38.93</v>
      </c>
      <c r="I262" s="9">
        <v>8.3761032E7</v>
      </c>
      <c r="J262" s="6">
        <v>3.26839730606E9</v>
      </c>
    </row>
    <row r="263">
      <c r="A263" s="4" t="s">
        <v>10</v>
      </c>
      <c r="B263" s="5">
        <v>42019.0</v>
      </c>
      <c r="C263" s="6">
        <v>38.93</v>
      </c>
      <c r="D263" s="13">
        <f>+0.09</f>
        <v>0.09</v>
      </c>
      <c r="E263" s="14">
        <f>+0.23%</f>
        <v>0.0023</v>
      </c>
      <c r="F263" s="6">
        <v>39.35</v>
      </c>
      <c r="G263" s="6">
        <v>38.87</v>
      </c>
      <c r="H263" s="6">
        <v>39.49</v>
      </c>
      <c r="I263" s="9">
        <v>5.7441569E7</v>
      </c>
      <c r="J263" s="6">
        <v>2.25893402155E9</v>
      </c>
    </row>
    <row r="264">
      <c r="A264" s="4" t="s">
        <v>10</v>
      </c>
      <c r="B264" s="5">
        <v>42020.0</v>
      </c>
      <c r="C264" s="6">
        <v>39.25</v>
      </c>
      <c r="D264" s="13">
        <f>+0.33</f>
        <v>0.33</v>
      </c>
      <c r="E264" s="14">
        <f>+0.84%</f>
        <v>0.0084</v>
      </c>
      <c r="F264" s="6">
        <v>38.9</v>
      </c>
      <c r="G264" s="6">
        <v>38.84</v>
      </c>
      <c r="H264" s="6">
        <v>39.3</v>
      </c>
      <c r="I264" s="9">
        <v>7.2675158E7</v>
      </c>
      <c r="J264" s="6">
        <v>2.86160264552E9</v>
      </c>
    </row>
    <row r="265">
      <c r="A265" s="4" t="s">
        <v>10</v>
      </c>
      <c r="B265" s="5">
        <v>42024.0</v>
      </c>
      <c r="C265" s="6">
        <v>39.19</v>
      </c>
      <c r="D265" s="11">
        <v>-0.06</v>
      </c>
      <c r="E265" s="12">
        <v>-0.0015</v>
      </c>
      <c r="F265" s="6">
        <v>39.17</v>
      </c>
      <c r="G265" s="6">
        <v>38.98</v>
      </c>
      <c r="H265" s="6">
        <v>39.22</v>
      </c>
      <c r="I265" s="9">
        <v>5.7716857E7</v>
      </c>
      <c r="J265" s="6">
        <v>2.27100619034E9</v>
      </c>
    </row>
    <row r="266">
      <c r="A266" s="4" t="s">
        <v>10</v>
      </c>
      <c r="B266" s="5">
        <v>42025.0</v>
      </c>
      <c r="C266" s="6">
        <v>40.06</v>
      </c>
      <c r="D266" s="13">
        <f>+0.86</f>
        <v>0.86</v>
      </c>
      <c r="E266" s="14">
        <f>+2.21%</f>
        <v>0.0221</v>
      </c>
      <c r="F266" s="6">
        <v>39.52</v>
      </c>
      <c r="G266" s="6">
        <v>39.5</v>
      </c>
      <c r="H266" s="6">
        <v>40.1</v>
      </c>
      <c r="I266" s="9">
        <v>7.4714921E7</v>
      </c>
      <c r="J266" s="6">
        <v>2.99940196554E9</v>
      </c>
    </row>
    <row r="267">
      <c r="A267" s="4" t="s">
        <v>10</v>
      </c>
      <c r="B267" s="5">
        <v>42026.0</v>
      </c>
      <c r="C267" s="6">
        <v>40.82</v>
      </c>
      <c r="D267" s="13">
        <f>+0.77</f>
        <v>0.77</v>
      </c>
      <c r="E267" s="14">
        <f>+1.91%</f>
        <v>0.0191</v>
      </c>
      <c r="F267" s="6">
        <v>40.27</v>
      </c>
      <c r="G267" s="6">
        <v>40.08</v>
      </c>
      <c r="H267" s="6">
        <v>40.86</v>
      </c>
      <c r="I267" s="9">
        <v>9.5318358E7</v>
      </c>
      <c r="J267" s="6">
        <v>3.88785814702E9</v>
      </c>
    </row>
    <row r="268">
      <c r="A268" s="4" t="s">
        <v>10</v>
      </c>
      <c r="B268" s="5">
        <v>42027.0</v>
      </c>
      <c r="C268" s="6">
        <v>40.52</v>
      </c>
      <c r="D268" s="11">
        <v>-0.31</v>
      </c>
      <c r="E268" s="12">
        <v>-0.0075</v>
      </c>
      <c r="F268" s="6">
        <v>40.58</v>
      </c>
      <c r="G268" s="6">
        <v>40.5</v>
      </c>
      <c r="H268" s="6">
        <v>40.71</v>
      </c>
      <c r="I268" s="9">
        <v>5.2368148E7</v>
      </c>
      <c r="J268" s="6">
        <v>2.1388667634E9</v>
      </c>
    </row>
    <row r="269">
      <c r="A269" s="4" t="s">
        <v>10</v>
      </c>
      <c r="B269" s="5">
        <v>42030.0</v>
      </c>
      <c r="C269" s="6">
        <v>40.54</v>
      </c>
      <c r="D269" s="13">
        <f>+0.02</f>
        <v>0.02</v>
      </c>
      <c r="E269" s="14">
        <f>+0.05%</f>
        <v>0.0005</v>
      </c>
      <c r="F269" s="6">
        <v>40.39</v>
      </c>
      <c r="G269" s="6">
        <v>40.33</v>
      </c>
      <c r="H269" s="6">
        <v>40.66</v>
      </c>
      <c r="I269" s="9">
        <v>4.7266132E7</v>
      </c>
      <c r="J269" s="6">
        <v>1.97582487354E9</v>
      </c>
    </row>
    <row r="270">
      <c r="A270" s="4" t="s">
        <v>10</v>
      </c>
      <c r="B270" s="5">
        <v>42031.0</v>
      </c>
      <c r="C270" s="6">
        <v>40.32</v>
      </c>
      <c r="D270" s="11">
        <v>-0.22</v>
      </c>
      <c r="E270" s="12">
        <v>-0.0054</v>
      </c>
      <c r="F270" s="6">
        <v>40.06</v>
      </c>
      <c r="G270" s="6">
        <v>40.05</v>
      </c>
      <c r="H270" s="6">
        <v>40.42</v>
      </c>
      <c r="I270" s="9">
        <v>4.252518E7</v>
      </c>
      <c r="J270" s="6">
        <v>1.72151657541E9</v>
      </c>
    </row>
    <row r="271">
      <c r="A271" s="4" t="s">
        <v>10</v>
      </c>
      <c r="B271" s="5">
        <v>42032.0</v>
      </c>
      <c r="C271" s="6">
        <v>39.88</v>
      </c>
      <c r="D271" s="11">
        <v>-0.44</v>
      </c>
      <c r="E271" s="12">
        <v>-0.0108</v>
      </c>
      <c r="F271" s="6">
        <v>40.22</v>
      </c>
      <c r="G271" s="6">
        <v>39.77</v>
      </c>
      <c r="H271" s="6">
        <v>40.26</v>
      </c>
      <c r="I271" s="9">
        <v>5.6697952E7</v>
      </c>
      <c r="J271" s="6">
        <v>2.2827995577E9</v>
      </c>
    </row>
    <row r="272">
      <c r="A272" s="4" t="s">
        <v>10</v>
      </c>
      <c r="B272" s="5">
        <v>42033.0</v>
      </c>
      <c r="C272" s="6">
        <v>39.88</v>
      </c>
      <c r="D272" s="11">
        <v>0.0</v>
      </c>
      <c r="E272" s="12">
        <v>0.0</v>
      </c>
      <c r="F272" s="6">
        <v>39.83</v>
      </c>
      <c r="G272" s="6">
        <v>39.48</v>
      </c>
      <c r="H272" s="6">
        <v>39.91</v>
      </c>
      <c r="I272" s="9">
        <v>5.3124382E7</v>
      </c>
      <c r="J272" s="6">
        <v>2.12323933753E9</v>
      </c>
    </row>
    <row r="273">
      <c r="A273" s="4" t="s">
        <v>10</v>
      </c>
      <c r="B273" s="5">
        <v>42034.0</v>
      </c>
      <c r="C273" s="6">
        <v>38.79</v>
      </c>
      <c r="D273" s="11">
        <v>-1.09</v>
      </c>
      <c r="E273" s="12">
        <v>-0.0274</v>
      </c>
      <c r="F273" s="6">
        <v>39.06</v>
      </c>
      <c r="G273" s="6">
        <v>38.79</v>
      </c>
      <c r="H273" s="6">
        <v>39.31</v>
      </c>
      <c r="I273" s="9">
        <v>1.03745394E8</v>
      </c>
      <c r="J273" s="6">
        <v>4.06961226286E9</v>
      </c>
    </row>
    <row r="274">
      <c r="A274" s="4" t="s">
        <v>10</v>
      </c>
      <c r="B274" s="5">
        <v>42037.0</v>
      </c>
      <c r="C274" s="6">
        <v>39.48</v>
      </c>
      <c r="D274" s="13">
        <f>+0.7</f>
        <v>0.7</v>
      </c>
      <c r="E274" s="14">
        <f>+1.79%</f>
        <v>0.0179</v>
      </c>
      <c r="F274" s="6">
        <v>39.29</v>
      </c>
      <c r="G274" s="6">
        <v>39.2</v>
      </c>
      <c r="H274" s="6">
        <v>39.63</v>
      </c>
      <c r="I274" s="9">
        <v>5.0443565E7</v>
      </c>
      <c r="J274" s="6">
        <v>1.99817220857E9</v>
      </c>
    </row>
    <row r="275">
      <c r="A275" s="4" t="s">
        <v>10</v>
      </c>
      <c r="B275" s="5">
        <v>42038.0</v>
      </c>
      <c r="C275" s="6">
        <v>40.23</v>
      </c>
      <c r="D275" s="13">
        <f>+0.75</f>
        <v>0.75</v>
      </c>
      <c r="E275" s="14">
        <f>+1.89%</f>
        <v>0.0189</v>
      </c>
      <c r="F275" s="6">
        <v>39.92</v>
      </c>
      <c r="G275" s="6">
        <v>39.87</v>
      </c>
      <c r="H275" s="6">
        <v>40.28</v>
      </c>
      <c r="I275" s="9">
        <v>4.8552665E7</v>
      </c>
      <c r="J275" s="6">
        <v>1.95927412573E9</v>
      </c>
    </row>
    <row r="276">
      <c r="A276" s="4" t="s">
        <v>10</v>
      </c>
      <c r="B276" s="5">
        <v>42039.0</v>
      </c>
      <c r="C276" s="6">
        <v>40.03</v>
      </c>
      <c r="D276" s="11">
        <v>-0.2</v>
      </c>
      <c r="E276" s="12">
        <v>-0.0049</v>
      </c>
      <c r="F276" s="6">
        <v>40.18</v>
      </c>
      <c r="G276" s="6">
        <v>39.97</v>
      </c>
      <c r="H276" s="6">
        <v>40.4</v>
      </c>
      <c r="I276" s="9">
        <v>3.4900718E7</v>
      </c>
      <c r="J276" s="6">
        <v>1.41065086382E9</v>
      </c>
    </row>
    <row r="277">
      <c r="A277" s="4" t="s">
        <v>10</v>
      </c>
      <c r="B277" s="5">
        <v>42040.0</v>
      </c>
      <c r="C277" s="6">
        <v>40.27</v>
      </c>
      <c r="D277" s="13">
        <f>+0.24</f>
        <v>0.24</v>
      </c>
      <c r="E277" s="14">
        <f>+0.6%</f>
        <v>0.006</v>
      </c>
      <c r="F277" s="6">
        <v>39.91</v>
      </c>
      <c r="G277" s="6">
        <v>39.9</v>
      </c>
      <c r="H277" s="6">
        <v>40.3</v>
      </c>
      <c r="I277" s="9">
        <v>3.2092387E7</v>
      </c>
      <c r="J277" s="6">
        <v>1.29660592351E9</v>
      </c>
    </row>
    <row r="278">
      <c r="A278" s="4" t="s">
        <v>10</v>
      </c>
      <c r="B278" s="5">
        <v>42041.0</v>
      </c>
      <c r="C278" s="6">
        <v>39.58</v>
      </c>
      <c r="D278" s="11">
        <v>-0.69</v>
      </c>
      <c r="E278" s="12">
        <v>-0.017</v>
      </c>
      <c r="F278" s="6">
        <v>39.67</v>
      </c>
      <c r="G278" s="6">
        <v>39.47</v>
      </c>
      <c r="H278" s="6">
        <v>39.88</v>
      </c>
      <c r="I278" s="9">
        <v>6.4291989E7</v>
      </c>
      <c r="J278" s="6">
        <v>2.57079568615E9</v>
      </c>
    </row>
    <row r="279">
      <c r="A279" s="4" t="s">
        <v>10</v>
      </c>
      <c r="B279" s="5">
        <v>42044.0</v>
      </c>
      <c r="C279" s="6">
        <v>39.52</v>
      </c>
      <c r="D279" s="11">
        <v>-0.06</v>
      </c>
      <c r="E279" s="12">
        <v>-0.0015</v>
      </c>
      <c r="F279" s="6">
        <v>39.45</v>
      </c>
      <c r="G279" s="6">
        <v>39.44</v>
      </c>
      <c r="H279" s="6">
        <v>39.65</v>
      </c>
      <c r="I279" s="9">
        <v>3.5632498E7</v>
      </c>
      <c r="J279" s="6">
        <v>1.41720866626E9</v>
      </c>
    </row>
    <row r="280">
      <c r="A280" s="4" t="s">
        <v>10</v>
      </c>
      <c r="B280" s="5">
        <v>42045.0</v>
      </c>
      <c r="C280" s="6">
        <v>39.42</v>
      </c>
      <c r="D280" s="11">
        <v>-0.1</v>
      </c>
      <c r="E280" s="12">
        <v>-0.0025</v>
      </c>
      <c r="F280" s="6">
        <v>39.39</v>
      </c>
      <c r="G280" s="6">
        <v>39.26</v>
      </c>
      <c r="H280" s="6">
        <v>39.48</v>
      </c>
      <c r="I280" s="9">
        <v>4.6949411E7</v>
      </c>
      <c r="J280" s="6">
        <v>1.86008209561E9</v>
      </c>
    </row>
    <row r="281">
      <c r="A281" s="4" t="s">
        <v>10</v>
      </c>
      <c r="B281" s="5">
        <v>42046.0</v>
      </c>
      <c r="C281" s="6">
        <v>39.13</v>
      </c>
      <c r="D281" s="11">
        <v>-0.29</v>
      </c>
      <c r="E281" s="12">
        <v>-0.0073</v>
      </c>
      <c r="F281" s="6">
        <v>39.1</v>
      </c>
      <c r="G281" s="6">
        <v>38.87</v>
      </c>
      <c r="H281" s="6">
        <v>39.25</v>
      </c>
      <c r="I281" s="9">
        <v>4.424029E7</v>
      </c>
      <c r="J281" s="6">
        <v>1.73800551258E9</v>
      </c>
    </row>
    <row r="282">
      <c r="A282" s="4" t="s">
        <v>10</v>
      </c>
      <c r="B282" s="5">
        <v>42047.0</v>
      </c>
      <c r="C282" s="6">
        <v>39.97</v>
      </c>
      <c r="D282" s="13">
        <f>+0.83</f>
        <v>0.83</v>
      </c>
      <c r="E282" s="14">
        <f>+2.13%</f>
        <v>0.0213</v>
      </c>
      <c r="F282" s="6">
        <v>39.56</v>
      </c>
      <c r="G282" s="6">
        <v>39.53</v>
      </c>
      <c r="H282" s="6">
        <v>40.03</v>
      </c>
      <c r="I282" s="9">
        <v>5.585543E7</v>
      </c>
      <c r="J282" s="6">
        <v>2.23883103116E9</v>
      </c>
    </row>
    <row r="283">
      <c r="A283" s="4" t="s">
        <v>10</v>
      </c>
      <c r="B283" s="5">
        <v>42048.0</v>
      </c>
      <c r="C283" s="6">
        <v>40.43</v>
      </c>
      <c r="D283" s="13">
        <f>+0.46</f>
        <v>0.46</v>
      </c>
      <c r="E283" s="14">
        <f>+1.14%</f>
        <v>0.0114</v>
      </c>
      <c r="F283" s="6">
        <v>40.19</v>
      </c>
      <c r="G283" s="6">
        <v>40.19</v>
      </c>
      <c r="H283" s="6">
        <v>40.45</v>
      </c>
      <c r="I283" s="9">
        <v>4.464002E7</v>
      </c>
      <c r="J283" s="6">
        <v>1.81229112031E9</v>
      </c>
    </row>
    <row r="284">
      <c r="A284" s="4" t="s">
        <v>10</v>
      </c>
      <c r="B284" s="5">
        <v>42052.0</v>
      </c>
      <c r="C284" s="6">
        <v>40.34</v>
      </c>
      <c r="D284" s="11">
        <v>-0.09</v>
      </c>
      <c r="E284" s="12">
        <v>-0.0022</v>
      </c>
      <c r="F284" s="6">
        <v>40.31</v>
      </c>
      <c r="G284" s="6">
        <v>40.0</v>
      </c>
      <c r="H284" s="6">
        <v>40.36</v>
      </c>
      <c r="I284" s="9">
        <v>3.0152771E7</v>
      </c>
      <c r="J284" s="6">
        <v>1.22015684006E9</v>
      </c>
    </row>
    <row r="285">
      <c r="A285" s="4" t="s">
        <v>10</v>
      </c>
      <c r="B285" s="5">
        <v>42053.0</v>
      </c>
      <c r="C285" s="6">
        <v>40.33</v>
      </c>
      <c r="D285" s="11">
        <v>-0.01</v>
      </c>
      <c r="E285" s="12">
        <v>-2.0E-4</v>
      </c>
      <c r="F285" s="6">
        <v>40.14</v>
      </c>
      <c r="G285" s="6">
        <v>40.03</v>
      </c>
      <c r="H285" s="6">
        <v>40.4</v>
      </c>
      <c r="I285" s="9">
        <v>3.6036679E7</v>
      </c>
      <c r="J285" s="6">
        <v>1.45788214975E9</v>
      </c>
    </row>
    <row r="286">
      <c r="A286" s="4" t="s">
        <v>10</v>
      </c>
      <c r="B286" s="5">
        <v>42054.0</v>
      </c>
      <c r="C286" s="6">
        <v>40.16</v>
      </c>
      <c r="D286" s="11">
        <v>-0.17</v>
      </c>
      <c r="E286" s="12">
        <v>-0.0042</v>
      </c>
      <c r="F286" s="6">
        <v>40.0</v>
      </c>
      <c r="G286" s="6">
        <v>39.96</v>
      </c>
      <c r="H286" s="6">
        <v>40.37</v>
      </c>
      <c r="I286" s="9">
        <v>3.8785755E7</v>
      </c>
      <c r="J286" s="6">
        <v>1.56754109127E9</v>
      </c>
    </row>
    <row r="287">
      <c r="A287" s="4" t="s">
        <v>10</v>
      </c>
      <c r="B287" s="5">
        <v>42055.0</v>
      </c>
      <c r="C287" s="6">
        <v>40.43</v>
      </c>
      <c r="D287" s="13">
        <f>+0.27</f>
        <v>0.27</v>
      </c>
      <c r="E287" s="14">
        <f>+0.67%</f>
        <v>0.0067</v>
      </c>
      <c r="F287" s="6">
        <v>40.01</v>
      </c>
      <c r="G287" s="6">
        <v>39.92</v>
      </c>
      <c r="H287" s="6">
        <v>40.48</v>
      </c>
      <c r="I287" s="9">
        <v>3.2542663E7</v>
      </c>
      <c r="J287" s="6">
        <v>1.31838893336E9</v>
      </c>
    </row>
    <row r="288">
      <c r="A288" s="4" t="s">
        <v>10</v>
      </c>
      <c r="B288" s="5">
        <v>42058.0</v>
      </c>
      <c r="C288" s="6">
        <v>40.02</v>
      </c>
      <c r="D288" s="11">
        <v>-0.41</v>
      </c>
      <c r="E288" s="12">
        <v>-0.0101</v>
      </c>
      <c r="F288" s="6">
        <v>40.18</v>
      </c>
      <c r="G288" s="6">
        <v>39.93</v>
      </c>
      <c r="H288" s="6">
        <v>40.22</v>
      </c>
      <c r="I288" s="9">
        <v>3.4091726E7</v>
      </c>
      <c r="J288" s="6">
        <v>1.37314909226E9</v>
      </c>
    </row>
    <row r="289">
      <c r="A289" s="4" t="s">
        <v>10</v>
      </c>
      <c r="B289" s="5">
        <v>42059.0</v>
      </c>
      <c r="C289" s="6">
        <v>40.6</v>
      </c>
      <c r="D289" s="13">
        <f>+0.58</f>
        <v>0.58</v>
      </c>
      <c r="E289" s="14">
        <f>+1.44%</f>
        <v>0.0144</v>
      </c>
      <c r="F289" s="6">
        <v>40.24</v>
      </c>
      <c r="G289" s="6">
        <v>40.02</v>
      </c>
      <c r="H289" s="6">
        <v>40.71</v>
      </c>
      <c r="I289" s="9">
        <v>6.463053E7</v>
      </c>
      <c r="J289" s="6">
        <v>2.63189188997E9</v>
      </c>
    </row>
    <row r="290">
      <c r="A290" s="4" t="s">
        <v>10</v>
      </c>
      <c r="B290" s="5">
        <v>42060.0</v>
      </c>
      <c r="C290" s="6">
        <v>40.52</v>
      </c>
      <c r="D290" s="11">
        <v>-0.08</v>
      </c>
      <c r="E290" s="12">
        <v>-0.002</v>
      </c>
      <c r="F290" s="6">
        <v>40.48</v>
      </c>
      <c r="G290" s="6">
        <v>40.43</v>
      </c>
      <c r="H290" s="6">
        <v>40.62</v>
      </c>
      <c r="I290" s="9">
        <v>2.8592485E7</v>
      </c>
      <c r="J290" s="6">
        <v>1.16581500769E9</v>
      </c>
    </row>
    <row r="291">
      <c r="A291" s="4" t="s">
        <v>10</v>
      </c>
      <c r="B291" s="5">
        <v>42061.0</v>
      </c>
      <c r="C291" s="6">
        <v>40.53</v>
      </c>
      <c r="D291" s="13">
        <f>+0.01</f>
        <v>0.01</v>
      </c>
      <c r="E291" s="14">
        <f>+0.02%</f>
        <v>0.0002</v>
      </c>
      <c r="F291" s="6">
        <v>40.57</v>
      </c>
      <c r="G291" s="6">
        <v>40.46</v>
      </c>
      <c r="H291" s="6">
        <v>40.62</v>
      </c>
      <c r="I291" s="9">
        <v>2.5889805E7</v>
      </c>
      <c r="J291" s="6">
        <v>1.05564593455E9</v>
      </c>
    </row>
    <row r="292">
      <c r="A292" s="4" t="s">
        <v>10</v>
      </c>
      <c r="B292" s="5">
        <v>42062.0</v>
      </c>
      <c r="C292" s="6">
        <v>40.5</v>
      </c>
      <c r="D292" s="11">
        <v>-0.03</v>
      </c>
      <c r="E292" s="12">
        <v>-7.0E-4</v>
      </c>
      <c r="F292" s="6">
        <v>40.45</v>
      </c>
      <c r="G292" s="6">
        <v>40.45</v>
      </c>
      <c r="H292" s="6">
        <v>40.75</v>
      </c>
      <c r="I292" s="9">
        <v>4.3207622E7</v>
      </c>
      <c r="J292" s="6">
        <v>1.77335695617E9</v>
      </c>
    </row>
    <row r="293">
      <c r="A293" s="4" t="s">
        <v>10</v>
      </c>
      <c r="B293" s="5">
        <v>42065.0</v>
      </c>
      <c r="C293" s="6">
        <v>40.44</v>
      </c>
      <c r="D293" s="11">
        <v>-0.06</v>
      </c>
      <c r="E293" s="12">
        <v>-0.0015</v>
      </c>
      <c r="F293" s="6">
        <v>40.4</v>
      </c>
      <c r="G293" s="6">
        <v>40.29</v>
      </c>
      <c r="H293" s="6">
        <v>40.47</v>
      </c>
      <c r="I293" s="9">
        <v>3.6669942E7</v>
      </c>
      <c r="J293" s="6">
        <v>1.49039804176E9</v>
      </c>
    </row>
    <row r="294">
      <c r="A294" s="4" t="s">
        <v>10</v>
      </c>
      <c r="B294" s="5">
        <v>42066.0</v>
      </c>
      <c r="C294" s="6">
        <v>40.12</v>
      </c>
      <c r="D294" s="11">
        <v>-0.31</v>
      </c>
      <c r="E294" s="12">
        <v>-0.0077</v>
      </c>
      <c r="F294" s="6">
        <v>40.2</v>
      </c>
      <c r="G294" s="6">
        <v>40.11</v>
      </c>
      <c r="H294" s="6">
        <v>40.25</v>
      </c>
      <c r="I294" s="9">
        <v>4.0406088E7</v>
      </c>
      <c r="J294" s="6">
        <v>1.63278423987E9</v>
      </c>
    </row>
    <row r="295">
      <c r="A295" s="4" t="s">
        <v>10</v>
      </c>
      <c r="B295" s="5">
        <v>42067.0</v>
      </c>
      <c r="C295" s="6">
        <v>39.69</v>
      </c>
      <c r="D295" s="11">
        <v>-0.43</v>
      </c>
      <c r="E295" s="12">
        <v>-0.0108</v>
      </c>
      <c r="F295" s="6">
        <v>39.81</v>
      </c>
      <c r="G295" s="6">
        <v>39.52</v>
      </c>
      <c r="H295" s="6">
        <v>39.83</v>
      </c>
      <c r="I295" s="9">
        <v>5.1564422E7</v>
      </c>
      <c r="J295" s="6">
        <v>2.05925530519E9</v>
      </c>
    </row>
    <row r="296">
      <c r="A296" s="4" t="s">
        <v>10</v>
      </c>
      <c r="B296" s="5">
        <v>42068.0</v>
      </c>
      <c r="C296" s="6">
        <v>39.63</v>
      </c>
      <c r="D296" s="11">
        <v>-0.06</v>
      </c>
      <c r="E296" s="12">
        <v>-0.0015</v>
      </c>
      <c r="F296" s="6">
        <v>39.76</v>
      </c>
      <c r="G296" s="6">
        <v>39.5</v>
      </c>
      <c r="H296" s="6">
        <v>39.83</v>
      </c>
      <c r="I296" s="9">
        <v>3.3714036E7</v>
      </c>
      <c r="J296" s="6">
        <v>1.34554128943E9</v>
      </c>
    </row>
    <row r="297">
      <c r="A297" s="4" t="s">
        <v>10</v>
      </c>
      <c r="B297" s="5">
        <v>42069.0</v>
      </c>
      <c r="C297" s="6">
        <v>39.02</v>
      </c>
      <c r="D297" s="11">
        <v>-0.61</v>
      </c>
      <c r="E297" s="12">
        <v>-0.0153</v>
      </c>
      <c r="F297" s="6">
        <v>39.3</v>
      </c>
      <c r="G297" s="6">
        <v>38.94</v>
      </c>
      <c r="H297" s="6">
        <v>39.38</v>
      </c>
      <c r="I297" s="9">
        <v>7.2516867E7</v>
      </c>
      <c r="J297" s="6">
        <v>2.864967737E9</v>
      </c>
    </row>
    <row r="298">
      <c r="A298" s="4" t="s">
        <v>10</v>
      </c>
      <c r="B298" s="5">
        <v>42072.0</v>
      </c>
      <c r="C298" s="6">
        <v>38.88</v>
      </c>
      <c r="D298" s="11">
        <v>-0.15</v>
      </c>
      <c r="E298" s="12">
        <v>-0.0038</v>
      </c>
      <c r="F298" s="6">
        <v>39.0</v>
      </c>
      <c r="G298" s="6">
        <v>38.88</v>
      </c>
      <c r="H298" s="6">
        <v>39.03</v>
      </c>
      <c r="I298" s="9">
        <v>3.4915606E7</v>
      </c>
      <c r="J298" s="6">
        <v>1.36831551475E9</v>
      </c>
    </row>
    <row r="299">
      <c r="A299" s="4" t="s">
        <v>10</v>
      </c>
      <c r="B299" s="5">
        <v>42073.0</v>
      </c>
      <c r="C299" s="6">
        <v>38.01</v>
      </c>
      <c r="D299" s="11">
        <v>-0.86</v>
      </c>
      <c r="E299" s="12">
        <v>-0.0222</v>
      </c>
      <c r="F299" s="6">
        <v>38.29</v>
      </c>
      <c r="G299" s="6">
        <v>37.99</v>
      </c>
      <c r="H299" s="6">
        <v>38.32</v>
      </c>
      <c r="I299" s="9">
        <v>8.4229634E7</v>
      </c>
      <c r="J299" s="6">
        <v>3.48770812382E9</v>
      </c>
    </row>
    <row r="300">
      <c r="A300" s="4" t="s">
        <v>10</v>
      </c>
      <c r="B300" s="5">
        <v>42074.0</v>
      </c>
      <c r="C300" s="6">
        <v>38.3</v>
      </c>
      <c r="D300" s="13">
        <f>+0.29</f>
        <v>0.29</v>
      </c>
      <c r="E300" s="14">
        <f>+0.76%</f>
        <v>0.0076</v>
      </c>
      <c r="F300" s="6">
        <v>38.24</v>
      </c>
      <c r="G300" s="6">
        <v>38.13</v>
      </c>
      <c r="H300" s="6">
        <v>38.37</v>
      </c>
      <c r="I300" s="9">
        <v>4.7978744E7</v>
      </c>
      <c r="J300" s="6">
        <v>1.84698424964E9</v>
      </c>
    </row>
    <row r="301">
      <c r="A301" s="4" t="s">
        <v>10</v>
      </c>
      <c r="B301" s="5">
        <v>42075.0</v>
      </c>
      <c r="C301" s="6">
        <v>38.54</v>
      </c>
      <c r="D301" s="13">
        <f>+0.24</f>
        <v>0.24</v>
      </c>
      <c r="E301" s="14">
        <f>+0.62%</f>
        <v>0.0062</v>
      </c>
      <c r="F301" s="6">
        <v>38.81</v>
      </c>
      <c r="G301" s="6">
        <v>38.47</v>
      </c>
      <c r="H301" s="6">
        <v>38.85</v>
      </c>
      <c r="I301" s="9">
        <v>4.6829691E7</v>
      </c>
      <c r="J301" s="6">
        <v>1.81319326515E9</v>
      </c>
    </row>
    <row r="302">
      <c r="A302" s="4" t="s">
        <v>10</v>
      </c>
      <c r="B302" s="5">
        <v>42076.0</v>
      </c>
      <c r="C302" s="6">
        <v>38.07</v>
      </c>
      <c r="D302" s="11">
        <v>-0.47</v>
      </c>
      <c r="E302" s="12">
        <v>-0.0121</v>
      </c>
      <c r="F302" s="6">
        <v>38.24</v>
      </c>
      <c r="G302" s="6">
        <v>37.84</v>
      </c>
      <c r="H302" s="6">
        <v>38.24</v>
      </c>
      <c r="I302" s="9">
        <v>6.9885193E7</v>
      </c>
      <c r="J302" s="6">
        <v>2.76564330794E9</v>
      </c>
    </row>
    <row r="303">
      <c r="A303" s="4" t="s">
        <v>10</v>
      </c>
      <c r="B303" s="5">
        <v>42079.0</v>
      </c>
      <c r="C303" s="6">
        <v>38.53</v>
      </c>
      <c r="D303" s="13">
        <f>+0.46</f>
        <v>0.46</v>
      </c>
      <c r="E303" s="14">
        <f>+1.2%</f>
        <v>0.012</v>
      </c>
      <c r="F303" s="6">
        <v>38.45</v>
      </c>
      <c r="G303" s="6">
        <v>38.36</v>
      </c>
      <c r="H303" s="6">
        <v>38.57</v>
      </c>
      <c r="I303" s="9">
        <v>5.0569897E7</v>
      </c>
      <c r="J303" s="6">
        <v>1.95807042044E9</v>
      </c>
    </row>
    <row r="304">
      <c r="A304" s="4" t="s">
        <v>10</v>
      </c>
      <c r="B304" s="5">
        <v>42080.0</v>
      </c>
      <c r="C304" s="6">
        <v>38.97</v>
      </c>
      <c r="D304" s="13">
        <f>+0.45</f>
        <v>0.45</v>
      </c>
      <c r="E304" s="14">
        <f>+1.16%</f>
        <v>0.0116</v>
      </c>
      <c r="F304" s="6">
        <v>38.57</v>
      </c>
      <c r="G304" s="6">
        <v>38.53</v>
      </c>
      <c r="H304" s="6">
        <v>38.99</v>
      </c>
      <c r="I304" s="9">
        <v>5.3697707E7</v>
      </c>
      <c r="J304" s="6">
        <v>2.09490937454E9</v>
      </c>
    </row>
    <row r="305">
      <c r="A305" s="4" t="s">
        <v>10</v>
      </c>
      <c r="B305" s="5">
        <v>42081.0</v>
      </c>
      <c r="C305" s="6">
        <v>39.93</v>
      </c>
      <c r="D305" s="13">
        <f>+0.95</f>
        <v>0.95</v>
      </c>
      <c r="E305" s="14">
        <f>+2.45%</f>
        <v>0.0245</v>
      </c>
      <c r="F305" s="6">
        <v>38.89</v>
      </c>
      <c r="G305" s="6">
        <v>38.81</v>
      </c>
      <c r="H305" s="6">
        <v>40.06</v>
      </c>
      <c r="I305" s="9">
        <v>1.01688185E8</v>
      </c>
      <c r="J305" s="6">
        <v>4.07429147748E9</v>
      </c>
    </row>
    <row r="306">
      <c r="A306" s="4" t="s">
        <v>10</v>
      </c>
      <c r="B306" s="5">
        <v>42082.0</v>
      </c>
      <c r="C306" s="6">
        <v>39.25</v>
      </c>
      <c r="D306" s="11">
        <v>-0.68</v>
      </c>
      <c r="E306" s="12">
        <v>-0.0169</v>
      </c>
      <c r="F306" s="6">
        <v>39.56</v>
      </c>
      <c r="G306" s="6">
        <v>39.13</v>
      </c>
      <c r="H306" s="6">
        <v>39.57</v>
      </c>
      <c r="I306" s="9">
        <v>6.4499905E7</v>
      </c>
      <c r="J306" s="6">
        <v>2.55066402336E9</v>
      </c>
    </row>
    <row r="307">
      <c r="A307" s="4" t="s">
        <v>10</v>
      </c>
      <c r="B307" s="5">
        <v>42083.0</v>
      </c>
      <c r="C307" s="6">
        <v>39.84</v>
      </c>
      <c r="D307" s="13">
        <f>+0.59</f>
        <v>0.59</v>
      </c>
      <c r="E307" s="14">
        <f>+1.49%</f>
        <v>0.0149</v>
      </c>
      <c r="F307" s="6">
        <v>39.63</v>
      </c>
      <c r="G307" s="6">
        <v>39.6</v>
      </c>
      <c r="H307" s="6">
        <v>39.93</v>
      </c>
      <c r="I307" s="9">
        <v>6.7345317E7</v>
      </c>
      <c r="J307" s="6">
        <v>2.73581597082E9</v>
      </c>
    </row>
    <row r="308">
      <c r="A308" s="4" t="s">
        <v>10</v>
      </c>
      <c r="B308" s="5">
        <v>42086.0</v>
      </c>
      <c r="C308" s="6">
        <v>39.96</v>
      </c>
      <c r="D308" s="13">
        <f>+0.12</f>
        <v>0.12</v>
      </c>
      <c r="E308" s="14">
        <f>+0.3%</f>
        <v>0.003</v>
      </c>
      <c r="F308" s="6">
        <v>39.92</v>
      </c>
      <c r="G308" s="6">
        <v>39.76</v>
      </c>
      <c r="H308" s="6">
        <v>40.03</v>
      </c>
      <c r="I308" s="9">
        <v>3.5502717E7</v>
      </c>
      <c r="J308" s="6">
        <v>1.42523507295E9</v>
      </c>
    </row>
    <row r="309">
      <c r="A309" s="4" t="s">
        <v>10</v>
      </c>
      <c r="B309" s="5">
        <v>42087.0</v>
      </c>
      <c r="C309" s="6">
        <v>40.12</v>
      </c>
      <c r="D309" s="13">
        <f>+0.16</f>
        <v>0.16</v>
      </c>
      <c r="E309" s="14">
        <f>+0.4%</f>
        <v>0.004</v>
      </c>
      <c r="F309" s="6">
        <v>40.01</v>
      </c>
      <c r="G309" s="6">
        <v>39.96</v>
      </c>
      <c r="H309" s="6">
        <v>40.14</v>
      </c>
      <c r="I309" s="9">
        <v>4.5280301E7</v>
      </c>
      <c r="J309" s="6">
        <v>1.82529812532E9</v>
      </c>
    </row>
    <row r="310">
      <c r="A310" s="4" t="s">
        <v>10</v>
      </c>
      <c r="B310" s="5">
        <v>42088.0</v>
      </c>
      <c r="C310" s="6">
        <v>39.48</v>
      </c>
      <c r="D310" s="11">
        <v>-0.64</v>
      </c>
      <c r="E310" s="12">
        <v>-0.0159</v>
      </c>
      <c r="F310" s="6">
        <v>40.11</v>
      </c>
      <c r="G310" s="6">
        <v>39.45</v>
      </c>
      <c r="H310" s="6">
        <v>40.15</v>
      </c>
      <c r="I310" s="9">
        <v>4.977987E7</v>
      </c>
      <c r="J310" s="6">
        <v>1.98884471187E9</v>
      </c>
    </row>
    <row r="311">
      <c r="A311" s="4" t="s">
        <v>10</v>
      </c>
      <c r="B311" s="5">
        <v>42089.0</v>
      </c>
      <c r="C311" s="6">
        <v>39.11</v>
      </c>
      <c r="D311" s="11">
        <v>-0.37</v>
      </c>
      <c r="E311" s="12">
        <v>-0.0093</v>
      </c>
      <c r="F311" s="6">
        <v>39.29</v>
      </c>
      <c r="G311" s="6">
        <v>38.96</v>
      </c>
      <c r="H311" s="6">
        <v>39.33</v>
      </c>
      <c r="I311" s="9">
        <v>7.6980147E7</v>
      </c>
      <c r="J311" s="6">
        <v>3.03212154036E9</v>
      </c>
    </row>
    <row r="312">
      <c r="A312" s="4" t="s">
        <v>10</v>
      </c>
      <c r="B312" s="5">
        <v>42090.0</v>
      </c>
      <c r="C312" s="6">
        <v>39.22</v>
      </c>
      <c r="D312" s="13">
        <f>+0.11</f>
        <v>0.11</v>
      </c>
      <c r="E312" s="14">
        <f>+0.28%</f>
        <v>0.0028</v>
      </c>
      <c r="F312" s="6">
        <v>39.12</v>
      </c>
      <c r="G312" s="6">
        <v>39.04</v>
      </c>
      <c r="H312" s="6">
        <v>39.26</v>
      </c>
      <c r="I312" s="9">
        <v>4.2211959E7</v>
      </c>
      <c r="J312" s="6">
        <v>1.66354029899E9</v>
      </c>
    </row>
    <row r="313">
      <c r="A313" s="4" t="s">
        <v>10</v>
      </c>
      <c r="B313" s="5">
        <v>42093.0</v>
      </c>
      <c r="C313" s="6">
        <v>39.98</v>
      </c>
      <c r="D313" s="13">
        <f>+0.76</f>
        <v>0.76</v>
      </c>
      <c r="E313" s="14">
        <f>+1.93%</f>
        <v>0.0193</v>
      </c>
      <c r="F313" s="6">
        <v>39.68</v>
      </c>
      <c r="G313" s="6">
        <v>39.66</v>
      </c>
      <c r="H313" s="6">
        <v>40.06</v>
      </c>
      <c r="I313" s="9">
        <v>5.1535681E7</v>
      </c>
      <c r="J313" s="6">
        <v>2.06882226301E9</v>
      </c>
    </row>
    <row r="314">
      <c r="A314" s="4" t="s">
        <v>10</v>
      </c>
      <c r="B314" s="5">
        <v>42094.0</v>
      </c>
      <c r="C314" s="6">
        <v>39.89</v>
      </c>
      <c r="D314" s="11">
        <v>-0.09</v>
      </c>
      <c r="E314" s="12">
        <v>-0.0022</v>
      </c>
      <c r="F314" s="6">
        <v>39.73</v>
      </c>
      <c r="G314" s="6">
        <v>39.61</v>
      </c>
      <c r="H314" s="6">
        <v>39.95</v>
      </c>
      <c r="I314" s="9">
        <v>4.7508781E7</v>
      </c>
      <c r="J314" s="6">
        <v>1.90398131566E9</v>
      </c>
    </row>
    <row r="315">
      <c r="A315" s="4" t="s">
        <v>10</v>
      </c>
      <c r="B315" s="5">
        <v>42095.0</v>
      </c>
      <c r="C315" s="6">
        <v>40.39</v>
      </c>
      <c r="D315" s="13">
        <f>+0.5</f>
        <v>0.5</v>
      </c>
      <c r="E315" s="14">
        <f>+1.25%</f>
        <v>0.0125</v>
      </c>
      <c r="F315" s="6">
        <v>40.21</v>
      </c>
      <c r="G315" s="6">
        <v>40.12</v>
      </c>
      <c r="H315" s="6">
        <v>40.44</v>
      </c>
      <c r="I315" s="9">
        <v>5.6392696E7</v>
      </c>
      <c r="J315" s="6">
        <v>2.29247978429E9</v>
      </c>
    </row>
    <row r="316">
      <c r="A316" s="4" t="s">
        <v>10</v>
      </c>
      <c r="B316" s="5">
        <v>42096.0</v>
      </c>
      <c r="C316" s="6">
        <v>40.99</v>
      </c>
      <c r="D316" s="13">
        <f>+0.61</f>
        <v>0.61</v>
      </c>
      <c r="E316" s="14">
        <f>+1.5%</f>
        <v>0.015</v>
      </c>
      <c r="F316" s="6">
        <v>40.73</v>
      </c>
      <c r="G316" s="6">
        <v>40.65</v>
      </c>
      <c r="H316" s="6">
        <v>41.09</v>
      </c>
      <c r="I316" s="9">
        <v>6.2389157E7</v>
      </c>
      <c r="J316" s="6">
        <v>2.56912589888E9</v>
      </c>
    </row>
    <row r="317">
      <c r="A317" s="4" t="s">
        <v>10</v>
      </c>
      <c r="B317" s="5">
        <v>42100.0</v>
      </c>
      <c r="C317" s="6">
        <v>41.52</v>
      </c>
      <c r="D317" s="13">
        <f>+0.53</f>
        <v>0.53</v>
      </c>
      <c r="E317" s="14">
        <f>+1.29%</f>
        <v>0.0129</v>
      </c>
      <c r="F317" s="6">
        <v>41.38</v>
      </c>
      <c r="G317" s="6">
        <v>41.34</v>
      </c>
      <c r="H317" s="6">
        <v>41.75</v>
      </c>
      <c r="I317" s="9">
        <v>5.4678351E7</v>
      </c>
      <c r="J317" s="6">
        <v>2.28783498087E9</v>
      </c>
    </row>
    <row r="318">
      <c r="A318" s="4" t="s">
        <v>10</v>
      </c>
      <c r="B318" s="5">
        <v>42101.0</v>
      </c>
      <c r="C318" s="6">
        <v>41.31</v>
      </c>
      <c r="D318" s="11">
        <v>-0.21</v>
      </c>
      <c r="E318" s="12">
        <v>-0.005</v>
      </c>
      <c r="F318" s="6">
        <v>41.43</v>
      </c>
      <c r="G318" s="6">
        <v>41.3</v>
      </c>
      <c r="H318" s="6">
        <v>41.55</v>
      </c>
      <c r="I318" s="9">
        <v>3.3279469E7</v>
      </c>
      <c r="J318" s="6">
        <v>1.38655424439E9</v>
      </c>
    </row>
    <row r="319">
      <c r="A319" s="4" t="s">
        <v>10</v>
      </c>
      <c r="B319" s="5">
        <v>42102.0</v>
      </c>
      <c r="C319" s="6">
        <v>42.18</v>
      </c>
      <c r="D319" s="13">
        <f>+0.86</f>
        <v>0.86</v>
      </c>
      <c r="E319" s="14">
        <f>+2.09%</f>
        <v>0.0209</v>
      </c>
      <c r="F319" s="6">
        <v>42.27</v>
      </c>
      <c r="G319" s="6">
        <v>41.94</v>
      </c>
      <c r="H319" s="6">
        <v>42.33</v>
      </c>
      <c r="I319" s="9">
        <v>6.5023086E7</v>
      </c>
      <c r="J319" s="6">
        <v>2.87298542845E9</v>
      </c>
    </row>
    <row r="320">
      <c r="A320" s="4" t="s">
        <v>10</v>
      </c>
      <c r="B320" s="5">
        <v>42103.0</v>
      </c>
      <c r="C320" s="6">
        <v>42.59</v>
      </c>
      <c r="D320" s="13">
        <f>+0.42</f>
        <v>0.42</v>
      </c>
      <c r="E320" s="14">
        <f>+0.99%</f>
        <v>0.0099</v>
      </c>
      <c r="F320" s="6">
        <v>42.42</v>
      </c>
      <c r="G320" s="6">
        <v>42.27</v>
      </c>
      <c r="H320" s="6">
        <v>42.61</v>
      </c>
      <c r="I320" s="9">
        <v>5.2128782E7</v>
      </c>
      <c r="J320" s="6">
        <v>2.23916744886E9</v>
      </c>
    </row>
    <row r="321">
      <c r="A321" s="4" t="s">
        <v>10</v>
      </c>
      <c r="B321" s="5">
        <v>42104.0</v>
      </c>
      <c r="C321" s="6">
        <v>42.62</v>
      </c>
      <c r="D321" s="13">
        <f>+0.03</f>
        <v>0.03</v>
      </c>
      <c r="E321" s="14">
        <f>+0.07%</f>
        <v>0.0007</v>
      </c>
      <c r="F321" s="6">
        <v>42.4</v>
      </c>
      <c r="G321" s="6">
        <v>42.37</v>
      </c>
      <c r="H321" s="6">
        <v>42.63</v>
      </c>
      <c r="I321" s="9">
        <v>4.9898997E7</v>
      </c>
      <c r="J321" s="6">
        <v>2.14394214378E9</v>
      </c>
    </row>
    <row r="322">
      <c r="A322" s="4" t="s">
        <v>10</v>
      </c>
      <c r="B322" s="5">
        <v>42107.0</v>
      </c>
      <c r="C322" s="6">
        <v>42.37</v>
      </c>
      <c r="D322" s="11">
        <v>-0.25</v>
      </c>
      <c r="E322" s="12">
        <v>-0.0058</v>
      </c>
      <c r="F322" s="6">
        <v>42.7</v>
      </c>
      <c r="G322" s="6">
        <v>42.35</v>
      </c>
      <c r="H322" s="6">
        <v>42.85</v>
      </c>
      <c r="I322" s="9">
        <v>5.5031113E7</v>
      </c>
      <c r="J322" s="6">
        <v>2.35653952442E9</v>
      </c>
    </row>
    <row r="323">
      <c r="A323" s="4" t="s">
        <v>10</v>
      </c>
      <c r="B323" s="5">
        <v>42108.0</v>
      </c>
      <c r="C323" s="6">
        <v>42.56</v>
      </c>
      <c r="D323" s="13">
        <f>+0.19</f>
        <v>0.19</v>
      </c>
      <c r="E323" s="14">
        <f>+0.45%</f>
        <v>0.0045</v>
      </c>
      <c r="F323" s="6">
        <v>42.47</v>
      </c>
      <c r="G323" s="6">
        <v>42.28</v>
      </c>
      <c r="H323" s="6">
        <v>42.65</v>
      </c>
      <c r="I323" s="9">
        <v>4.2601075E7</v>
      </c>
      <c r="J323" s="6">
        <v>1.91512894757E9</v>
      </c>
    </row>
    <row r="324">
      <c r="A324" s="4" t="s">
        <v>10</v>
      </c>
      <c r="B324" s="5">
        <v>42109.0</v>
      </c>
      <c r="C324" s="6">
        <v>42.86</v>
      </c>
      <c r="D324" s="13">
        <f>+0.3</f>
        <v>0.3</v>
      </c>
      <c r="E324" s="14">
        <f>+0.7%</f>
        <v>0.007</v>
      </c>
      <c r="F324" s="6">
        <v>42.55</v>
      </c>
      <c r="G324" s="6">
        <v>42.47</v>
      </c>
      <c r="H324" s="6">
        <v>42.88</v>
      </c>
      <c r="I324" s="9">
        <v>4.0254654E7</v>
      </c>
      <c r="J324" s="6">
        <v>1.73154723966E9</v>
      </c>
    </row>
    <row r="325">
      <c r="A325" s="4" t="s">
        <v>10</v>
      </c>
      <c r="B325" s="5">
        <v>42110.0</v>
      </c>
      <c r="C325" s="6">
        <v>43.2</v>
      </c>
      <c r="D325" s="13">
        <f>+0.34</f>
        <v>0.34</v>
      </c>
      <c r="E325" s="14">
        <f>+0.79%</f>
        <v>0.0079</v>
      </c>
      <c r="F325" s="6">
        <v>42.98</v>
      </c>
      <c r="G325" s="6">
        <v>42.91</v>
      </c>
      <c r="H325" s="6">
        <v>43.45</v>
      </c>
      <c r="I325" s="9">
        <v>5.5057686E7</v>
      </c>
      <c r="J325" s="6">
        <v>2.39120259154E9</v>
      </c>
    </row>
    <row r="326">
      <c r="A326" s="4" t="s">
        <v>10</v>
      </c>
      <c r="B326" s="5">
        <v>42111.0</v>
      </c>
      <c r="C326" s="6">
        <v>42.44</v>
      </c>
      <c r="D326" s="11">
        <v>-0.76</v>
      </c>
      <c r="E326" s="12">
        <v>-0.0175</v>
      </c>
      <c r="F326" s="6">
        <v>42.29</v>
      </c>
      <c r="G326" s="6">
        <v>42.19</v>
      </c>
      <c r="H326" s="6">
        <v>42.51</v>
      </c>
      <c r="I326" s="9">
        <v>7.6687966E7</v>
      </c>
      <c r="J326" s="6">
        <v>3.28203230592E9</v>
      </c>
    </row>
    <row r="327">
      <c r="A327" s="4" t="s">
        <v>10</v>
      </c>
      <c r="B327" s="5">
        <v>42114.0</v>
      </c>
      <c r="C327" s="6">
        <v>42.4</v>
      </c>
      <c r="D327" s="11">
        <v>-0.04</v>
      </c>
      <c r="E327" s="12">
        <v>-9.0E-4</v>
      </c>
      <c r="F327" s="6">
        <v>42.39</v>
      </c>
      <c r="G327" s="6">
        <v>42.36</v>
      </c>
      <c r="H327" s="6">
        <v>42.53</v>
      </c>
      <c r="I327" s="9">
        <v>2.881127E7</v>
      </c>
      <c r="J327" s="6">
        <v>1.22994509476E9</v>
      </c>
    </row>
    <row r="328">
      <c r="A328" s="4" t="s">
        <v>10</v>
      </c>
      <c r="B328" s="5">
        <v>42115.0</v>
      </c>
      <c r="C328" s="6">
        <v>42.65</v>
      </c>
      <c r="D328" s="13">
        <f>+0.25</f>
        <v>0.25</v>
      </c>
      <c r="E328" s="14">
        <f>+0.59%</f>
        <v>0.0059</v>
      </c>
      <c r="F328" s="6">
        <v>42.76</v>
      </c>
      <c r="G328" s="6">
        <v>42.63</v>
      </c>
      <c r="H328" s="6">
        <v>42.85</v>
      </c>
      <c r="I328" s="9">
        <v>3.3309127E7</v>
      </c>
      <c r="J328" s="6">
        <v>1.43254637835E9</v>
      </c>
    </row>
    <row r="329">
      <c r="A329" s="4" t="s">
        <v>10</v>
      </c>
      <c r="B329" s="5">
        <v>42116.0</v>
      </c>
      <c r="C329" s="6">
        <v>43.11</v>
      </c>
      <c r="D329" s="13">
        <f>+0.46</f>
        <v>0.46</v>
      </c>
      <c r="E329" s="14">
        <f>+1.07%</f>
        <v>0.0107</v>
      </c>
      <c r="F329" s="6">
        <v>42.94</v>
      </c>
      <c r="G329" s="6">
        <v>42.83</v>
      </c>
      <c r="H329" s="6">
        <v>43.15</v>
      </c>
      <c r="I329" s="9">
        <v>2.927187E7</v>
      </c>
      <c r="J329" s="6">
        <v>1.27010184053E9</v>
      </c>
    </row>
    <row r="330">
      <c r="A330" s="4" t="s">
        <v>10</v>
      </c>
      <c r="B330" s="5">
        <v>42117.0</v>
      </c>
      <c r="C330" s="6">
        <v>43.43</v>
      </c>
      <c r="D330" s="13">
        <f>+0.32</f>
        <v>0.32</v>
      </c>
      <c r="E330" s="14">
        <f>+0.74%</f>
        <v>0.0074</v>
      </c>
      <c r="F330" s="6">
        <v>43.0</v>
      </c>
      <c r="G330" s="6">
        <v>42.98</v>
      </c>
      <c r="H330" s="6">
        <v>43.53</v>
      </c>
      <c r="I330" s="9">
        <v>3.2056529E7</v>
      </c>
      <c r="J330" s="6">
        <v>1.40070967114E9</v>
      </c>
    </row>
    <row r="331">
      <c r="A331" s="4" t="s">
        <v>10</v>
      </c>
      <c r="B331" s="5">
        <v>42118.0</v>
      </c>
      <c r="C331" s="6">
        <v>43.58</v>
      </c>
      <c r="D331" s="13">
        <f>+0.15</f>
        <v>0.15</v>
      </c>
      <c r="E331" s="14">
        <f>+0.35%</f>
        <v>0.0035</v>
      </c>
      <c r="F331" s="6">
        <v>43.61</v>
      </c>
      <c r="G331" s="6">
        <v>43.52</v>
      </c>
      <c r="H331" s="6">
        <v>43.64</v>
      </c>
      <c r="I331" s="9">
        <v>4.4030105E7</v>
      </c>
      <c r="J331" s="6">
        <v>1.92972469938E9</v>
      </c>
    </row>
    <row r="332">
      <c r="A332" s="4" t="s">
        <v>10</v>
      </c>
      <c r="B332" s="5">
        <v>42121.0</v>
      </c>
      <c r="C332" s="6">
        <v>43.76</v>
      </c>
      <c r="D332" s="13">
        <f>+0.17</f>
        <v>0.17</v>
      </c>
      <c r="E332" s="14">
        <f>+0.4%</f>
        <v>0.004</v>
      </c>
      <c r="F332" s="6">
        <v>43.76</v>
      </c>
      <c r="G332" s="6">
        <v>43.67</v>
      </c>
      <c r="H332" s="6">
        <v>43.86</v>
      </c>
      <c r="I332" s="9">
        <v>4.1819295E7</v>
      </c>
      <c r="J332" s="6">
        <v>1.84096011775E9</v>
      </c>
    </row>
    <row r="333">
      <c r="A333" s="4" t="s">
        <v>10</v>
      </c>
      <c r="B333" s="5">
        <v>42122.0</v>
      </c>
      <c r="C333" s="6">
        <v>43.83</v>
      </c>
      <c r="D333" s="13">
        <f>+0.07</f>
        <v>0.07</v>
      </c>
      <c r="E333" s="14">
        <f>+0.16%</f>
        <v>0.0016</v>
      </c>
      <c r="F333" s="6">
        <v>43.78</v>
      </c>
      <c r="G333" s="6">
        <v>43.63</v>
      </c>
      <c r="H333" s="6">
        <v>43.92</v>
      </c>
      <c r="I333" s="9">
        <v>3.2442123E7</v>
      </c>
      <c r="J333" s="6">
        <v>1.42907345296E9</v>
      </c>
    </row>
    <row r="334">
      <c r="A334" s="4" t="s">
        <v>10</v>
      </c>
      <c r="B334" s="5">
        <v>42123.0</v>
      </c>
      <c r="C334" s="6">
        <v>43.28</v>
      </c>
      <c r="D334" s="11">
        <v>-0.55</v>
      </c>
      <c r="E334" s="12">
        <v>-0.0125</v>
      </c>
      <c r="F334" s="6">
        <v>43.39</v>
      </c>
      <c r="G334" s="6">
        <v>43.16</v>
      </c>
      <c r="H334" s="6">
        <v>43.51</v>
      </c>
      <c r="I334" s="9">
        <v>4.575288E7</v>
      </c>
      <c r="J334" s="6">
        <v>1.99565101438E9</v>
      </c>
    </row>
    <row r="335">
      <c r="A335" s="4" t="s">
        <v>10</v>
      </c>
      <c r="B335" s="5">
        <v>42124.0</v>
      </c>
      <c r="C335" s="6">
        <v>42.62</v>
      </c>
      <c r="D335" s="11">
        <v>-0.66</v>
      </c>
      <c r="E335" s="12">
        <v>-0.0152</v>
      </c>
      <c r="F335" s="6">
        <v>42.93</v>
      </c>
      <c r="G335" s="6">
        <v>42.61</v>
      </c>
      <c r="H335" s="6">
        <v>42.94</v>
      </c>
      <c r="I335" s="9">
        <v>9.8330169E7</v>
      </c>
      <c r="J335" s="6">
        <v>4.23334650456E9</v>
      </c>
    </row>
    <row r="336">
      <c r="A336" s="4" t="s">
        <v>10</v>
      </c>
      <c r="B336" s="5">
        <v>42125.0</v>
      </c>
      <c r="C336" s="6">
        <v>42.88</v>
      </c>
      <c r="D336" s="13">
        <f>+0.26</f>
        <v>0.26</v>
      </c>
      <c r="E336" s="14">
        <f>+0.61%</f>
        <v>0.0061</v>
      </c>
      <c r="F336" s="6">
        <v>42.83</v>
      </c>
      <c r="G336" s="6">
        <v>42.61</v>
      </c>
      <c r="H336" s="6">
        <v>43.0</v>
      </c>
      <c r="I336" s="9">
        <v>4.4928908E7</v>
      </c>
      <c r="J336" s="6">
        <v>1.938252658E9</v>
      </c>
    </row>
    <row r="337">
      <c r="A337" s="4" t="s">
        <v>10</v>
      </c>
      <c r="B337" s="5">
        <v>42128.0</v>
      </c>
      <c r="C337" s="6">
        <v>43.13</v>
      </c>
      <c r="D337" s="13">
        <f>+0.25</f>
        <v>0.25</v>
      </c>
      <c r="E337" s="14">
        <f>+0.58%</f>
        <v>0.0058</v>
      </c>
      <c r="F337" s="6">
        <v>42.9</v>
      </c>
      <c r="G337" s="6">
        <v>42.88</v>
      </c>
      <c r="H337" s="6">
        <v>43.2</v>
      </c>
      <c r="I337" s="9">
        <v>3.1314266E7</v>
      </c>
      <c r="J337" s="6">
        <v>1.35722252251E9</v>
      </c>
    </row>
    <row r="338">
      <c r="A338" s="4" t="s">
        <v>10</v>
      </c>
      <c r="B338" s="5">
        <v>42129.0</v>
      </c>
      <c r="C338" s="6">
        <v>42.66</v>
      </c>
      <c r="D338" s="11">
        <v>-0.47</v>
      </c>
      <c r="E338" s="12">
        <v>-0.0108</v>
      </c>
      <c r="F338" s="6">
        <v>42.93</v>
      </c>
      <c r="G338" s="6">
        <v>42.65</v>
      </c>
      <c r="H338" s="6">
        <v>42.99</v>
      </c>
      <c r="I338" s="9">
        <v>3.8738669E7</v>
      </c>
      <c r="J338" s="6">
        <v>1.66873603507E9</v>
      </c>
    </row>
    <row r="339">
      <c r="A339" s="4" t="s">
        <v>10</v>
      </c>
      <c r="B339" s="5">
        <v>42130.0</v>
      </c>
      <c r="C339" s="6">
        <v>42.14</v>
      </c>
      <c r="D339" s="11">
        <v>-0.53</v>
      </c>
      <c r="E339" s="12">
        <v>-0.0123</v>
      </c>
      <c r="F339" s="6">
        <v>42.72</v>
      </c>
      <c r="G339" s="6">
        <v>42.06</v>
      </c>
      <c r="H339" s="6">
        <v>42.76</v>
      </c>
      <c r="I339" s="9">
        <v>5.2439672E7</v>
      </c>
      <c r="J339" s="6">
        <v>2.2321609674E9</v>
      </c>
    </row>
    <row r="340">
      <c r="A340" s="4" t="s">
        <v>10</v>
      </c>
      <c r="B340" s="5">
        <v>42131.0</v>
      </c>
      <c r="C340" s="6">
        <v>42.08</v>
      </c>
      <c r="D340" s="11">
        <v>-0.06</v>
      </c>
      <c r="E340" s="12">
        <v>-0.0014</v>
      </c>
      <c r="F340" s="6">
        <v>41.89</v>
      </c>
      <c r="G340" s="6">
        <v>41.81</v>
      </c>
      <c r="H340" s="6">
        <v>42.09</v>
      </c>
      <c r="I340" s="9">
        <v>4.4347001E7</v>
      </c>
      <c r="J340" s="6">
        <v>1.87210424369E9</v>
      </c>
    </row>
    <row r="341">
      <c r="A341" s="4" t="s">
        <v>10</v>
      </c>
      <c r="B341" s="5">
        <v>42132.0</v>
      </c>
      <c r="C341" s="6">
        <v>42.61</v>
      </c>
      <c r="D341" s="13">
        <f>+0.54</f>
        <v>0.54</v>
      </c>
      <c r="E341" s="14">
        <f>+1.28%</f>
        <v>0.0128</v>
      </c>
      <c r="F341" s="6">
        <v>42.56</v>
      </c>
      <c r="G341" s="6">
        <v>42.43</v>
      </c>
      <c r="H341" s="6">
        <v>42.81</v>
      </c>
      <c r="I341" s="9">
        <v>5.6822757E7</v>
      </c>
      <c r="J341" s="6">
        <v>2.43660600819E9</v>
      </c>
    </row>
    <row r="342">
      <c r="A342" s="4" t="s">
        <v>10</v>
      </c>
      <c r="B342" s="5">
        <v>42135.0</v>
      </c>
      <c r="C342" s="6">
        <v>42.21</v>
      </c>
      <c r="D342" s="11">
        <v>-0.41</v>
      </c>
      <c r="E342" s="12">
        <v>-0.0096</v>
      </c>
      <c r="F342" s="6">
        <v>42.56</v>
      </c>
      <c r="G342" s="6">
        <v>42.17</v>
      </c>
      <c r="H342" s="6">
        <v>42.63</v>
      </c>
      <c r="I342" s="9">
        <v>3.4705391E7</v>
      </c>
      <c r="J342" s="6">
        <v>1.47768370335E9</v>
      </c>
    </row>
    <row r="343">
      <c r="A343" s="4" t="s">
        <v>10</v>
      </c>
      <c r="B343" s="5">
        <v>42136.0</v>
      </c>
      <c r="C343" s="6">
        <v>42.07</v>
      </c>
      <c r="D343" s="11">
        <v>-0.14</v>
      </c>
      <c r="E343" s="12">
        <v>-0.0033</v>
      </c>
      <c r="F343" s="6">
        <v>41.88</v>
      </c>
      <c r="G343" s="6">
        <v>41.85</v>
      </c>
      <c r="H343" s="6">
        <v>42.18</v>
      </c>
      <c r="I343" s="9">
        <v>3.8432527E7</v>
      </c>
      <c r="J343" s="6">
        <v>1.62507449067E9</v>
      </c>
    </row>
    <row r="344">
      <c r="A344" s="4" t="s">
        <v>10</v>
      </c>
      <c r="B344" s="5">
        <v>42137.0</v>
      </c>
      <c r="C344" s="6">
        <v>42.15</v>
      </c>
      <c r="D344" s="13">
        <f>+0.08</f>
        <v>0.08</v>
      </c>
      <c r="E344" s="14">
        <f>+0.19%</f>
        <v>0.0019</v>
      </c>
      <c r="F344" s="6">
        <v>42.45</v>
      </c>
      <c r="G344" s="6">
        <v>42.12</v>
      </c>
      <c r="H344" s="6">
        <v>42.53</v>
      </c>
      <c r="I344" s="9">
        <v>4.1156732E7</v>
      </c>
      <c r="J344" s="6">
        <v>1.75132496639E9</v>
      </c>
    </row>
    <row r="345">
      <c r="A345" s="4" t="s">
        <v>10</v>
      </c>
      <c r="B345" s="5">
        <v>42138.0</v>
      </c>
      <c r="C345" s="6">
        <v>42.56</v>
      </c>
      <c r="D345" s="13">
        <f>+0.42</f>
        <v>0.42</v>
      </c>
      <c r="E345" s="14">
        <f>+0.99%</f>
        <v>0.0099</v>
      </c>
      <c r="F345" s="6">
        <v>42.43</v>
      </c>
      <c r="G345" s="6">
        <v>42.37</v>
      </c>
      <c r="H345" s="6">
        <v>42.63</v>
      </c>
      <c r="I345" s="9">
        <v>3.7071444E7</v>
      </c>
      <c r="J345" s="6">
        <v>1.58672981888E9</v>
      </c>
    </row>
    <row r="346">
      <c r="A346" s="4" t="s">
        <v>10</v>
      </c>
      <c r="B346" s="5">
        <v>42139.0</v>
      </c>
      <c r="C346" s="6">
        <v>42.89</v>
      </c>
      <c r="D346" s="13">
        <f>+0.33</f>
        <v>0.33</v>
      </c>
      <c r="E346" s="14">
        <f>+0.77%</f>
        <v>0.0077</v>
      </c>
      <c r="F346" s="6">
        <v>42.53</v>
      </c>
      <c r="G346" s="6">
        <v>42.43</v>
      </c>
      <c r="H346" s="6">
        <v>42.9</v>
      </c>
      <c r="I346" s="9">
        <v>4.0940652E7</v>
      </c>
      <c r="J346" s="6">
        <v>1.76049402255E9</v>
      </c>
    </row>
    <row r="347">
      <c r="A347" s="4" t="s">
        <v>10</v>
      </c>
      <c r="B347" s="5">
        <v>42142.0</v>
      </c>
      <c r="C347" s="6">
        <v>42.45</v>
      </c>
      <c r="D347" s="11">
        <v>-0.44</v>
      </c>
      <c r="E347" s="12">
        <v>-0.0102</v>
      </c>
      <c r="F347" s="6">
        <v>42.65</v>
      </c>
      <c r="G347" s="6">
        <v>42.43</v>
      </c>
      <c r="H347" s="6">
        <v>42.67</v>
      </c>
      <c r="I347" s="9">
        <v>3.5675332E7</v>
      </c>
      <c r="J347" s="6">
        <v>1.5260542705E9</v>
      </c>
    </row>
    <row r="348">
      <c r="A348" s="4" t="s">
        <v>10</v>
      </c>
      <c r="B348" s="5">
        <v>42143.0</v>
      </c>
      <c r="C348" s="6">
        <v>42.52</v>
      </c>
      <c r="D348" s="13">
        <f>+0.07</f>
        <v>0.07</v>
      </c>
      <c r="E348" s="14">
        <f>+0.16%</f>
        <v>0.0016</v>
      </c>
      <c r="F348" s="6">
        <v>42.55</v>
      </c>
      <c r="G348" s="6">
        <v>42.44</v>
      </c>
      <c r="H348" s="6">
        <v>42.58</v>
      </c>
      <c r="I348" s="9">
        <v>3.2065337E7</v>
      </c>
      <c r="J348" s="6">
        <v>1.37154622186E9</v>
      </c>
    </row>
    <row r="349">
      <c r="A349" s="4" t="s">
        <v>10</v>
      </c>
      <c r="B349" s="5">
        <v>42144.0</v>
      </c>
      <c r="C349" s="6">
        <v>42.49</v>
      </c>
      <c r="D349" s="11">
        <v>-0.03</v>
      </c>
      <c r="E349" s="12">
        <v>-7.0E-4</v>
      </c>
      <c r="F349" s="6">
        <v>42.43</v>
      </c>
      <c r="G349" s="6">
        <v>42.28</v>
      </c>
      <c r="H349" s="6">
        <v>42.61</v>
      </c>
      <c r="I349" s="9">
        <v>3.7659249E7</v>
      </c>
      <c r="J349" s="6">
        <v>1.60746250263E9</v>
      </c>
    </row>
    <row r="350">
      <c r="A350" s="4" t="s">
        <v>10</v>
      </c>
      <c r="B350" s="5">
        <v>42145.0</v>
      </c>
      <c r="C350" s="6">
        <v>42.34</v>
      </c>
      <c r="D350" s="11">
        <v>-0.15</v>
      </c>
      <c r="E350" s="12">
        <v>-0.0035</v>
      </c>
      <c r="F350" s="6">
        <v>42.19</v>
      </c>
      <c r="G350" s="6">
        <v>42.13</v>
      </c>
      <c r="H350" s="6">
        <v>42.37</v>
      </c>
      <c r="I350" s="9">
        <v>2.7575693E7</v>
      </c>
      <c r="J350" s="6">
        <v>1.17271670776E9</v>
      </c>
    </row>
    <row r="351">
      <c r="A351" s="4" t="s">
        <v>10</v>
      </c>
      <c r="B351" s="5">
        <v>42146.0</v>
      </c>
      <c r="C351" s="6">
        <v>42.48</v>
      </c>
      <c r="D351" s="13">
        <f>+0.14</f>
        <v>0.14</v>
      </c>
      <c r="E351" s="14">
        <f>+0.33%</f>
        <v>0.0033</v>
      </c>
      <c r="F351" s="6">
        <v>42.56</v>
      </c>
      <c r="G351" s="6">
        <v>42.39</v>
      </c>
      <c r="H351" s="6">
        <v>42.61</v>
      </c>
      <c r="I351" s="9">
        <v>3.7907045E7</v>
      </c>
      <c r="J351" s="6">
        <v>1.61999128394E9</v>
      </c>
    </row>
    <row r="352">
      <c r="A352" s="4" t="s">
        <v>10</v>
      </c>
      <c r="B352" s="5">
        <v>42150.0</v>
      </c>
      <c r="C352" s="6">
        <v>41.81</v>
      </c>
      <c r="D352" s="11">
        <v>-0.68</v>
      </c>
      <c r="E352" s="12">
        <v>-0.0159</v>
      </c>
      <c r="F352" s="6">
        <v>42.22</v>
      </c>
      <c r="G352" s="6">
        <v>41.68</v>
      </c>
      <c r="H352" s="6">
        <v>42.22</v>
      </c>
      <c r="I352" s="9">
        <v>5.1008619E7</v>
      </c>
      <c r="J352" s="6">
        <v>2.148849804E9</v>
      </c>
    </row>
    <row r="353">
      <c r="A353" s="4" t="s">
        <v>10</v>
      </c>
      <c r="B353" s="5">
        <v>42151.0</v>
      </c>
      <c r="C353" s="6">
        <v>41.82</v>
      </c>
      <c r="D353" s="13">
        <f>+0.01</f>
        <v>0.01</v>
      </c>
      <c r="E353" s="14">
        <f>+0.02%</f>
        <v>0.0002</v>
      </c>
      <c r="F353" s="6">
        <v>41.48</v>
      </c>
      <c r="G353" s="6">
        <v>41.41</v>
      </c>
      <c r="H353" s="6">
        <v>41.85</v>
      </c>
      <c r="I353" s="9">
        <v>3.5464679E7</v>
      </c>
      <c r="J353" s="6">
        <v>1.48665787298E9</v>
      </c>
    </row>
    <row r="354">
      <c r="A354" s="4" t="s">
        <v>10</v>
      </c>
      <c r="B354" s="5">
        <v>42152.0</v>
      </c>
      <c r="C354" s="6">
        <v>41.27</v>
      </c>
      <c r="D354" s="11">
        <v>-0.55</v>
      </c>
      <c r="E354" s="12">
        <v>-0.0131</v>
      </c>
      <c r="F354" s="6">
        <v>41.18</v>
      </c>
      <c r="G354" s="6">
        <v>41.03</v>
      </c>
      <c r="H354" s="6">
        <v>41.32</v>
      </c>
      <c r="I354" s="9">
        <v>4.2689075E7</v>
      </c>
      <c r="J354" s="6">
        <v>1.76926499815E9</v>
      </c>
    </row>
    <row r="355">
      <c r="A355" s="4" t="s">
        <v>10</v>
      </c>
      <c r="B355" s="5">
        <v>42153.0</v>
      </c>
      <c r="C355" s="6">
        <v>40.87</v>
      </c>
      <c r="D355" s="11">
        <v>-0.4</v>
      </c>
      <c r="E355" s="12">
        <v>-0.0096</v>
      </c>
      <c r="F355" s="6">
        <v>41.2</v>
      </c>
      <c r="G355" s="6">
        <v>40.82</v>
      </c>
      <c r="H355" s="6">
        <v>41.24</v>
      </c>
      <c r="I355" s="9">
        <v>5.9462243E7</v>
      </c>
      <c r="J355" s="6">
        <v>2.44995936004E9</v>
      </c>
    </row>
    <row r="356">
      <c r="A356" s="4" t="s">
        <v>10</v>
      </c>
      <c r="B356" s="5">
        <v>42156.0</v>
      </c>
      <c r="C356" s="6">
        <v>40.71</v>
      </c>
      <c r="D356" s="11">
        <v>-0.16</v>
      </c>
      <c r="E356" s="12">
        <v>-0.0039</v>
      </c>
      <c r="F356" s="6">
        <v>40.89</v>
      </c>
      <c r="G356" s="6">
        <v>40.62</v>
      </c>
      <c r="H356" s="6">
        <v>40.91</v>
      </c>
      <c r="I356" s="9">
        <v>5.2509734E7</v>
      </c>
      <c r="J356" s="6">
        <v>2.15201489177E9</v>
      </c>
    </row>
    <row r="357">
      <c r="A357" s="4" t="s">
        <v>10</v>
      </c>
      <c r="B357" s="5">
        <v>42157.0</v>
      </c>
      <c r="C357" s="6">
        <v>40.87</v>
      </c>
      <c r="D357" s="13">
        <f>+0.16</f>
        <v>0.16</v>
      </c>
      <c r="E357" s="14">
        <f>+0.39%</f>
        <v>0.0039</v>
      </c>
      <c r="F357" s="6">
        <v>40.67</v>
      </c>
      <c r="G357" s="6">
        <v>40.62</v>
      </c>
      <c r="H357" s="6">
        <v>41.05</v>
      </c>
      <c r="I357" s="9">
        <v>4.2331686E7</v>
      </c>
      <c r="J357" s="6">
        <v>1.73982768653E9</v>
      </c>
    </row>
    <row r="358">
      <c r="A358" s="4" t="s">
        <v>10</v>
      </c>
      <c r="B358" s="5">
        <v>42158.0</v>
      </c>
      <c r="C358" s="6">
        <v>40.66</v>
      </c>
      <c r="D358" s="11">
        <v>-0.21</v>
      </c>
      <c r="E358" s="12">
        <v>-0.0051</v>
      </c>
      <c r="F358" s="6">
        <v>40.69</v>
      </c>
      <c r="G358" s="6">
        <v>40.57</v>
      </c>
      <c r="H358" s="6">
        <v>40.81</v>
      </c>
      <c r="I358" s="9">
        <v>3.9291397E7</v>
      </c>
      <c r="J358" s="6">
        <v>1.60793892369E9</v>
      </c>
    </row>
    <row r="359">
      <c r="A359" s="4" t="s">
        <v>10</v>
      </c>
      <c r="B359" s="5">
        <v>42159.0</v>
      </c>
      <c r="C359" s="6">
        <v>40.05</v>
      </c>
      <c r="D359" s="11">
        <v>-0.62</v>
      </c>
      <c r="E359" s="12">
        <v>-0.0152</v>
      </c>
      <c r="F359" s="6">
        <v>40.31</v>
      </c>
      <c r="G359" s="6">
        <v>40.03</v>
      </c>
      <c r="H359" s="6">
        <v>40.44</v>
      </c>
      <c r="I359" s="9">
        <v>4.663732E7</v>
      </c>
      <c r="J359" s="6">
        <v>1.88378516665E9</v>
      </c>
    </row>
    <row r="360">
      <c r="A360" s="4" t="s">
        <v>10</v>
      </c>
      <c r="B360" s="5">
        <v>42160.0</v>
      </c>
      <c r="C360" s="6">
        <v>39.87</v>
      </c>
      <c r="D360" s="11">
        <v>-0.18</v>
      </c>
      <c r="E360" s="12">
        <v>-0.0045</v>
      </c>
      <c r="F360" s="6">
        <v>39.74</v>
      </c>
      <c r="G360" s="6">
        <v>39.67</v>
      </c>
      <c r="H360" s="6">
        <v>40.07</v>
      </c>
      <c r="I360" s="9">
        <v>5.1982787E7</v>
      </c>
      <c r="J360" s="6">
        <v>2.08486689921E9</v>
      </c>
    </row>
    <row r="361">
      <c r="A361" s="4" t="s">
        <v>10</v>
      </c>
      <c r="B361" s="5">
        <v>42163.0</v>
      </c>
      <c r="C361" s="6">
        <v>39.86</v>
      </c>
      <c r="D361" s="11">
        <v>-0.01</v>
      </c>
      <c r="E361" s="12">
        <v>-2.0E-4</v>
      </c>
      <c r="F361" s="6">
        <v>39.93</v>
      </c>
      <c r="G361" s="6">
        <v>39.82</v>
      </c>
      <c r="H361" s="6">
        <v>39.98</v>
      </c>
      <c r="I361" s="9">
        <v>3.4008201E7</v>
      </c>
      <c r="J361" s="6">
        <v>1.36521173053E9</v>
      </c>
    </row>
    <row r="362">
      <c r="A362" s="4" t="s">
        <v>10</v>
      </c>
      <c r="B362" s="5">
        <v>42164.0</v>
      </c>
      <c r="C362" s="6">
        <v>39.62</v>
      </c>
      <c r="D362" s="11">
        <v>-0.24</v>
      </c>
      <c r="E362" s="12">
        <v>-0.006</v>
      </c>
      <c r="F362" s="6">
        <v>39.7</v>
      </c>
      <c r="G362" s="6">
        <v>39.57</v>
      </c>
      <c r="H362" s="6">
        <v>39.73</v>
      </c>
      <c r="I362" s="9">
        <v>3.3384139E7</v>
      </c>
      <c r="J362" s="6">
        <v>1.33161557034E9</v>
      </c>
    </row>
    <row r="363">
      <c r="A363" s="4" t="s">
        <v>10</v>
      </c>
      <c r="B363" s="5">
        <v>42165.0</v>
      </c>
      <c r="C363" s="6">
        <v>40.2</v>
      </c>
      <c r="D363" s="13">
        <f>+0.58</f>
        <v>0.58</v>
      </c>
      <c r="E363" s="14">
        <f>+1.46%</f>
        <v>0.0146</v>
      </c>
      <c r="F363" s="6">
        <v>40.0</v>
      </c>
      <c r="G363" s="6">
        <v>39.98</v>
      </c>
      <c r="H363" s="6">
        <v>40.25</v>
      </c>
      <c r="I363" s="9">
        <v>6.4828098E7</v>
      </c>
      <c r="J363" s="6">
        <v>2.618953385E9</v>
      </c>
    </row>
    <row r="364">
      <c r="A364" s="4" t="s">
        <v>10</v>
      </c>
      <c r="B364" s="5">
        <v>42166.0</v>
      </c>
      <c r="C364" s="6">
        <v>40.0</v>
      </c>
      <c r="D364" s="11">
        <v>-0.2</v>
      </c>
      <c r="E364" s="12">
        <v>-0.0049</v>
      </c>
      <c r="F364" s="6">
        <v>40.1</v>
      </c>
      <c r="G364" s="6">
        <v>39.89</v>
      </c>
      <c r="H364" s="6">
        <v>40.11</v>
      </c>
      <c r="I364" s="9">
        <v>3.3807975E7</v>
      </c>
      <c r="J364" s="6">
        <v>1.36114296186E9</v>
      </c>
    </row>
    <row r="365">
      <c r="A365" s="4" t="s">
        <v>10</v>
      </c>
      <c r="B365" s="5">
        <v>42167.0</v>
      </c>
      <c r="C365" s="6">
        <v>40.0</v>
      </c>
      <c r="D365" s="11">
        <v>0.0</v>
      </c>
      <c r="E365" s="12">
        <v>0.0</v>
      </c>
      <c r="F365" s="6">
        <v>40.01</v>
      </c>
      <c r="G365" s="6">
        <v>39.88</v>
      </c>
      <c r="H365" s="6">
        <v>40.05</v>
      </c>
      <c r="I365" s="9">
        <v>4.0975874E7</v>
      </c>
      <c r="J365" s="6">
        <v>1.64804597434E9</v>
      </c>
    </row>
    <row r="366">
      <c r="A366" s="4" t="s">
        <v>10</v>
      </c>
      <c r="B366" s="5">
        <v>42170.0</v>
      </c>
      <c r="C366" s="6">
        <v>39.55</v>
      </c>
      <c r="D366" s="11">
        <v>-0.45</v>
      </c>
      <c r="E366" s="12">
        <v>-0.0112</v>
      </c>
      <c r="F366" s="6">
        <v>39.52</v>
      </c>
      <c r="G366" s="6">
        <v>39.43</v>
      </c>
      <c r="H366" s="6">
        <v>39.6</v>
      </c>
      <c r="I366" s="9">
        <v>3.409703E7</v>
      </c>
      <c r="J366" s="6">
        <v>1.35565563935E9</v>
      </c>
    </row>
    <row r="367">
      <c r="A367" s="4" t="s">
        <v>10</v>
      </c>
      <c r="B367" s="5">
        <v>42171.0</v>
      </c>
      <c r="C367" s="6">
        <v>39.56</v>
      </c>
      <c r="D367" s="13">
        <f>+0.01</f>
        <v>0.01</v>
      </c>
      <c r="E367" s="14">
        <f>+0.03%</f>
        <v>0.0003</v>
      </c>
      <c r="F367" s="6">
        <v>39.41</v>
      </c>
      <c r="G367" s="6">
        <v>39.33</v>
      </c>
      <c r="H367" s="6">
        <v>39.62</v>
      </c>
      <c r="I367" s="9">
        <v>3.360593E7</v>
      </c>
      <c r="J367" s="6">
        <v>1.33622630369E9</v>
      </c>
    </row>
    <row r="368">
      <c r="A368" s="4" t="s">
        <v>10</v>
      </c>
      <c r="B368" s="5">
        <v>42172.0</v>
      </c>
      <c r="C368" s="6">
        <v>39.8</v>
      </c>
      <c r="D368" s="13">
        <f>+0.24</f>
        <v>0.24</v>
      </c>
      <c r="E368" s="14">
        <f>+0.6%</f>
        <v>0.006</v>
      </c>
      <c r="F368" s="6">
        <v>39.57</v>
      </c>
      <c r="G368" s="6">
        <v>39.34</v>
      </c>
      <c r="H368" s="6">
        <v>40.03</v>
      </c>
      <c r="I368" s="9">
        <v>7.0505902E7</v>
      </c>
      <c r="J368" s="6">
        <v>2.81479611543E9</v>
      </c>
    </row>
    <row r="369">
      <c r="A369" s="4" t="s">
        <v>10</v>
      </c>
      <c r="B369" s="5">
        <v>42173.0</v>
      </c>
      <c r="C369" s="6">
        <v>40.17</v>
      </c>
      <c r="D369" s="13">
        <f>+0.37</f>
        <v>0.37</v>
      </c>
      <c r="E369" s="14">
        <f>+0.92%</f>
        <v>0.0092</v>
      </c>
      <c r="F369" s="6">
        <v>40.11</v>
      </c>
      <c r="G369" s="6">
        <v>40.04</v>
      </c>
      <c r="H369" s="6">
        <v>40.32</v>
      </c>
      <c r="I369" s="9">
        <v>6.0019026E7</v>
      </c>
      <c r="J369" s="6">
        <v>2.42586763218E9</v>
      </c>
    </row>
    <row r="370">
      <c r="A370" s="4" t="s">
        <v>10</v>
      </c>
      <c r="B370" s="5">
        <v>42174.0</v>
      </c>
      <c r="C370" s="6">
        <v>39.82</v>
      </c>
      <c r="D370" s="11">
        <v>-0.35</v>
      </c>
      <c r="E370" s="12">
        <v>-0.0087</v>
      </c>
      <c r="F370" s="6">
        <v>39.98</v>
      </c>
      <c r="G370" s="6">
        <v>39.82</v>
      </c>
      <c r="H370" s="6">
        <v>40.12</v>
      </c>
      <c r="I370" s="9">
        <v>5.5891699E7</v>
      </c>
      <c r="J370" s="6">
        <v>2.24686997876E9</v>
      </c>
    </row>
    <row r="371">
      <c r="A371" s="4" t="s">
        <v>10</v>
      </c>
      <c r="B371" s="5">
        <v>42177.0</v>
      </c>
      <c r="C371" s="6">
        <v>40.4</v>
      </c>
      <c r="D371" s="13">
        <f>+0.58</f>
        <v>0.58</v>
      </c>
      <c r="E371" s="14">
        <f>+1.45%</f>
        <v>0.0145</v>
      </c>
      <c r="F371" s="6">
        <v>40.51</v>
      </c>
      <c r="G371" s="6">
        <v>40.35</v>
      </c>
      <c r="H371" s="6">
        <v>40.53</v>
      </c>
      <c r="I371" s="9">
        <v>4.5009751E7</v>
      </c>
      <c r="J371" s="6">
        <v>1.83022898744E9</v>
      </c>
    </row>
    <row r="372">
      <c r="A372" s="4" t="s">
        <v>10</v>
      </c>
      <c r="B372" s="5">
        <v>42178.0</v>
      </c>
      <c r="C372" s="6">
        <v>40.79</v>
      </c>
      <c r="D372" s="13">
        <f>+0.4</f>
        <v>0.4</v>
      </c>
      <c r="E372" s="14">
        <f>+0.98%</f>
        <v>0.0098</v>
      </c>
      <c r="F372" s="6">
        <v>40.56</v>
      </c>
      <c r="G372" s="6">
        <v>40.55</v>
      </c>
      <c r="H372" s="6">
        <v>40.81</v>
      </c>
      <c r="I372" s="9">
        <v>4.0579117E7</v>
      </c>
      <c r="J372" s="6">
        <v>1.66323051712E9</v>
      </c>
    </row>
    <row r="373">
      <c r="A373" s="4" t="s">
        <v>10</v>
      </c>
      <c r="B373" s="5">
        <v>42179.0</v>
      </c>
      <c r="C373" s="6">
        <v>40.51</v>
      </c>
      <c r="D373" s="11">
        <v>-0.29</v>
      </c>
      <c r="E373" s="12">
        <v>-0.0071</v>
      </c>
      <c r="F373" s="6">
        <v>40.75</v>
      </c>
      <c r="G373" s="6">
        <v>40.51</v>
      </c>
      <c r="H373" s="6">
        <v>40.82</v>
      </c>
      <c r="I373" s="9">
        <v>5.6107139E7</v>
      </c>
      <c r="J373" s="6">
        <v>2.29230630504E9</v>
      </c>
    </row>
    <row r="374">
      <c r="A374" s="4" t="s">
        <v>10</v>
      </c>
      <c r="B374" s="5">
        <v>42180.0</v>
      </c>
      <c r="C374" s="6">
        <v>40.07</v>
      </c>
      <c r="D374" s="11">
        <v>-0.44</v>
      </c>
      <c r="E374" s="12">
        <v>-0.0108</v>
      </c>
      <c r="F374" s="6">
        <v>40.26</v>
      </c>
      <c r="G374" s="6">
        <v>40.04</v>
      </c>
      <c r="H374" s="6">
        <v>40.28</v>
      </c>
      <c r="I374" s="9">
        <v>3.366382E7</v>
      </c>
      <c r="J374" s="6">
        <v>1.35921827147E9</v>
      </c>
    </row>
    <row r="375">
      <c r="A375" s="4" t="s">
        <v>10</v>
      </c>
      <c r="B375" s="5">
        <v>42181.0</v>
      </c>
      <c r="C375" s="6">
        <v>39.69</v>
      </c>
      <c r="D375" s="11">
        <v>-0.38</v>
      </c>
      <c r="E375" s="12">
        <v>-0.0094</v>
      </c>
      <c r="F375" s="6">
        <v>39.71</v>
      </c>
      <c r="G375" s="6">
        <v>39.65</v>
      </c>
      <c r="H375" s="6">
        <v>39.91</v>
      </c>
      <c r="I375" s="9">
        <v>3.4721454E7</v>
      </c>
      <c r="J375" s="6">
        <v>1.38846764456E9</v>
      </c>
    </row>
    <row r="376">
      <c r="A376" s="4" t="s">
        <v>10</v>
      </c>
      <c r="B376" s="5">
        <v>42184.0</v>
      </c>
      <c r="C376" s="6">
        <v>38.81</v>
      </c>
      <c r="D376" s="11">
        <v>-0.88</v>
      </c>
      <c r="E376" s="12">
        <v>-0.0223</v>
      </c>
      <c r="F376" s="6">
        <v>39.05</v>
      </c>
      <c r="G376" s="6">
        <v>38.8</v>
      </c>
      <c r="H376" s="6">
        <v>39.2</v>
      </c>
      <c r="I376" s="9">
        <v>5.9610844E7</v>
      </c>
      <c r="J376" s="6">
        <v>2.33729041685E9</v>
      </c>
    </row>
    <row r="377">
      <c r="A377" s="4" t="s">
        <v>10</v>
      </c>
      <c r="B377" s="5">
        <v>42185.0</v>
      </c>
      <c r="C377" s="6">
        <v>39.38</v>
      </c>
      <c r="D377" s="13">
        <f>+0.58</f>
        <v>0.58</v>
      </c>
      <c r="E377" s="14">
        <f>+1.49%</f>
        <v>0.0149</v>
      </c>
      <c r="F377" s="6">
        <v>39.5</v>
      </c>
      <c r="G377" s="6">
        <v>39.24</v>
      </c>
      <c r="H377" s="6">
        <v>39.52</v>
      </c>
      <c r="I377" s="9">
        <v>6.12666E7</v>
      </c>
      <c r="J377" s="6">
        <v>2.42674369429E9</v>
      </c>
    </row>
    <row r="378">
      <c r="A378" s="4" t="s">
        <v>10</v>
      </c>
      <c r="B378" s="5">
        <v>42186.0</v>
      </c>
      <c r="C378" s="6">
        <v>39.35</v>
      </c>
      <c r="D378" s="11">
        <v>-0.03</v>
      </c>
      <c r="E378" s="12">
        <v>-8.0E-4</v>
      </c>
      <c r="F378" s="6">
        <v>39.6</v>
      </c>
      <c r="G378" s="6">
        <v>39.26</v>
      </c>
      <c r="H378" s="6">
        <v>39.62</v>
      </c>
      <c r="I378" s="9">
        <v>3.8622342E7</v>
      </c>
      <c r="J378" s="6">
        <v>1.53095898576E9</v>
      </c>
    </row>
    <row r="379">
      <c r="A379" s="4" t="s">
        <v>10</v>
      </c>
      <c r="B379" s="5">
        <v>42187.0</v>
      </c>
      <c r="C379" s="6">
        <v>39.54</v>
      </c>
      <c r="D379" s="13">
        <f>+0.19</f>
        <v>0.19</v>
      </c>
      <c r="E379" s="14">
        <f>+0.48%</f>
        <v>0.0048</v>
      </c>
      <c r="F379" s="6">
        <v>39.59</v>
      </c>
      <c r="G379" s="6">
        <v>39.51</v>
      </c>
      <c r="H379" s="6">
        <v>39.78</v>
      </c>
      <c r="I379" s="9">
        <v>3.4085776E7</v>
      </c>
      <c r="J379" s="6">
        <v>1.35850772362E9</v>
      </c>
    </row>
    <row r="380">
      <c r="A380" s="4" t="s">
        <v>10</v>
      </c>
      <c r="B380" s="5">
        <v>42191.0</v>
      </c>
      <c r="C380" s="6">
        <v>38.44</v>
      </c>
      <c r="D380" s="11">
        <v>-1.1</v>
      </c>
      <c r="E380" s="12">
        <v>-0.0279</v>
      </c>
      <c r="F380" s="6">
        <v>38.49</v>
      </c>
      <c r="G380" s="6">
        <v>38.28</v>
      </c>
      <c r="H380" s="6">
        <v>38.71</v>
      </c>
      <c r="I380" s="9">
        <v>6.6892535E7</v>
      </c>
      <c r="J380" s="6">
        <v>2.58868320378E9</v>
      </c>
    </row>
    <row r="381">
      <c r="A381" s="4" t="s">
        <v>10</v>
      </c>
      <c r="B381" s="5">
        <v>42192.0</v>
      </c>
      <c r="C381" s="6">
        <v>37.86</v>
      </c>
      <c r="D381" s="11">
        <v>-0.58</v>
      </c>
      <c r="E381" s="12">
        <v>-0.015</v>
      </c>
      <c r="F381" s="6">
        <v>37.71</v>
      </c>
      <c r="G381" s="6">
        <v>37.19</v>
      </c>
      <c r="H381" s="6">
        <v>37.93</v>
      </c>
      <c r="I381" s="9">
        <v>1.00698454E8</v>
      </c>
      <c r="J381" s="6">
        <v>3.80470947254E9</v>
      </c>
    </row>
    <row r="382">
      <c r="A382" s="4" t="s">
        <v>10</v>
      </c>
      <c r="B382" s="5">
        <v>42193.0</v>
      </c>
      <c r="C382" s="6">
        <v>36.56</v>
      </c>
      <c r="D382" s="11">
        <v>-1.3</v>
      </c>
      <c r="E382" s="12">
        <v>-0.0344</v>
      </c>
      <c r="F382" s="6">
        <v>36.86</v>
      </c>
      <c r="G382" s="6">
        <v>36.49</v>
      </c>
      <c r="H382" s="6">
        <v>37.03</v>
      </c>
      <c r="I382" s="9">
        <v>9.3898992E7</v>
      </c>
      <c r="J382" s="6">
        <v>3.47384356739E9</v>
      </c>
    </row>
    <row r="383">
      <c r="A383" s="4" t="s">
        <v>10</v>
      </c>
      <c r="B383" s="5">
        <v>42194.0</v>
      </c>
      <c r="C383" s="6">
        <v>37.27</v>
      </c>
      <c r="D383" s="13">
        <f>+0.71</f>
        <v>0.71</v>
      </c>
      <c r="E383" s="14">
        <f>+1.93%</f>
        <v>0.0193</v>
      </c>
      <c r="F383" s="6">
        <v>37.67</v>
      </c>
      <c r="G383" s="6">
        <v>37.26</v>
      </c>
      <c r="H383" s="6">
        <v>37.8</v>
      </c>
      <c r="I383" s="9">
        <v>7.2889004E7</v>
      </c>
      <c r="J383" s="6">
        <v>2.74676518802E9</v>
      </c>
    </row>
    <row r="384">
      <c r="A384" s="4" t="s">
        <v>10</v>
      </c>
      <c r="B384" s="5">
        <v>42195.0</v>
      </c>
      <c r="C384" s="6">
        <v>38.21</v>
      </c>
      <c r="D384" s="13">
        <f>+0.94</f>
        <v>0.94</v>
      </c>
      <c r="E384" s="14">
        <f>+2.53%</f>
        <v>0.0253</v>
      </c>
      <c r="F384" s="6">
        <v>38.2</v>
      </c>
      <c r="G384" s="6">
        <v>37.96</v>
      </c>
      <c r="H384" s="6">
        <v>38.34</v>
      </c>
      <c r="I384" s="9">
        <v>6.472656E7</v>
      </c>
      <c r="J384" s="6">
        <v>2.48488379398E9</v>
      </c>
    </row>
    <row r="385">
      <c r="A385" s="4" t="s">
        <v>10</v>
      </c>
      <c r="B385" s="5">
        <v>42198.0</v>
      </c>
      <c r="C385" s="6">
        <v>38.47</v>
      </c>
      <c r="D385" s="13">
        <f>+0.26</f>
        <v>0.26</v>
      </c>
      <c r="E385" s="14">
        <f>+0.68%</f>
        <v>0.0068</v>
      </c>
      <c r="F385" s="6">
        <v>38.46</v>
      </c>
      <c r="G385" s="6">
        <v>38.36</v>
      </c>
      <c r="H385" s="6">
        <v>38.56</v>
      </c>
      <c r="I385" s="9">
        <v>4.3846188E7</v>
      </c>
      <c r="J385" s="6">
        <v>1.69751053247E9</v>
      </c>
    </row>
    <row r="386">
      <c r="A386" s="4" t="s">
        <v>10</v>
      </c>
      <c r="B386" s="5">
        <v>42199.0</v>
      </c>
      <c r="C386" s="6">
        <v>38.54</v>
      </c>
      <c r="D386" s="13">
        <f>+0.07</f>
        <v>0.07</v>
      </c>
      <c r="E386" s="14">
        <f>+0.18%</f>
        <v>0.0018</v>
      </c>
      <c r="F386" s="6">
        <v>38.29</v>
      </c>
      <c r="G386" s="6">
        <v>38.25</v>
      </c>
      <c r="H386" s="6">
        <v>38.57</v>
      </c>
      <c r="I386" s="9">
        <v>3.0252213E7</v>
      </c>
      <c r="J386" s="6">
        <v>1.1706454012E9</v>
      </c>
    </row>
    <row r="387">
      <c r="A387" s="4" t="s">
        <v>10</v>
      </c>
      <c r="B387" s="5">
        <v>42200.0</v>
      </c>
      <c r="C387" s="6">
        <v>38.1</v>
      </c>
      <c r="D387" s="11">
        <v>-0.44</v>
      </c>
      <c r="E387" s="12">
        <v>-0.0113</v>
      </c>
      <c r="F387" s="6">
        <v>38.3</v>
      </c>
      <c r="G387" s="6">
        <v>38.06</v>
      </c>
      <c r="H387" s="6">
        <v>38.33</v>
      </c>
      <c r="I387" s="9">
        <v>4.4039354E7</v>
      </c>
      <c r="J387" s="6">
        <v>1.69134033665E9</v>
      </c>
    </row>
    <row r="388">
      <c r="A388" s="4" t="s">
        <v>10</v>
      </c>
      <c r="B388" s="5">
        <v>42201.0</v>
      </c>
      <c r="C388" s="6">
        <v>38.58</v>
      </c>
      <c r="D388" s="13">
        <f>+0.48</f>
        <v>0.48</v>
      </c>
      <c r="E388" s="14">
        <f>+1.25%</f>
        <v>0.0125</v>
      </c>
      <c r="F388" s="6">
        <v>38.53</v>
      </c>
      <c r="G388" s="6">
        <v>38.42</v>
      </c>
      <c r="H388" s="6">
        <v>38.63</v>
      </c>
      <c r="I388" s="9">
        <v>3.6217609E7</v>
      </c>
      <c r="J388" s="6">
        <v>1.40483870065E9</v>
      </c>
    </row>
    <row r="389">
      <c r="A389" s="4" t="s">
        <v>10</v>
      </c>
      <c r="B389" s="5">
        <v>42202.0</v>
      </c>
      <c r="C389" s="6">
        <v>38.53</v>
      </c>
      <c r="D389" s="11">
        <v>-0.05</v>
      </c>
      <c r="E389" s="12">
        <v>-0.0013</v>
      </c>
      <c r="F389" s="6">
        <v>38.64</v>
      </c>
      <c r="G389" s="6">
        <v>38.46</v>
      </c>
      <c r="H389" s="6">
        <v>38.65</v>
      </c>
      <c r="I389" s="9">
        <v>3.5714808E7</v>
      </c>
      <c r="J389" s="6">
        <v>1.38434791833E9</v>
      </c>
    </row>
    <row r="390">
      <c r="A390" s="4" t="s">
        <v>10</v>
      </c>
      <c r="B390" s="5">
        <v>42205.0</v>
      </c>
      <c r="C390" s="6">
        <v>38.28</v>
      </c>
      <c r="D390" s="11">
        <v>-0.25</v>
      </c>
      <c r="E390" s="12">
        <v>-0.0064</v>
      </c>
      <c r="F390" s="6">
        <v>38.16</v>
      </c>
      <c r="G390" s="6">
        <v>37.99</v>
      </c>
      <c r="H390" s="6">
        <v>38.36</v>
      </c>
      <c r="I390" s="9">
        <v>3.1706957E7</v>
      </c>
      <c r="J390" s="6">
        <v>1.21943152435E9</v>
      </c>
    </row>
    <row r="391">
      <c r="A391" s="4" t="s">
        <v>10</v>
      </c>
      <c r="B391" s="5">
        <v>42206.0</v>
      </c>
      <c r="C391" s="6">
        <v>38.29</v>
      </c>
      <c r="D391" s="13">
        <f>+0.01</f>
        <v>0.01</v>
      </c>
      <c r="E391" s="14">
        <f>+0.03%</f>
        <v>0.0003</v>
      </c>
      <c r="F391" s="6">
        <v>38.45</v>
      </c>
      <c r="G391" s="6">
        <v>38.26</v>
      </c>
      <c r="H391" s="6">
        <v>38.48</v>
      </c>
      <c r="I391" s="9">
        <v>2.7625403E7</v>
      </c>
      <c r="J391" s="6">
        <v>1.06640247693E9</v>
      </c>
    </row>
    <row r="392">
      <c r="A392" s="4" t="s">
        <v>10</v>
      </c>
      <c r="B392" s="5">
        <v>42207.0</v>
      </c>
      <c r="C392" s="6">
        <v>37.74</v>
      </c>
      <c r="D392" s="11">
        <v>-0.55</v>
      </c>
      <c r="E392" s="12">
        <v>-0.0143</v>
      </c>
      <c r="F392" s="6">
        <v>37.97</v>
      </c>
      <c r="G392" s="6">
        <v>37.7</v>
      </c>
      <c r="H392" s="6">
        <v>37.98</v>
      </c>
      <c r="I392" s="9">
        <v>3.9326826E7</v>
      </c>
      <c r="J392" s="6">
        <v>1.49613557562E9</v>
      </c>
    </row>
    <row r="393">
      <c r="A393" s="4" t="s">
        <v>10</v>
      </c>
      <c r="B393" s="5">
        <v>42208.0</v>
      </c>
      <c r="C393" s="6">
        <v>37.37</v>
      </c>
      <c r="D393" s="11">
        <v>-0.37</v>
      </c>
      <c r="E393" s="12">
        <v>-0.0097</v>
      </c>
      <c r="F393" s="6">
        <v>37.72</v>
      </c>
      <c r="G393" s="6">
        <v>37.34</v>
      </c>
      <c r="H393" s="6">
        <v>37.75</v>
      </c>
      <c r="I393" s="9">
        <v>4.2787708E7</v>
      </c>
      <c r="J393" s="6">
        <v>1.6145831763E9</v>
      </c>
    </row>
    <row r="394">
      <c r="A394" s="4" t="s">
        <v>10</v>
      </c>
      <c r="B394" s="5">
        <v>42209.0</v>
      </c>
      <c r="C394" s="6">
        <v>36.84</v>
      </c>
      <c r="D394" s="11">
        <v>-0.54</v>
      </c>
      <c r="E394" s="12">
        <v>-0.0144</v>
      </c>
      <c r="F394" s="6">
        <v>37.07</v>
      </c>
      <c r="G394" s="6">
        <v>36.65</v>
      </c>
      <c r="H394" s="6">
        <v>37.08</v>
      </c>
      <c r="I394" s="9">
        <v>5.5194159E7</v>
      </c>
      <c r="J394" s="6">
        <v>2.04607311778E9</v>
      </c>
    </row>
    <row r="395">
      <c r="A395" s="4" t="s">
        <v>10</v>
      </c>
      <c r="B395" s="5">
        <v>42212.0</v>
      </c>
      <c r="C395" s="6">
        <v>36.14</v>
      </c>
      <c r="D395" s="11">
        <v>-0.7</v>
      </c>
      <c r="E395" s="12">
        <v>-0.0189</v>
      </c>
      <c r="F395" s="6">
        <v>36.22</v>
      </c>
      <c r="G395" s="6">
        <v>36.05</v>
      </c>
      <c r="H395" s="6">
        <v>36.36</v>
      </c>
      <c r="I395" s="9">
        <v>7.305183E7</v>
      </c>
      <c r="J395" s="6">
        <v>2.65960249432E9</v>
      </c>
    </row>
    <row r="396">
      <c r="A396" s="4" t="s">
        <v>10</v>
      </c>
      <c r="B396" s="5">
        <v>42213.0</v>
      </c>
      <c r="C396" s="6">
        <v>36.51</v>
      </c>
      <c r="D396" s="13">
        <f>+0.37</f>
        <v>0.37</v>
      </c>
      <c r="E396" s="14">
        <f>+1.02%</f>
        <v>0.0102</v>
      </c>
      <c r="F396" s="6">
        <v>36.42</v>
      </c>
      <c r="G396" s="6">
        <v>36.18</v>
      </c>
      <c r="H396" s="6">
        <v>36.54</v>
      </c>
      <c r="I396" s="9">
        <v>4.9701293E7</v>
      </c>
      <c r="J396" s="6">
        <v>1.82025789798E9</v>
      </c>
    </row>
    <row r="397">
      <c r="A397" s="4" t="s">
        <v>10</v>
      </c>
      <c r="B397" s="5">
        <v>42214.0</v>
      </c>
      <c r="C397" s="6">
        <v>36.87</v>
      </c>
      <c r="D397" s="13">
        <f>+0.36</f>
        <v>0.36</v>
      </c>
      <c r="E397" s="14">
        <f>+0.98%</f>
        <v>0.0098</v>
      </c>
      <c r="F397" s="6">
        <v>36.6</v>
      </c>
      <c r="G397" s="6">
        <v>36.49</v>
      </c>
      <c r="H397" s="6">
        <v>37.03</v>
      </c>
      <c r="I397" s="9">
        <v>6.1119894E7</v>
      </c>
      <c r="J397" s="6">
        <v>2.26311455651E9</v>
      </c>
    </row>
    <row r="398">
      <c r="A398" s="4" t="s">
        <v>10</v>
      </c>
      <c r="B398" s="5">
        <v>42215.0</v>
      </c>
      <c r="C398" s="6">
        <v>36.5</v>
      </c>
      <c r="D398" s="11">
        <v>-0.37</v>
      </c>
      <c r="E398" s="12">
        <v>-0.01</v>
      </c>
      <c r="F398" s="6">
        <v>36.46</v>
      </c>
      <c r="G398" s="6">
        <v>36.27</v>
      </c>
      <c r="H398" s="6">
        <v>36.57</v>
      </c>
      <c r="I398" s="9">
        <v>4.4051375E7</v>
      </c>
      <c r="J398" s="6">
        <v>1.61359852377E9</v>
      </c>
    </row>
    <row r="399">
      <c r="A399" s="4" t="s">
        <v>10</v>
      </c>
      <c r="B399" s="5">
        <v>42216.0</v>
      </c>
      <c r="C399" s="6">
        <v>36.9</v>
      </c>
      <c r="D399" s="13">
        <f>+0.4</f>
        <v>0.4</v>
      </c>
      <c r="E399" s="14">
        <f>+1.09%</f>
        <v>0.0109</v>
      </c>
      <c r="F399" s="6">
        <v>36.84</v>
      </c>
      <c r="G399" s="6">
        <v>36.75</v>
      </c>
      <c r="H399" s="6">
        <v>37.03</v>
      </c>
      <c r="I399" s="9">
        <v>8.502049E7</v>
      </c>
      <c r="J399" s="6">
        <v>3.15553659746E9</v>
      </c>
    </row>
    <row r="400">
      <c r="A400" s="4" t="s">
        <v>10</v>
      </c>
      <c r="B400" s="5">
        <v>42219.0</v>
      </c>
      <c r="C400" s="6">
        <v>36.28</v>
      </c>
      <c r="D400" s="11">
        <v>-0.62</v>
      </c>
      <c r="E400" s="12">
        <v>-0.0167</v>
      </c>
      <c r="F400" s="6">
        <v>36.45</v>
      </c>
      <c r="G400" s="6">
        <v>36.14</v>
      </c>
      <c r="H400" s="6">
        <v>36.48</v>
      </c>
      <c r="I400" s="9">
        <v>4.5674666E7</v>
      </c>
      <c r="J400" s="6">
        <v>1.66772790307E9</v>
      </c>
    </row>
    <row r="401">
      <c r="A401" s="4" t="s">
        <v>10</v>
      </c>
      <c r="B401" s="5">
        <v>42220.0</v>
      </c>
      <c r="C401" s="6">
        <v>36.41</v>
      </c>
      <c r="D401" s="13">
        <f>+0.13</f>
        <v>0.13</v>
      </c>
      <c r="E401" s="14">
        <f>+0.36%</f>
        <v>0.0036</v>
      </c>
      <c r="F401" s="6">
        <v>36.59</v>
      </c>
      <c r="G401" s="6">
        <v>36.3</v>
      </c>
      <c r="H401" s="6">
        <v>36.71</v>
      </c>
      <c r="I401" s="9">
        <v>3.8618375E7</v>
      </c>
      <c r="J401" s="6">
        <v>1.41883368002E9</v>
      </c>
    </row>
    <row r="402">
      <c r="A402" s="4" t="s">
        <v>10</v>
      </c>
      <c r="B402" s="5">
        <v>42221.0</v>
      </c>
      <c r="C402" s="6">
        <v>36.42</v>
      </c>
      <c r="D402" s="13">
        <f>+0.01</f>
        <v>0.01</v>
      </c>
      <c r="E402" s="14">
        <f>+0.03%</f>
        <v>0.0003</v>
      </c>
      <c r="F402" s="6">
        <v>36.75</v>
      </c>
      <c r="G402" s="6">
        <v>36.35</v>
      </c>
      <c r="H402" s="6">
        <v>36.79</v>
      </c>
      <c r="I402" s="9">
        <v>3.0785329E7</v>
      </c>
      <c r="J402" s="6">
        <v>1.13168996332E9</v>
      </c>
    </row>
    <row r="403">
      <c r="A403" s="4" t="s">
        <v>10</v>
      </c>
      <c r="B403" s="5">
        <v>42222.0</v>
      </c>
      <c r="C403" s="6">
        <v>36.1</v>
      </c>
      <c r="D403" s="11">
        <v>-0.32</v>
      </c>
      <c r="E403" s="12">
        <v>-0.0087</v>
      </c>
      <c r="F403" s="6">
        <v>36.23</v>
      </c>
      <c r="G403" s="6">
        <v>36.0</v>
      </c>
      <c r="H403" s="6">
        <v>36.25</v>
      </c>
      <c r="I403" s="9">
        <v>4.2182275E7</v>
      </c>
      <c r="J403" s="6">
        <v>1.53256904605E9</v>
      </c>
    </row>
    <row r="404">
      <c r="A404" s="4" t="s">
        <v>10</v>
      </c>
      <c r="B404" s="5">
        <v>42223.0</v>
      </c>
      <c r="C404" s="6">
        <v>36.08</v>
      </c>
      <c r="D404" s="11">
        <v>-0.02</v>
      </c>
      <c r="E404" s="12">
        <v>-6.0E-4</v>
      </c>
      <c r="F404" s="6">
        <v>36.1</v>
      </c>
      <c r="G404" s="6">
        <v>36.0</v>
      </c>
      <c r="H404" s="6">
        <v>36.24</v>
      </c>
      <c r="I404" s="9">
        <v>3.7027158E7</v>
      </c>
      <c r="J404" s="6">
        <v>1.34495509059E9</v>
      </c>
    </row>
    <row r="405">
      <c r="A405" s="4" t="s">
        <v>10</v>
      </c>
      <c r="B405" s="5">
        <v>42226.0</v>
      </c>
      <c r="C405" s="6">
        <v>36.69</v>
      </c>
      <c r="D405" s="13">
        <f>+0.61</f>
        <v>0.61</v>
      </c>
      <c r="E405" s="14">
        <f>+1.68%</f>
        <v>0.0168</v>
      </c>
      <c r="F405" s="6">
        <v>36.3</v>
      </c>
      <c r="G405" s="6">
        <v>36.26</v>
      </c>
      <c r="H405" s="6">
        <v>36.77</v>
      </c>
      <c r="I405" s="9">
        <v>4.3071886E7</v>
      </c>
      <c r="J405" s="6">
        <v>1.58576730791E9</v>
      </c>
    </row>
    <row r="406">
      <c r="A406" s="4" t="s">
        <v>10</v>
      </c>
      <c r="B406" s="5">
        <v>42227.0</v>
      </c>
      <c r="C406" s="6">
        <v>35.88</v>
      </c>
      <c r="D406" s="11">
        <v>-0.81</v>
      </c>
      <c r="E406" s="12">
        <v>-0.0219</v>
      </c>
      <c r="F406" s="6">
        <v>35.82</v>
      </c>
      <c r="G406" s="6">
        <v>35.57</v>
      </c>
      <c r="H406" s="6">
        <v>35.93</v>
      </c>
      <c r="I406" s="9">
        <v>5.8642542E7</v>
      </c>
      <c r="J406" s="6">
        <v>2.11028177342E9</v>
      </c>
    </row>
    <row r="407">
      <c r="A407" s="4" t="s">
        <v>10</v>
      </c>
      <c r="B407" s="5">
        <v>42228.0</v>
      </c>
      <c r="C407" s="6">
        <v>35.33</v>
      </c>
      <c r="D407" s="11">
        <v>-0.56</v>
      </c>
      <c r="E407" s="12">
        <v>-0.0155</v>
      </c>
      <c r="F407" s="6">
        <v>35.24</v>
      </c>
      <c r="G407" s="6">
        <v>35.04</v>
      </c>
      <c r="H407" s="6">
        <v>35.34</v>
      </c>
      <c r="I407" s="9">
        <v>6.4539958E7</v>
      </c>
      <c r="J407" s="6">
        <v>2.28495570648E9</v>
      </c>
    </row>
    <row r="408">
      <c r="A408" s="4" t="s">
        <v>10</v>
      </c>
      <c r="B408" s="5">
        <v>42229.0</v>
      </c>
      <c r="C408" s="6">
        <v>35.27</v>
      </c>
      <c r="D408" s="11">
        <v>-0.06</v>
      </c>
      <c r="E408" s="12">
        <v>-0.0017</v>
      </c>
      <c r="F408" s="6">
        <v>35.34</v>
      </c>
      <c r="G408" s="6">
        <v>35.21</v>
      </c>
      <c r="H408" s="6">
        <v>35.49</v>
      </c>
      <c r="I408" s="9">
        <v>5.8165632E7</v>
      </c>
      <c r="J408" s="6">
        <v>2.06846019426E9</v>
      </c>
    </row>
    <row r="409">
      <c r="A409" s="4" t="s">
        <v>10</v>
      </c>
      <c r="B409" s="5">
        <v>42230.0</v>
      </c>
      <c r="C409" s="6">
        <v>35.32</v>
      </c>
      <c r="D409" s="13">
        <f>+0.05</f>
        <v>0.05</v>
      </c>
      <c r="E409" s="14">
        <f>+0.14%</f>
        <v>0.0014</v>
      </c>
      <c r="F409" s="6">
        <v>35.36</v>
      </c>
      <c r="G409" s="6">
        <v>35.28</v>
      </c>
      <c r="H409" s="6">
        <v>35.47</v>
      </c>
      <c r="I409" s="9">
        <v>3.5715206E7</v>
      </c>
      <c r="J409" s="6">
        <v>1.27020305699E9</v>
      </c>
    </row>
    <row r="410">
      <c r="A410" s="4" t="s">
        <v>10</v>
      </c>
      <c r="B410" s="5">
        <v>42233.0</v>
      </c>
      <c r="C410" s="6">
        <v>34.93</v>
      </c>
      <c r="D410" s="11">
        <v>-0.39</v>
      </c>
      <c r="E410" s="12">
        <v>-0.011</v>
      </c>
      <c r="F410" s="6">
        <v>34.81</v>
      </c>
      <c r="G410" s="6">
        <v>34.74</v>
      </c>
      <c r="H410" s="6">
        <v>34.97</v>
      </c>
      <c r="I410" s="9">
        <v>4.2609469E7</v>
      </c>
      <c r="J410" s="6">
        <v>1.49499603887E9</v>
      </c>
    </row>
    <row r="411">
      <c r="A411" s="4" t="s">
        <v>10</v>
      </c>
      <c r="B411" s="5">
        <v>42234.0</v>
      </c>
      <c r="C411" s="6">
        <v>34.55</v>
      </c>
      <c r="D411" s="11">
        <v>-0.38</v>
      </c>
      <c r="E411" s="12">
        <v>-0.0108</v>
      </c>
      <c r="F411" s="6">
        <v>34.54</v>
      </c>
      <c r="G411" s="6">
        <v>34.43</v>
      </c>
      <c r="H411" s="6">
        <v>34.64</v>
      </c>
      <c r="I411" s="9">
        <v>4.263948E7</v>
      </c>
      <c r="J411" s="6">
        <v>1.48173779718E9</v>
      </c>
    </row>
    <row r="412">
      <c r="A412" s="4" t="s">
        <v>10</v>
      </c>
      <c r="B412" s="5">
        <v>42235.0</v>
      </c>
      <c r="C412" s="6">
        <v>34.12</v>
      </c>
      <c r="D412" s="11">
        <v>-0.43</v>
      </c>
      <c r="E412" s="12">
        <v>-0.0124</v>
      </c>
      <c r="F412" s="6">
        <v>34.29</v>
      </c>
      <c r="G412" s="6">
        <v>33.84</v>
      </c>
      <c r="H412" s="6">
        <v>34.47</v>
      </c>
      <c r="I412" s="9">
        <v>1.12308575E8</v>
      </c>
      <c r="J412" s="6">
        <v>3.85944453295E9</v>
      </c>
    </row>
    <row r="413">
      <c r="A413" s="4" t="s">
        <v>10</v>
      </c>
      <c r="B413" s="5">
        <v>42236.0</v>
      </c>
      <c r="C413" s="6">
        <v>33.59</v>
      </c>
      <c r="D413" s="11">
        <v>-0.54</v>
      </c>
      <c r="E413" s="12">
        <v>-0.0157</v>
      </c>
      <c r="F413" s="6">
        <v>33.67</v>
      </c>
      <c r="G413" s="6">
        <v>33.5</v>
      </c>
      <c r="H413" s="6">
        <v>33.77</v>
      </c>
      <c r="I413" s="9">
        <v>1.16628642E8</v>
      </c>
      <c r="J413" s="6">
        <v>3.94480657431E9</v>
      </c>
    </row>
    <row r="414">
      <c r="A414" s="4" t="s">
        <v>10</v>
      </c>
      <c r="B414" s="5">
        <v>42237.0</v>
      </c>
      <c r="C414" s="6">
        <v>32.55</v>
      </c>
      <c r="D414" s="11">
        <v>-1.03</v>
      </c>
      <c r="E414" s="12">
        <v>-0.0308</v>
      </c>
      <c r="F414" s="6">
        <v>33.09</v>
      </c>
      <c r="G414" s="6">
        <v>32.51</v>
      </c>
      <c r="H414" s="6">
        <v>33.25</v>
      </c>
      <c r="I414" s="9">
        <v>1.29140197E8</v>
      </c>
      <c r="J414" s="6">
        <v>4.27013648677E9</v>
      </c>
    </row>
    <row r="415">
      <c r="A415" s="4" t="s">
        <v>10</v>
      </c>
      <c r="B415" s="5">
        <v>42240.0</v>
      </c>
      <c r="C415" s="6">
        <v>31.13</v>
      </c>
      <c r="D415" s="11">
        <v>-1.42</v>
      </c>
      <c r="E415" s="12">
        <v>-0.0437</v>
      </c>
      <c r="F415" s="6">
        <v>30.35</v>
      </c>
      <c r="G415" s="6">
        <v>29.82</v>
      </c>
      <c r="H415" s="6">
        <v>32.03</v>
      </c>
      <c r="I415" s="9">
        <v>2.18802277E8</v>
      </c>
      <c r="J415" s="6">
        <v>6.86424213997E9</v>
      </c>
    </row>
    <row r="416">
      <c r="A416" s="4" t="s">
        <v>10</v>
      </c>
      <c r="B416" s="5">
        <v>42241.0</v>
      </c>
      <c r="C416" s="6">
        <v>31.53</v>
      </c>
      <c r="D416" s="13">
        <f>+0.4</f>
        <v>0.4</v>
      </c>
      <c r="E416" s="14">
        <f>+1.28%</f>
        <v>0.0128</v>
      </c>
      <c r="F416" s="6">
        <v>33.06</v>
      </c>
      <c r="G416" s="6">
        <v>31.53</v>
      </c>
      <c r="H416" s="6">
        <v>33.08</v>
      </c>
      <c r="I416" s="9">
        <v>1.35001767E8</v>
      </c>
      <c r="J416" s="6">
        <v>4.38802076219E9</v>
      </c>
    </row>
    <row r="417">
      <c r="A417" s="4" t="s">
        <v>10</v>
      </c>
      <c r="B417" s="5">
        <v>42242.0</v>
      </c>
      <c r="C417" s="6">
        <v>32.57</v>
      </c>
      <c r="D417" s="13">
        <f>+1.04</f>
        <v>1.04</v>
      </c>
      <c r="E417" s="14">
        <f>+3.31%</f>
        <v>0.0331</v>
      </c>
      <c r="F417" s="6">
        <v>32.32</v>
      </c>
      <c r="G417" s="6">
        <v>31.72</v>
      </c>
      <c r="H417" s="6">
        <v>32.7</v>
      </c>
      <c r="I417" s="9">
        <v>1.34618542E8</v>
      </c>
      <c r="J417" s="6">
        <v>4.36531941693E9</v>
      </c>
    </row>
    <row r="418">
      <c r="A418" s="4" t="s">
        <v>10</v>
      </c>
      <c r="B418" s="5">
        <v>42243.0</v>
      </c>
      <c r="C418" s="6">
        <v>34.01</v>
      </c>
      <c r="D418" s="13">
        <f>+1.44</f>
        <v>1.44</v>
      </c>
      <c r="E418" s="14">
        <f>+4.42%</f>
        <v>0.0442</v>
      </c>
      <c r="F418" s="6">
        <v>33.21</v>
      </c>
      <c r="G418" s="6">
        <v>33.2</v>
      </c>
      <c r="H418" s="6">
        <v>34.07</v>
      </c>
      <c r="I418" s="9">
        <v>1.44856251E8</v>
      </c>
      <c r="J418" s="6">
        <v>4.91650967344E9</v>
      </c>
    </row>
    <row r="419">
      <c r="A419" s="4" t="s">
        <v>10</v>
      </c>
      <c r="B419" s="5">
        <v>42244.0</v>
      </c>
      <c r="C419" s="6">
        <v>33.58</v>
      </c>
      <c r="D419" s="11">
        <v>-0.44</v>
      </c>
      <c r="E419" s="12">
        <v>-0.0129</v>
      </c>
      <c r="F419" s="6">
        <v>33.5</v>
      </c>
      <c r="G419" s="6">
        <v>33.39</v>
      </c>
      <c r="H419" s="6">
        <v>33.81</v>
      </c>
      <c r="I419" s="9">
        <v>6.8659175E7</v>
      </c>
      <c r="J419" s="6">
        <v>2.31968960777E9</v>
      </c>
    </row>
    <row r="420">
      <c r="A420" s="4" t="s">
        <v>10</v>
      </c>
      <c r="B420" s="5">
        <v>42247.0</v>
      </c>
      <c r="C420" s="6">
        <v>33.64</v>
      </c>
      <c r="D420" s="13">
        <f>+0.06</f>
        <v>0.06</v>
      </c>
      <c r="E420" s="14">
        <f>+0.18%</f>
        <v>0.0018</v>
      </c>
      <c r="F420" s="6">
        <v>33.33</v>
      </c>
      <c r="G420" s="6">
        <v>33.05</v>
      </c>
      <c r="H420" s="6">
        <v>33.7</v>
      </c>
      <c r="I420" s="9">
        <v>9.8538591E7</v>
      </c>
      <c r="J420" s="6">
        <v>3.31943845966E9</v>
      </c>
    </row>
    <row r="421">
      <c r="A421" s="4" t="s">
        <v>10</v>
      </c>
      <c r="B421" s="5">
        <v>42248.0</v>
      </c>
      <c r="C421" s="6">
        <v>32.33</v>
      </c>
      <c r="D421" s="11">
        <v>-1.3</v>
      </c>
      <c r="E421" s="12">
        <v>-0.0387</v>
      </c>
      <c r="F421" s="6">
        <v>32.61</v>
      </c>
      <c r="G421" s="6">
        <v>32.17</v>
      </c>
      <c r="H421" s="6">
        <v>32.82</v>
      </c>
      <c r="I421" s="9">
        <v>8.3635912E7</v>
      </c>
      <c r="J421" s="6">
        <v>2.73436999478E9</v>
      </c>
    </row>
    <row r="422">
      <c r="A422" s="4" t="s">
        <v>10</v>
      </c>
      <c r="B422" s="5">
        <v>42249.0</v>
      </c>
      <c r="C422" s="6">
        <v>32.8</v>
      </c>
      <c r="D422" s="13">
        <f>+0.47</f>
        <v>0.47</v>
      </c>
      <c r="E422" s="14">
        <f>+1.44%</f>
        <v>0.0144</v>
      </c>
      <c r="F422" s="6">
        <v>32.84</v>
      </c>
      <c r="G422" s="6">
        <v>32.44</v>
      </c>
      <c r="H422" s="6">
        <v>32.85</v>
      </c>
      <c r="I422" s="9">
        <v>5.5550982E7</v>
      </c>
      <c r="J422" s="6">
        <v>1.82606769174E9</v>
      </c>
    </row>
    <row r="423">
      <c r="A423" s="4" t="s">
        <v>10</v>
      </c>
      <c r="B423" s="5">
        <v>42250.0</v>
      </c>
      <c r="C423" s="6">
        <v>32.93</v>
      </c>
      <c r="D423" s="13">
        <f>+0.13</f>
        <v>0.13</v>
      </c>
      <c r="E423" s="14">
        <f>+0.39%</f>
        <v>0.0039</v>
      </c>
      <c r="F423" s="6">
        <v>32.86</v>
      </c>
      <c r="G423" s="6">
        <v>32.81</v>
      </c>
      <c r="H423" s="6">
        <v>33.36</v>
      </c>
      <c r="I423" s="9">
        <v>6.7468224E7</v>
      </c>
      <c r="J423" s="6">
        <v>2.2453843321E9</v>
      </c>
    </row>
    <row r="424">
      <c r="A424" s="4" t="s">
        <v>10</v>
      </c>
      <c r="B424" s="5">
        <v>42251.0</v>
      </c>
      <c r="C424" s="6">
        <v>31.95</v>
      </c>
      <c r="D424" s="11">
        <v>-0.98</v>
      </c>
      <c r="E424" s="12">
        <v>-0.0299</v>
      </c>
      <c r="F424" s="6">
        <v>32.32</v>
      </c>
      <c r="G424" s="6">
        <v>31.75</v>
      </c>
      <c r="H424" s="6">
        <v>32.41</v>
      </c>
      <c r="I424" s="9">
        <v>8.1962808E7</v>
      </c>
      <c r="J424" s="6">
        <v>2.63834665137E9</v>
      </c>
    </row>
    <row r="425">
      <c r="A425" s="4" t="s">
        <v>10</v>
      </c>
      <c r="B425" s="5">
        <v>42255.0</v>
      </c>
      <c r="C425" s="6">
        <v>32.96</v>
      </c>
      <c r="D425" s="13">
        <f>+1.01</f>
        <v>1.01</v>
      </c>
      <c r="E425" s="14">
        <f>+3.17%</f>
        <v>0.0317</v>
      </c>
      <c r="F425" s="6">
        <v>32.82</v>
      </c>
      <c r="G425" s="6">
        <v>32.66</v>
      </c>
      <c r="H425" s="6">
        <v>33.01</v>
      </c>
      <c r="I425" s="9">
        <v>5.3584297E7</v>
      </c>
      <c r="J425" s="6">
        <v>1.77069936343E9</v>
      </c>
    </row>
    <row r="426">
      <c r="A426" s="4" t="s">
        <v>10</v>
      </c>
      <c r="B426" s="5">
        <v>42256.0</v>
      </c>
      <c r="C426" s="6">
        <v>32.79</v>
      </c>
      <c r="D426" s="11">
        <v>-0.17</v>
      </c>
      <c r="E426" s="12">
        <v>-0.0051</v>
      </c>
      <c r="F426" s="6">
        <v>33.58</v>
      </c>
      <c r="G426" s="6">
        <v>32.79</v>
      </c>
      <c r="H426" s="6">
        <v>33.64</v>
      </c>
      <c r="I426" s="9">
        <v>5.6389186E7</v>
      </c>
      <c r="J426" s="6">
        <v>1.87980053598E9</v>
      </c>
    </row>
    <row r="427">
      <c r="A427" s="4" t="s">
        <v>10</v>
      </c>
      <c r="B427" s="5">
        <v>42257.0</v>
      </c>
      <c r="C427" s="6">
        <v>33.13</v>
      </c>
      <c r="D427" s="13">
        <f>+0.34</f>
        <v>0.34</v>
      </c>
      <c r="E427" s="14">
        <f>+1.03%</f>
        <v>0.0103</v>
      </c>
      <c r="F427" s="6">
        <v>32.88</v>
      </c>
      <c r="G427" s="6">
        <v>32.8</v>
      </c>
      <c r="H427" s="6">
        <v>33.33</v>
      </c>
      <c r="I427" s="9">
        <v>4.97454E7</v>
      </c>
      <c r="J427" s="6">
        <v>1.6555340964E9</v>
      </c>
    </row>
    <row r="428">
      <c r="A428" s="4" t="s">
        <v>10</v>
      </c>
      <c r="B428" s="5">
        <v>42258.0</v>
      </c>
      <c r="C428" s="6">
        <v>33.26</v>
      </c>
      <c r="D428" s="13">
        <f>+0.13</f>
        <v>0.13</v>
      </c>
      <c r="E428" s="14">
        <f>+0.39%</f>
        <v>0.0039</v>
      </c>
      <c r="F428" s="6">
        <v>33.04</v>
      </c>
      <c r="G428" s="6">
        <v>32.97</v>
      </c>
      <c r="H428" s="6">
        <v>33.3</v>
      </c>
      <c r="I428" s="9">
        <v>4.2195874E7</v>
      </c>
      <c r="J428" s="6">
        <v>1.40750739528E9</v>
      </c>
    </row>
    <row r="429">
      <c r="A429" s="4" t="s">
        <v>10</v>
      </c>
      <c r="B429" s="5">
        <v>42261.0</v>
      </c>
      <c r="C429" s="6">
        <v>33.21</v>
      </c>
      <c r="D429" s="11">
        <v>-0.05</v>
      </c>
      <c r="E429" s="12">
        <v>-0.0015</v>
      </c>
      <c r="F429" s="6">
        <v>33.15</v>
      </c>
      <c r="G429" s="6">
        <v>32.95</v>
      </c>
      <c r="H429" s="6">
        <v>33.25</v>
      </c>
      <c r="I429" s="9">
        <v>3.9313763E7</v>
      </c>
      <c r="J429" s="6">
        <v>1.31001586787E9</v>
      </c>
    </row>
    <row r="430">
      <c r="A430" s="4" t="s">
        <v>10</v>
      </c>
      <c r="B430" s="5">
        <v>42262.0</v>
      </c>
      <c r="C430" s="6">
        <v>33.53</v>
      </c>
      <c r="D430" s="13">
        <f>+0.32</f>
        <v>0.32</v>
      </c>
      <c r="E430" s="14">
        <f>+0.96%</f>
        <v>0.0096</v>
      </c>
      <c r="F430" s="6">
        <v>33.2</v>
      </c>
      <c r="G430" s="6">
        <v>33.16</v>
      </c>
      <c r="H430" s="6">
        <v>33.62</v>
      </c>
      <c r="I430" s="9">
        <v>5.1913629E7</v>
      </c>
      <c r="J430" s="6">
        <v>1.74709827094E9</v>
      </c>
    </row>
    <row r="431">
      <c r="A431" s="4" t="s">
        <v>10</v>
      </c>
      <c r="B431" s="5">
        <v>42263.0</v>
      </c>
      <c r="C431" s="6">
        <v>34.34</v>
      </c>
      <c r="D431" s="13">
        <f>+0.82</f>
        <v>0.82</v>
      </c>
      <c r="E431" s="14">
        <f>+2.43%</f>
        <v>0.0243</v>
      </c>
      <c r="F431" s="6">
        <v>34.07</v>
      </c>
      <c r="G431" s="6">
        <v>34.02</v>
      </c>
      <c r="H431" s="6">
        <v>34.48</v>
      </c>
      <c r="I431" s="9">
        <v>8.5209588E7</v>
      </c>
      <c r="J431" s="6">
        <v>2.93887729392E9</v>
      </c>
    </row>
    <row r="432">
      <c r="A432" s="4" t="s">
        <v>10</v>
      </c>
      <c r="B432" s="5">
        <v>42264.0</v>
      </c>
      <c r="C432" s="6">
        <v>34.26</v>
      </c>
      <c r="D432" s="11">
        <v>-0.08</v>
      </c>
      <c r="E432" s="12">
        <v>-0.0023</v>
      </c>
      <c r="F432" s="6">
        <v>34.07</v>
      </c>
      <c r="G432" s="6">
        <v>34.05</v>
      </c>
      <c r="H432" s="6">
        <v>35.14</v>
      </c>
      <c r="I432" s="9">
        <v>1.05902366E8</v>
      </c>
      <c r="J432" s="6">
        <v>3.6699055992E9</v>
      </c>
    </row>
    <row r="433">
      <c r="A433" s="4" t="s">
        <v>10</v>
      </c>
      <c r="B433" s="5">
        <v>42265.0</v>
      </c>
      <c r="C433" s="6">
        <v>33.63</v>
      </c>
      <c r="D433" s="11">
        <v>-0.64</v>
      </c>
      <c r="E433" s="12">
        <v>-0.0186</v>
      </c>
      <c r="F433" s="6">
        <v>33.93</v>
      </c>
      <c r="G433" s="6">
        <v>33.49</v>
      </c>
      <c r="H433" s="6">
        <v>34.17</v>
      </c>
      <c r="I433" s="9">
        <v>9.096493E7</v>
      </c>
      <c r="J433" s="6">
        <v>3.09529871555E9</v>
      </c>
    </row>
    <row r="434">
      <c r="A434" s="4" t="s">
        <v>10</v>
      </c>
      <c r="B434" s="5">
        <v>42268.0</v>
      </c>
      <c r="C434" s="6">
        <v>33.57</v>
      </c>
      <c r="D434" s="11">
        <v>-0.06</v>
      </c>
      <c r="E434" s="12">
        <v>-0.0018</v>
      </c>
      <c r="F434" s="6">
        <v>33.64</v>
      </c>
      <c r="G434" s="6">
        <v>33.44</v>
      </c>
      <c r="H434" s="6">
        <v>33.7</v>
      </c>
      <c r="I434" s="9">
        <v>4.5318262E7</v>
      </c>
      <c r="J434" s="6">
        <v>1.53099387501E9</v>
      </c>
    </row>
    <row r="435">
      <c r="A435" s="4" t="s">
        <v>10</v>
      </c>
      <c r="B435" s="5">
        <v>42269.0</v>
      </c>
      <c r="C435" s="6">
        <v>32.94</v>
      </c>
      <c r="D435" s="11">
        <v>-0.63</v>
      </c>
      <c r="E435" s="12">
        <v>-0.0187</v>
      </c>
      <c r="F435" s="6">
        <v>32.84</v>
      </c>
      <c r="G435" s="6">
        <v>32.68</v>
      </c>
      <c r="H435" s="6">
        <v>32.97</v>
      </c>
      <c r="I435" s="9">
        <v>5.8874115E7</v>
      </c>
      <c r="J435" s="6">
        <v>1.94503829994E9</v>
      </c>
    </row>
    <row r="436">
      <c r="A436" s="4" t="s">
        <v>10</v>
      </c>
      <c r="B436" s="5">
        <v>42270.0</v>
      </c>
      <c r="C436" s="6">
        <v>32.41</v>
      </c>
      <c r="D436" s="11">
        <v>-0.53</v>
      </c>
      <c r="E436" s="12">
        <v>-0.016</v>
      </c>
      <c r="F436" s="6">
        <v>32.79</v>
      </c>
      <c r="G436" s="6">
        <v>32.4</v>
      </c>
      <c r="H436" s="6">
        <v>32.83</v>
      </c>
      <c r="I436" s="9">
        <v>4.4721041E7</v>
      </c>
      <c r="J436" s="6">
        <v>1.46445034038E9</v>
      </c>
    </row>
    <row r="437">
      <c r="A437" s="4" t="s">
        <v>10</v>
      </c>
      <c r="B437" s="5">
        <v>42271.0</v>
      </c>
      <c r="C437" s="6">
        <v>32.28</v>
      </c>
      <c r="D437" s="11">
        <v>-0.14</v>
      </c>
      <c r="E437" s="12">
        <v>-0.0043</v>
      </c>
      <c r="F437" s="6">
        <v>31.91</v>
      </c>
      <c r="G437" s="6">
        <v>31.75</v>
      </c>
      <c r="H437" s="6">
        <v>32.43</v>
      </c>
      <c r="I437" s="9">
        <v>7.9880757E7</v>
      </c>
      <c r="J437" s="6">
        <v>2.58106500076E9</v>
      </c>
    </row>
    <row r="438">
      <c r="A438" s="4" t="s">
        <v>10</v>
      </c>
      <c r="B438" s="5">
        <v>42272.0</v>
      </c>
      <c r="C438" s="6">
        <v>32.21</v>
      </c>
      <c r="D438" s="11">
        <v>-0.07</v>
      </c>
      <c r="E438" s="12">
        <v>-0.0022</v>
      </c>
      <c r="F438" s="6">
        <v>32.74</v>
      </c>
      <c r="G438" s="6">
        <v>32.16</v>
      </c>
      <c r="H438" s="6">
        <v>32.74</v>
      </c>
      <c r="I438" s="9">
        <v>5.9861594E7</v>
      </c>
      <c r="J438" s="6">
        <v>1.94921111943E9</v>
      </c>
    </row>
    <row r="439">
      <c r="A439" s="4" t="s">
        <v>10</v>
      </c>
      <c r="B439" s="5">
        <v>42275.0</v>
      </c>
      <c r="C439" s="6">
        <v>31.52</v>
      </c>
      <c r="D439" s="11">
        <v>-0.69</v>
      </c>
      <c r="E439" s="12">
        <v>-0.0213</v>
      </c>
      <c r="F439" s="6">
        <v>31.95</v>
      </c>
      <c r="G439" s="6">
        <v>31.42</v>
      </c>
      <c r="H439" s="6">
        <v>31.96</v>
      </c>
      <c r="I439" s="9">
        <v>5.8659482E7</v>
      </c>
      <c r="J439" s="6">
        <v>1.86441296007E9</v>
      </c>
    </row>
    <row r="440">
      <c r="A440" s="4" t="s">
        <v>10</v>
      </c>
      <c r="B440" s="5">
        <v>42276.0</v>
      </c>
      <c r="C440" s="6">
        <v>31.67</v>
      </c>
      <c r="D440" s="13">
        <f>+0.15</f>
        <v>0.15</v>
      </c>
      <c r="E440" s="14">
        <f>+0.47%</f>
        <v>0.0047</v>
      </c>
      <c r="F440" s="6">
        <v>31.63</v>
      </c>
      <c r="G440" s="6">
        <v>31.45</v>
      </c>
      <c r="H440" s="6">
        <v>31.83</v>
      </c>
      <c r="I440" s="9">
        <v>5.2829467E7</v>
      </c>
      <c r="J440" s="6">
        <v>1.68243768969E9</v>
      </c>
    </row>
    <row r="441">
      <c r="A441" s="4" t="s">
        <v>10</v>
      </c>
      <c r="B441" s="5">
        <v>42277.0</v>
      </c>
      <c r="C441" s="6">
        <v>32.58</v>
      </c>
      <c r="D441" s="13">
        <f>+0.91</f>
        <v>0.91</v>
      </c>
      <c r="E441" s="14">
        <f>+2.89%</f>
        <v>0.0289</v>
      </c>
      <c r="F441" s="6">
        <v>32.49</v>
      </c>
      <c r="G441" s="6">
        <v>32.29</v>
      </c>
      <c r="H441" s="6">
        <v>32.65</v>
      </c>
      <c r="I441" s="9">
        <v>8.0422192E7</v>
      </c>
      <c r="J441" s="6">
        <v>2.6295258629E9</v>
      </c>
    </row>
    <row r="442">
      <c r="A442" s="4" t="s">
        <v>10</v>
      </c>
      <c r="B442" s="5">
        <v>42278.0</v>
      </c>
      <c r="C442" s="6">
        <v>32.76</v>
      </c>
      <c r="D442" s="13">
        <f>+0.18</f>
        <v>0.18</v>
      </c>
      <c r="E442" s="14">
        <f>+0.55%</f>
        <v>0.0055</v>
      </c>
      <c r="F442" s="6">
        <v>32.85</v>
      </c>
      <c r="G442" s="6">
        <v>32.51</v>
      </c>
      <c r="H442" s="6">
        <v>32.92</v>
      </c>
      <c r="I442" s="9">
        <v>4.8402553E7</v>
      </c>
      <c r="J442" s="6">
        <v>1.59455859215E9</v>
      </c>
    </row>
    <row r="443">
      <c r="A443" s="4" t="s">
        <v>10</v>
      </c>
      <c r="B443" s="5">
        <v>42279.0</v>
      </c>
      <c r="C443" s="6">
        <v>33.64</v>
      </c>
      <c r="D443" s="13">
        <f>+0.87</f>
        <v>0.87</v>
      </c>
      <c r="E443" s="14">
        <f>+2.67%</f>
        <v>0.0267</v>
      </c>
      <c r="F443" s="6">
        <v>32.61</v>
      </c>
      <c r="G443" s="6">
        <v>32.49</v>
      </c>
      <c r="H443" s="6">
        <v>33.65</v>
      </c>
      <c r="I443" s="9">
        <v>8.390465E7</v>
      </c>
      <c r="J443" s="6">
        <v>2.80419967269E9</v>
      </c>
    </row>
    <row r="444">
      <c r="A444" s="4" t="s">
        <v>10</v>
      </c>
      <c r="B444" s="5">
        <v>42282.0</v>
      </c>
      <c r="C444" s="6">
        <v>34.36</v>
      </c>
      <c r="D444" s="13">
        <f>+0.73</f>
        <v>0.73</v>
      </c>
      <c r="E444" s="14">
        <f>+2.16%</f>
        <v>0.0216</v>
      </c>
      <c r="F444" s="6">
        <v>34.02</v>
      </c>
      <c r="G444" s="6">
        <v>33.97</v>
      </c>
      <c r="H444" s="6">
        <v>34.38</v>
      </c>
      <c r="I444" s="9">
        <v>7.7868979E7</v>
      </c>
      <c r="J444" s="6">
        <v>2.68100047762E9</v>
      </c>
    </row>
    <row r="445">
      <c r="A445" s="4" t="s">
        <v>10</v>
      </c>
      <c r="B445" s="5">
        <v>42283.0</v>
      </c>
      <c r="C445" s="6">
        <v>34.3</v>
      </c>
      <c r="D445" s="11">
        <v>-0.06</v>
      </c>
      <c r="E445" s="12">
        <v>-0.0017</v>
      </c>
      <c r="F445" s="6">
        <v>34.24</v>
      </c>
      <c r="G445" s="6">
        <v>34.11</v>
      </c>
      <c r="H445" s="6">
        <v>34.38</v>
      </c>
      <c r="I445" s="9">
        <v>4.7313421E7</v>
      </c>
      <c r="J445" s="6">
        <v>1.63088808797E9</v>
      </c>
    </row>
    <row r="446">
      <c r="A446" s="4" t="s">
        <v>10</v>
      </c>
      <c r="B446" s="5">
        <v>42284.0</v>
      </c>
      <c r="C446" s="6">
        <v>35.22</v>
      </c>
      <c r="D446" s="13">
        <f>+0.91</f>
        <v>0.91</v>
      </c>
      <c r="E446" s="14">
        <f>+2.67%</f>
        <v>0.0267</v>
      </c>
      <c r="F446" s="6">
        <v>35.15</v>
      </c>
      <c r="G446" s="6">
        <v>34.95</v>
      </c>
      <c r="H446" s="6">
        <v>35.44</v>
      </c>
      <c r="I446" s="9">
        <v>9.7905926E7</v>
      </c>
      <c r="J446" s="6">
        <v>3.46448508013E9</v>
      </c>
    </row>
    <row r="447">
      <c r="A447" s="4" t="s">
        <v>10</v>
      </c>
      <c r="B447" s="5">
        <v>42285.0</v>
      </c>
      <c r="C447" s="6">
        <v>35.6</v>
      </c>
      <c r="D447" s="13">
        <f>+0.38</f>
        <v>0.38</v>
      </c>
      <c r="E447" s="14">
        <f>+1.07%</f>
        <v>0.0107</v>
      </c>
      <c r="F447" s="6">
        <v>35.01</v>
      </c>
      <c r="G447" s="6">
        <v>34.97</v>
      </c>
      <c r="H447" s="6">
        <v>35.64</v>
      </c>
      <c r="I447" s="9">
        <v>6.4163639E7</v>
      </c>
      <c r="J447" s="6">
        <v>2.28048813639E9</v>
      </c>
    </row>
    <row r="448">
      <c r="A448" s="4" t="s">
        <v>10</v>
      </c>
      <c r="B448" s="5">
        <v>42286.0</v>
      </c>
      <c r="C448" s="6">
        <v>35.72</v>
      </c>
      <c r="D448" s="13">
        <f>+0.13</f>
        <v>0.13</v>
      </c>
      <c r="E448" s="14">
        <f>+0.36%</f>
        <v>0.0036</v>
      </c>
      <c r="F448" s="6">
        <v>35.95</v>
      </c>
      <c r="G448" s="6">
        <v>35.56</v>
      </c>
      <c r="H448" s="6">
        <v>36.04</v>
      </c>
      <c r="I448" s="9">
        <v>6.1563411E7</v>
      </c>
      <c r="J448" s="6">
        <v>2.21796910607E9</v>
      </c>
    </row>
    <row r="449">
      <c r="A449" s="4" t="s">
        <v>10</v>
      </c>
      <c r="B449" s="5">
        <v>42289.0</v>
      </c>
      <c r="C449" s="6">
        <v>35.46</v>
      </c>
      <c r="D449" s="11">
        <v>-0.27</v>
      </c>
      <c r="E449" s="12">
        <v>-0.0075</v>
      </c>
      <c r="F449" s="6">
        <v>35.78</v>
      </c>
      <c r="G449" s="6">
        <v>35.42</v>
      </c>
      <c r="H449" s="6">
        <v>35.8</v>
      </c>
      <c r="I449" s="9">
        <v>4.4030151E7</v>
      </c>
      <c r="J449" s="6">
        <v>1.57406467987E9</v>
      </c>
    </row>
    <row r="450">
      <c r="A450" s="4" t="s">
        <v>10</v>
      </c>
      <c r="B450" s="5">
        <v>42290.0</v>
      </c>
      <c r="C450" s="6">
        <v>34.88</v>
      </c>
      <c r="D450" s="11">
        <v>-0.58</v>
      </c>
      <c r="E450" s="12">
        <v>-0.0163</v>
      </c>
      <c r="F450" s="6">
        <v>35.04</v>
      </c>
      <c r="G450" s="6">
        <v>34.85</v>
      </c>
      <c r="H450" s="6">
        <v>35.34</v>
      </c>
      <c r="I450" s="9">
        <v>7.224164E7</v>
      </c>
      <c r="J450" s="6">
        <v>2.54670995487E9</v>
      </c>
    </row>
    <row r="451">
      <c r="A451" s="4" t="s">
        <v>10</v>
      </c>
      <c r="B451" s="5">
        <v>42291.0</v>
      </c>
      <c r="C451" s="6">
        <v>35.15</v>
      </c>
      <c r="D451" s="13">
        <f>+0.27</f>
        <v>0.27</v>
      </c>
      <c r="E451" s="14">
        <f>+0.77%</f>
        <v>0.0077</v>
      </c>
      <c r="F451" s="6">
        <v>35.13</v>
      </c>
      <c r="G451" s="6">
        <v>35.03</v>
      </c>
      <c r="H451" s="6">
        <v>35.31</v>
      </c>
      <c r="I451" s="9">
        <v>5.7724924E7</v>
      </c>
      <c r="J451" s="6">
        <v>2.04153615262E9</v>
      </c>
    </row>
    <row r="452">
      <c r="A452" s="4" t="s">
        <v>10</v>
      </c>
      <c r="B452" s="5">
        <v>42292.0</v>
      </c>
      <c r="C452" s="6">
        <v>36.0</v>
      </c>
      <c r="D452" s="13">
        <f>+0.85</f>
        <v>0.85</v>
      </c>
      <c r="E452" s="14">
        <f>+2.43%</f>
        <v>0.0243</v>
      </c>
      <c r="F452" s="6">
        <v>35.72</v>
      </c>
      <c r="G452" s="6">
        <v>35.52</v>
      </c>
      <c r="H452" s="6">
        <v>36.02</v>
      </c>
      <c r="I452" s="9">
        <v>6.0410755E7</v>
      </c>
      <c r="J452" s="6">
        <v>2.17626568407E9</v>
      </c>
    </row>
    <row r="453">
      <c r="A453" s="4" t="s">
        <v>10</v>
      </c>
      <c r="B453" s="5">
        <v>42293.0</v>
      </c>
      <c r="C453" s="6">
        <v>36.03</v>
      </c>
      <c r="D453" s="13">
        <f>+0.03</f>
        <v>0.03</v>
      </c>
      <c r="E453" s="14">
        <f>+0.08%</f>
        <v>0.0008</v>
      </c>
      <c r="F453" s="6">
        <v>35.87</v>
      </c>
      <c r="G453" s="6">
        <v>35.68</v>
      </c>
      <c r="H453" s="6">
        <v>36.04</v>
      </c>
      <c r="I453" s="9">
        <v>6.5003777E7</v>
      </c>
      <c r="J453" s="6">
        <v>2.347671847E9</v>
      </c>
    </row>
    <row r="454">
      <c r="A454" s="4" t="s">
        <v>10</v>
      </c>
      <c r="B454" s="5">
        <v>42296.0</v>
      </c>
      <c r="C454" s="6">
        <v>35.66</v>
      </c>
      <c r="D454" s="11">
        <v>-0.37</v>
      </c>
      <c r="E454" s="12">
        <v>-0.0102</v>
      </c>
      <c r="F454" s="6">
        <v>35.65</v>
      </c>
      <c r="G454" s="6">
        <v>35.49</v>
      </c>
      <c r="H454" s="6">
        <v>35.68</v>
      </c>
      <c r="I454" s="9">
        <v>5.2354553E7</v>
      </c>
      <c r="J454" s="6">
        <v>1.87597988389E9</v>
      </c>
    </row>
    <row r="455">
      <c r="A455" s="4" t="s">
        <v>10</v>
      </c>
      <c r="B455" s="5">
        <v>42297.0</v>
      </c>
      <c r="C455" s="6">
        <v>35.65</v>
      </c>
      <c r="D455" s="11">
        <v>-0.01</v>
      </c>
      <c r="E455" s="12">
        <v>-3.0E-4</v>
      </c>
      <c r="F455" s="6">
        <v>35.58</v>
      </c>
      <c r="G455" s="6">
        <v>35.5</v>
      </c>
      <c r="H455" s="6">
        <v>35.71</v>
      </c>
      <c r="I455" s="9">
        <v>4.4212504E7</v>
      </c>
      <c r="J455" s="6">
        <v>1.58419141356E9</v>
      </c>
    </row>
    <row r="456">
      <c r="A456" s="4" t="s">
        <v>10</v>
      </c>
      <c r="B456" s="5">
        <v>42298.0</v>
      </c>
      <c r="C456" s="6">
        <v>35.14</v>
      </c>
      <c r="D456" s="11">
        <v>-0.52</v>
      </c>
      <c r="E456" s="12">
        <v>-0.0145</v>
      </c>
      <c r="F456" s="6">
        <v>35.43</v>
      </c>
      <c r="G456" s="6">
        <v>35.12</v>
      </c>
      <c r="H456" s="6">
        <v>35.46</v>
      </c>
      <c r="I456" s="9">
        <v>5.5037001E7</v>
      </c>
      <c r="J456" s="6">
        <v>1.9524017871E9</v>
      </c>
    </row>
    <row r="457">
      <c r="A457" s="4" t="s">
        <v>10</v>
      </c>
      <c r="B457" s="5">
        <v>42299.0</v>
      </c>
      <c r="C457" s="6">
        <v>35.86</v>
      </c>
      <c r="D457" s="13">
        <f>+0.73</f>
        <v>0.73</v>
      </c>
      <c r="E457" s="14">
        <f>+2.07%</f>
        <v>0.0207</v>
      </c>
      <c r="F457" s="6">
        <v>35.51</v>
      </c>
      <c r="G457" s="6">
        <v>35.51</v>
      </c>
      <c r="H457" s="6">
        <v>35.94</v>
      </c>
      <c r="I457" s="9">
        <v>5.6963309E7</v>
      </c>
      <c r="J457" s="6">
        <v>2.04965274549E9</v>
      </c>
    </row>
    <row r="458">
      <c r="A458" s="4" t="s">
        <v>10</v>
      </c>
      <c r="B458" s="5">
        <v>42300.0</v>
      </c>
      <c r="C458" s="6">
        <v>36.07</v>
      </c>
      <c r="D458" s="13">
        <f>+0.21</f>
        <v>0.21</v>
      </c>
      <c r="E458" s="14">
        <f>+0.58%</f>
        <v>0.0058</v>
      </c>
      <c r="F458" s="6">
        <v>36.13</v>
      </c>
      <c r="G458" s="6">
        <v>35.93</v>
      </c>
      <c r="H458" s="6">
        <v>36.2</v>
      </c>
      <c r="I458" s="9">
        <v>5.3726991E7</v>
      </c>
      <c r="J458" s="6">
        <v>1.9503900226E9</v>
      </c>
    </row>
    <row r="459">
      <c r="A459" s="4" t="s">
        <v>10</v>
      </c>
      <c r="B459" s="5">
        <v>42303.0</v>
      </c>
      <c r="C459" s="6">
        <v>35.74</v>
      </c>
      <c r="D459" s="11">
        <v>-0.33</v>
      </c>
      <c r="E459" s="12">
        <v>-0.0091</v>
      </c>
      <c r="F459" s="6">
        <v>35.89</v>
      </c>
      <c r="G459" s="6">
        <v>35.7</v>
      </c>
      <c r="H459" s="6">
        <v>35.91</v>
      </c>
      <c r="I459" s="9">
        <v>4.1789192E7</v>
      </c>
      <c r="J459" s="6">
        <v>1.50406489153E9</v>
      </c>
    </row>
    <row r="460">
      <c r="A460" s="4" t="s">
        <v>10</v>
      </c>
      <c r="B460" s="5">
        <v>42304.0</v>
      </c>
      <c r="C460" s="6">
        <v>35.34</v>
      </c>
      <c r="D460" s="11">
        <v>-0.41</v>
      </c>
      <c r="E460" s="12">
        <v>-0.0114</v>
      </c>
      <c r="F460" s="6">
        <v>35.37</v>
      </c>
      <c r="G460" s="6">
        <v>35.26</v>
      </c>
      <c r="H460" s="6">
        <v>35.5</v>
      </c>
      <c r="I460" s="9">
        <v>5.6392847E7</v>
      </c>
      <c r="J460" s="6">
        <v>2.0061043191E9</v>
      </c>
    </row>
    <row r="461">
      <c r="A461" s="4" t="s">
        <v>10</v>
      </c>
      <c r="B461" s="5">
        <v>42305.0</v>
      </c>
      <c r="C461" s="6">
        <v>34.93</v>
      </c>
      <c r="D461" s="11">
        <v>-0.41</v>
      </c>
      <c r="E461" s="12">
        <v>-0.0115</v>
      </c>
      <c r="F461" s="6">
        <v>35.42</v>
      </c>
      <c r="G461" s="6">
        <v>34.73</v>
      </c>
      <c r="H461" s="6">
        <v>35.59</v>
      </c>
      <c r="I461" s="9">
        <v>1.25416012E8</v>
      </c>
      <c r="J461" s="6">
        <v>4.4260613705E9</v>
      </c>
    </row>
    <row r="462">
      <c r="A462" s="4" t="s">
        <v>10</v>
      </c>
      <c r="B462" s="5">
        <v>42306.0</v>
      </c>
      <c r="C462" s="6">
        <v>34.6</v>
      </c>
      <c r="D462" s="11">
        <v>-0.33</v>
      </c>
      <c r="E462" s="12">
        <v>-0.0094</v>
      </c>
      <c r="F462" s="6">
        <v>34.59</v>
      </c>
      <c r="G462" s="6">
        <v>34.53</v>
      </c>
      <c r="H462" s="6">
        <v>34.76</v>
      </c>
      <c r="I462" s="9">
        <v>6.3886035E7</v>
      </c>
      <c r="J462" s="6">
        <v>2.22683013571E9</v>
      </c>
    </row>
    <row r="463">
      <c r="A463" s="4" t="s">
        <v>10</v>
      </c>
      <c r="B463" s="5">
        <v>42307.0</v>
      </c>
      <c r="C463" s="6">
        <v>34.66</v>
      </c>
      <c r="D463" s="13">
        <f>+0.06</f>
        <v>0.06</v>
      </c>
      <c r="E463" s="14">
        <f>+0.17%</f>
        <v>0.0017</v>
      </c>
      <c r="F463" s="6">
        <v>34.86</v>
      </c>
      <c r="G463" s="6">
        <v>34.64</v>
      </c>
      <c r="H463" s="6">
        <v>34.87</v>
      </c>
      <c r="I463" s="9">
        <v>7.2076025E7</v>
      </c>
      <c r="J463" s="6">
        <v>2.51927322921E9</v>
      </c>
    </row>
    <row r="464">
      <c r="A464" s="4" t="s">
        <v>10</v>
      </c>
      <c r="B464" s="5">
        <v>42310.0</v>
      </c>
      <c r="C464" s="6">
        <v>35.35</v>
      </c>
      <c r="D464" s="13">
        <f>+0.69</f>
        <v>0.69</v>
      </c>
      <c r="E464" s="14">
        <f>+1.98%</f>
        <v>0.0198</v>
      </c>
      <c r="F464" s="6">
        <v>34.96</v>
      </c>
      <c r="G464" s="6">
        <v>34.94</v>
      </c>
      <c r="H464" s="6">
        <v>35.35</v>
      </c>
      <c r="I464" s="9">
        <v>5.1896475E7</v>
      </c>
      <c r="J464" s="6">
        <v>1.83704617835E9</v>
      </c>
    </row>
    <row r="465">
      <c r="A465" s="4" t="s">
        <v>10</v>
      </c>
      <c r="B465" s="5">
        <v>42311.0</v>
      </c>
      <c r="C465" s="6">
        <v>35.81</v>
      </c>
      <c r="D465" s="13">
        <f>+0.47</f>
        <v>0.47</v>
      </c>
      <c r="E465" s="14">
        <f>+1.32%</f>
        <v>0.0132</v>
      </c>
      <c r="F465" s="6">
        <v>35.25</v>
      </c>
      <c r="G465" s="6">
        <v>35.24</v>
      </c>
      <c r="H465" s="6">
        <v>35.95</v>
      </c>
      <c r="I465" s="9">
        <v>6.8335371E7</v>
      </c>
      <c r="J465" s="6">
        <v>2.45432242734E9</v>
      </c>
    </row>
    <row r="466">
      <c r="A466" s="4" t="s">
        <v>10</v>
      </c>
      <c r="B466" s="5">
        <v>42312.0</v>
      </c>
      <c r="C466" s="6">
        <v>35.53</v>
      </c>
      <c r="D466" s="11">
        <v>-0.29</v>
      </c>
      <c r="E466" s="12">
        <v>-0.008</v>
      </c>
      <c r="F466" s="6">
        <v>36.03</v>
      </c>
      <c r="G466" s="6">
        <v>35.42</v>
      </c>
      <c r="H466" s="6">
        <v>36.05</v>
      </c>
      <c r="I466" s="9">
        <v>6.9243647E7</v>
      </c>
      <c r="J466" s="6">
        <v>2.4832975415E9</v>
      </c>
    </row>
    <row r="467">
      <c r="A467" s="4" t="s">
        <v>10</v>
      </c>
      <c r="B467" s="5">
        <v>42313.0</v>
      </c>
      <c r="C467" s="6">
        <v>35.59</v>
      </c>
      <c r="D467" s="13">
        <f>+0.06</f>
        <v>0.06</v>
      </c>
      <c r="E467" s="14">
        <f>+0.17%</f>
        <v>0.0017</v>
      </c>
      <c r="F467" s="6">
        <v>35.5</v>
      </c>
      <c r="G467" s="6">
        <v>35.36</v>
      </c>
      <c r="H467" s="6">
        <v>35.7</v>
      </c>
      <c r="I467" s="9">
        <v>4.3303022E7</v>
      </c>
      <c r="J467" s="6">
        <v>1.54830825858E9</v>
      </c>
    </row>
    <row r="468">
      <c r="A468" s="4" t="s">
        <v>10</v>
      </c>
      <c r="B468" s="5">
        <v>42314.0</v>
      </c>
      <c r="C468" s="6">
        <v>35.09</v>
      </c>
      <c r="D468" s="11">
        <v>-0.5</v>
      </c>
      <c r="E468" s="12">
        <v>-0.014</v>
      </c>
      <c r="F468" s="6">
        <v>34.8</v>
      </c>
      <c r="G468" s="6">
        <v>34.61</v>
      </c>
      <c r="H468" s="6">
        <v>35.14</v>
      </c>
      <c r="I468" s="9">
        <v>6.5547223E7</v>
      </c>
      <c r="J468" s="6">
        <v>2.30127536726E9</v>
      </c>
    </row>
    <row r="469">
      <c r="A469" s="4" t="s">
        <v>10</v>
      </c>
      <c r="B469" s="5">
        <v>42317.0</v>
      </c>
      <c r="C469" s="6">
        <v>34.21</v>
      </c>
      <c r="D469" s="11">
        <v>-0.87</v>
      </c>
      <c r="E469" s="12">
        <v>-0.0249</v>
      </c>
      <c r="F469" s="6">
        <v>34.58</v>
      </c>
      <c r="G469" s="6">
        <v>34.13</v>
      </c>
      <c r="H469" s="6">
        <v>34.7</v>
      </c>
      <c r="I469" s="9">
        <v>7.6448575E7</v>
      </c>
      <c r="J469" s="6">
        <v>2.63792452603E9</v>
      </c>
    </row>
    <row r="470">
      <c r="A470" s="4" t="s">
        <v>10</v>
      </c>
      <c r="B470" s="5">
        <v>42318.0</v>
      </c>
      <c r="C470" s="6">
        <v>34.06</v>
      </c>
      <c r="D470" s="11">
        <v>-0.15</v>
      </c>
      <c r="E470" s="12">
        <v>-0.0044</v>
      </c>
      <c r="F470" s="6">
        <v>34.06</v>
      </c>
      <c r="G470" s="6">
        <v>33.92</v>
      </c>
      <c r="H470" s="6">
        <v>34.15</v>
      </c>
      <c r="I470" s="9">
        <v>5.3876189E7</v>
      </c>
      <c r="J470" s="6">
        <v>1.84413716901E9</v>
      </c>
    </row>
    <row r="471">
      <c r="A471" s="4" t="s">
        <v>10</v>
      </c>
      <c r="B471" s="5">
        <v>42319.0</v>
      </c>
      <c r="C471" s="6">
        <v>34.13</v>
      </c>
      <c r="D471" s="13">
        <f>+0.07</f>
        <v>0.07</v>
      </c>
      <c r="E471" s="14">
        <f>+0.2%</f>
        <v>0.002</v>
      </c>
      <c r="F471" s="6">
        <v>34.33</v>
      </c>
      <c r="G471" s="6">
        <v>34.07</v>
      </c>
      <c r="H471" s="6">
        <v>34.34</v>
      </c>
      <c r="I471" s="9">
        <v>3.443308E7</v>
      </c>
      <c r="J471" s="6">
        <v>1.18414918785E9</v>
      </c>
    </row>
    <row r="472">
      <c r="A472" s="4" t="s">
        <v>10</v>
      </c>
      <c r="B472" s="5">
        <v>42320.0</v>
      </c>
      <c r="C472" s="6">
        <v>33.81</v>
      </c>
      <c r="D472" s="11">
        <v>-0.33</v>
      </c>
      <c r="E472" s="12">
        <v>-0.0096</v>
      </c>
      <c r="F472" s="6">
        <v>33.98</v>
      </c>
      <c r="G472" s="6">
        <v>33.78</v>
      </c>
      <c r="H472" s="6">
        <v>34.21</v>
      </c>
      <c r="I472" s="9">
        <v>5.3097924E7</v>
      </c>
      <c r="J472" s="6">
        <v>1.81522393246E9</v>
      </c>
    </row>
    <row r="473">
      <c r="A473" s="4" t="s">
        <v>10</v>
      </c>
      <c r="B473" s="5">
        <v>42321.0</v>
      </c>
      <c r="C473" s="6">
        <v>33.34</v>
      </c>
      <c r="D473" s="11">
        <v>-0.47</v>
      </c>
      <c r="E473" s="12">
        <v>-0.0138</v>
      </c>
      <c r="F473" s="6">
        <v>33.57</v>
      </c>
      <c r="G473" s="6">
        <v>33.24</v>
      </c>
      <c r="H473" s="6">
        <v>33.61</v>
      </c>
      <c r="I473" s="9">
        <v>7.204683E7</v>
      </c>
      <c r="J473" s="6">
        <v>2.41905926611E9</v>
      </c>
    </row>
    <row r="474">
      <c r="A474" s="4" t="s">
        <v>10</v>
      </c>
      <c r="B474" s="5">
        <v>42324.0</v>
      </c>
      <c r="C474" s="6">
        <v>33.98</v>
      </c>
      <c r="D474" s="13">
        <f>+0.65</f>
        <v>0.65</v>
      </c>
      <c r="E474" s="14">
        <f>+1.94%</f>
        <v>0.0194</v>
      </c>
      <c r="F474" s="6">
        <v>33.44</v>
      </c>
      <c r="G474" s="6">
        <v>33.38</v>
      </c>
      <c r="H474" s="6">
        <v>33.99</v>
      </c>
      <c r="I474" s="9">
        <v>6.1895258E7</v>
      </c>
      <c r="J474" s="6">
        <v>2.1023270421E9</v>
      </c>
    </row>
    <row r="475">
      <c r="A475" s="4" t="s">
        <v>10</v>
      </c>
      <c r="B475" s="5">
        <v>42325.0</v>
      </c>
      <c r="C475" s="6">
        <v>33.89</v>
      </c>
      <c r="D475" s="11">
        <v>-0.1</v>
      </c>
      <c r="E475" s="12">
        <v>-0.0029</v>
      </c>
      <c r="F475" s="6">
        <v>34.03</v>
      </c>
      <c r="G475" s="6">
        <v>33.83</v>
      </c>
      <c r="H475" s="6">
        <v>34.09</v>
      </c>
      <c r="I475" s="9">
        <v>5.8447537E7</v>
      </c>
      <c r="J475" s="6">
        <v>1.99645534344E9</v>
      </c>
    </row>
    <row r="476">
      <c r="A476" s="4" t="s">
        <v>10</v>
      </c>
      <c r="B476" s="5">
        <v>42326.0</v>
      </c>
      <c r="C476" s="6">
        <v>34.25</v>
      </c>
      <c r="D476" s="13">
        <f>+0.37</f>
        <v>0.37</v>
      </c>
      <c r="E476" s="14">
        <f>+1.08%</f>
        <v>0.0108</v>
      </c>
      <c r="F476" s="6">
        <v>33.84</v>
      </c>
      <c r="G476" s="6">
        <v>33.82</v>
      </c>
      <c r="H476" s="6">
        <v>34.29</v>
      </c>
      <c r="I476" s="9">
        <v>4.8166088E7</v>
      </c>
      <c r="J476" s="6">
        <v>1.64935393924E9</v>
      </c>
    </row>
    <row r="477">
      <c r="A477" s="4" t="s">
        <v>10</v>
      </c>
      <c r="B477" s="5">
        <v>42327.0</v>
      </c>
      <c r="C477" s="6">
        <v>34.56</v>
      </c>
      <c r="D477" s="13">
        <f>+0.31</f>
        <v>0.31</v>
      </c>
      <c r="E477" s="14">
        <f>+0.9%</f>
        <v>0.009</v>
      </c>
      <c r="F477" s="6">
        <v>34.47</v>
      </c>
      <c r="G477" s="6">
        <v>34.41</v>
      </c>
      <c r="H477" s="6">
        <v>34.65</v>
      </c>
      <c r="I477" s="9">
        <v>6.8973856E7</v>
      </c>
      <c r="J477" s="6">
        <v>2.39786179771E9</v>
      </c>
    </row>
    <row r="478">
      <c r="A478" s="4" t="s">
        <v>10</v>
      </c>
      <c r="B478" s="5">
        <v>42328.0</v>
      </c>
      <c r="C478" s="6">
        <v>34.91</v>
      </c>
      <c r="D478" s="13">
        <f>+0.35</f>
        <v>0.35</v>
      </c>
      <c r="E478" s="14">
        <f>+1.01%</f>
        <v>0.0101</v>
      </c>
      <c r="F478" s="6">
        <v>34.9</v>
      </c>
      <c r="G478" s="6">
        <v>34.8</v>
      </c>
      <c r="H478" s="6">
        <v>35.09</v>
      </c>
      <c r="I478" s="9">
        <v>7.3122394E7</v>
      </c>
      <c r="J478" s="6">
        <v>2.57032377431E9</v>
      </c>
    </row>
    <row r="479">
      <c r="A479" s="4" t="s">
        <v>10</v>
      </c>
      <c r="B479" s="5">
        <v>42331.0</v>
      </c>
      <c r="C479" s="6">
        <v>34.58</v>
      </c>
      <c r="D479" s="11">
        <v>-0.33</v>
      </c>
      <c r="E479" s="12">
        <v>-0.0094</v>
      </c>
      <c r="F479" s="6">
        <v>34.76</v>
      </c>
      <c r="G479" s="6">
        <v>34.55</v>
      </c>
      <c r="H479" s="6">
        <v>34.83</v>
      </c>
      <c r="I479" s="9">
        <v>5.5352079E7</v>
      </c>
      <c r="J479" s="6">
        <v>1.93032488456E9</v>
      </c>
    </row>
    <row r="480">
      <c r="A480" s="4" t="s">
        <v>10</v>
      </c>
      <c r="B480" s="5">
        <v>42332.0</v>
      </c>
      <c r="C480" s="6">
        <v>34.76</v>
      </c>
      <c r="D480" s="13">
        <f>+0.18</f>
        <v>0.18</v>
      </c>
      <c r="E480" s="14">
        <f>+0.52%</f>
        <v>0.0052</v>
      </c>
      <c r="F480" s="6">
        <v>34.35</v>
      </c>
      <c r="G480" s="6">
        <v>34.32</v>
      </c>
      <c r="H480" s="6">
        <v>34.82</v>
      </c>
      <c r="I480" s="9">
        <v>6.2017473E7</v>
      </c>
      <c r="J480" s="6">
        <v>2.15816080106E9</v>
      </c>
    </row>
    <row r="481">
      <c r="A481" s="4" t="s">
        <v>10</v>
      </c>
      <c r="B481" s="5">
        <v>42333.0</v>
      </c>
      <c r="C481" s="6">
        <v>34.49</v>
      </c>
      <c r="D481" s="11">
        <v>-0.27</v>
      </c>
      <c r="E481" s="12">
        <v>-0.0077</v>
      </c>
      <c r="F481" s="6">
        <v>34.54</v>
      </c>
      <c r="G481" s="6">
        <v>34.36</v>
      </c>
      <c r="H481" s="6">
        <v>34.57</v>
      </c>
      <c r="I481" s="9">
        <v>3.7938276E7</v>
      </c>
      <c r="J481" s="6">
        <v>1.31582346576E9</v>
      </c>
    </row>
    <row r="482">
      <c r="A482" s="4" t="s">
        <v>10</v>
      </c>
      <c r="B482" s="5">
        <v>42335.0</v>
      </c>
      <c r="C482" s="6">
        <v>33.74</v>
      </c>
      <c r="D482" s="11">
        <v>-0.76</v>
      </c>
      <c r="E482" s="12">
        <v>-0.0219</v>
      </c>
      <c r="F482" s="6">
        <v>34.03</v>
      </c>
      <c r="G482" s="6">
        <v>33.7</v>
      </c>
      <c r="H482" s="6">
        <v>34.04</v>
      </c>
      <c r="I482" s="9">
        <v>5.481715E7</v>
      </c>
      <c r="J482" s="6">
        <v>1.86675964473E9</v>
      </c>
    </row>
    <row r="483">
      <c r="A483" s="4" t="s">
        <v>10</v>
      </c>
      <c r="B483" s="5">
        <v>42338.0</v>
      </c>
      <c r="C483" s="6">
        <v>33.79</v>
      </c>
      <c r="D483" s="13">
        <f>+0.05</f>
        <v>0.05</v>
      </c>
      <c r="E483" s="14">
        <f>+0.15%</f>
        <v>0.0015</v>
      </c>
      <c r="F483" s="6">
        <v>33.65</v>
      </c>
      <c r="G483" s="6">
        <v>33.57</v>
      </c>
      <c r="H483" s="6">
        <v>33.83</v>
      </c>
      <c r="I483" s="9">
        <v>9.1134922E7</v>
      </c>
      <c r="J483" s="6">
        <v>3.09156771971E9</v>
      </c>
    </row>
    <row r="484">
      <c r="A484" s="4" t="s">
        <v>10</v>
      </c>
      <c r="B484" s="5">
        <v>42339.0</v>
      </c>
      <c r="C484" s="6">
        <v>34.04</v>
      </c>
      <c r="D484" s="13">
        <f>+0.26</f>
        <v>0.26</v>
      </c>
      <c r="E484" s="14">
        <f>+0.76%</f>
        <v>0.0076</v>
      </c>
      <c r="F484" s="6">
        <v>33.96</v>
      </c>
      <c r="G484" s="6">
        <v>33.89</v>
      </c>
      <c r="H484" s="6">
        <v>34.09</v>
      </c>
      <c r="I484" s="9">
        <v>5.6692143E7</v>
      </c>
      <c r="J484" s="6">
        <v>1.93977900806E9</v>
      </c>
    </row>
    <row r="485">
      <c r="A485" s="4" t="s">
        <v>10</v>
      </c>
      <c r="B485" s="5">
        <v>42340.0</v>
      </c>
      <c r="C485" s="6">
        <v>33.64</v>
      </c>
      <c r="D485" s="11">
        <v>-0.41</v>
      </c>
      <c r="E485" s="12">
        <v>-0.012</v>
      </c>
      <c r="F485" s="6">
        <v>33.85</v>
      </c>
      <c r="G485" s="6">
        <v>33.5</v>
      </c>
      <c r="H485" s="6">
        <v>33.9</v>
      </c>
      <c r="I485" s="9">
        <v>5.9090997E7</v>
      </c>
      <c r="J485" s="6">
        <v>2.00324446431E9</v>
      </c>
    </row>
    <row r="486">
      <c r="A486" s="4" t="s">
        <v>10</v>
      </c>
      <c r="B486" s="5">
        <v>42341.0</v>
      </c>
      <c r="C486" s="6">
        <v>33.45</v>
      </c>
      <c r="D486" s="11">
        <v>-0.19</v>
      </c>
      <c r="E486" s="12">
        <v>-0.0056</v>
      </c>
      <c r="F486" s="6">
        <v>33.76</v>
      </c>
      <c r="G486" s="6">
        <v>33.32</v>
      </c>
      <c r="H486" s="6">
        <v>33.79</v>
      </c>
      <c r="I486" s="9">
        <v>5.2692538E7</v>
      </c>
      <c r="J486" s="6">
        <v>1.77789314403E9</v>
      </c>
    </row>
    <row r="487">
      <c r="A487" s="4" t="s">
        <v>10</v>
      </c>
      <c r="B487" s="5">
        <v>42342.0</v>
      </c>
      <c r="C487" s="6">
        <v>33.68</v>
      </c>
      <c r="D487" s="13">
        <f>+0.23</f>
        <v>0.23</v>
      </c>
      <c r="E487" s="14">
        <f>+0.68%</f>
        <v>0.0068</v>
      </c>
      <c r="F487" s="6">
        <v>33.17</v>
      </c>
      <c r="G487" s="6">
        <v>33.17</v>
      </c>
      <c r="H487" s="6">
        <v>33.74</v>
      </c>
      <c r="I487" s="9">
        <v>7.951641E7</v>
      </c>
      <c r="J487" s="6">
        <v>2.68054479879E9</v>
      </c>
    </row>
    <row r="488">
      <c r="A488" s="4" t="s">
        <v>10</v>
      </c>
      <c r="B488" s="5">
        <v>42345.0</v>
      </c>
      <c r="C488" s="6">
        <v>33.12</v>
      </c>
      <c r="D488" s="11">
        <v>-0.56</v>
      </c>
      <c r="E488" s="12">
        <v>-0.0166</v>
      </c>
      <c r="F488" s="6">
        <v>33.36</v>
      </c>
      <c r="G488" s="6">
        <v>33.03</v>
      </c>
      <c r="H488" s="6">
        <v>33.38</v>
      </c>
      <c r="I488" s="9">
        <v>4.7613079E7</v>
      </c>
      <c r="J488" s="6">
        <v>1.58805324372E9</v>
      </c>
    </row>
    <row r="489">
      <c r="A489" s="4" t="s">
        <v>10</v>
      </c>
      <c r="B489" s="5">
        <v>42346.0</v>
      </c>
      <c r="C489" s="6">
        <v>32.75</v>
      </c>
      <c r="D489" s="11">
        <v>-0.36</v>
      </c>
      <c r="E489" s="12">
        <v>-0.011</v>
      </c>
      <c r="F489" s="6">
        <v>32.44</v>
      </c>
      <c r="G489" s="6">
        <v>32.36</v>
      </c>
      <c r="H489" s="6">
        <v>32.78</v>
      </c>
      <c r="I489" s="9">
        <v>7.135224E7</v>
      </c>
      <c r="J489" s="6">
        <v>2.34053977863E9</v>
      </c>
    </row>
    <row r="490">
      <c r="A490" s="4" t="s">
        <v>10</v>
      </c>
      <c r="B490" s="5">
        <v>42347.0</v>
      </c>
      <c r="C490" s="6">
        <v>32.48</v>
      </c>
      <c r="D490" s="11">
        <v>-0.27</v>
      </c>
      <c r="E490" s="12">
        <v>-0.0082</v>
      </c>
      <c r="F490" s="6">
        <v>32.65</v>
      </c>
      <c r="G490" s="6">
        <v>32.41</v>
      </c>
      <c r="H490" s="6">
        <v>32.99</v>
      </c>
      <c r="I490" s="9">
        <v>6.6422844E7</v>
      </c>
      <c r="J490" s="6">
        <v>2.17991990289E9</v>
      </c>
    </row>
    <row r="491">
      <c r="A491" s="4" t="s">
        <v>10</v>
      </c>
      <c r="B491" s="5">
        <v>42348.0</v>
      </c>
      <c r="C491" s="6">
        <v>32.26</v>
      </c>
      <c r="D491" s="11">
        <v>-0.22</v>
      </c>
      <c r="E491" s="12">
        <v>-0.0068</v>
      </c>
      <c r="F491" s="6">
        <v>32.39</v>
      </c>
      <c r="G491" s="6">
        <v>32.2</v>
      </c>
      <c r="H491" s="6">
        <v>32.52</v>
      </c>
      <c r="I491" s="9">
        <v>5.9281044E7</v>
      </c>
      <c r="J491" s="6">
        <v>1.93074673764E9</v>
      </c>
    </row>
    <row r="492">
      <c r="A492" s="4" t="s">
        <v>10</v>
      </c>
      <c r="B492" s="5">
        <v>42349.0</v>
      </c>
      <c r="C492" s="6">
        <v>31.36</v>
      </c>
      <c r="D492" s="11">
        <v>-0.9</v>
      </c>
      <c r="E492" s="12">
        <v>-0.028</v>
      </c>
      <c r="F492" s="6">
        <v>31.6</v>
      </c>
      <c r="G492" s="6">
        <v>31.31</v>
      </c>
      <c r="H492" s="6">
        <v>31.63</v>
      </c>
      <c r="I492" s="9">
        <v>8.9805968E7</v>
      </c>
      <c r="J492" s="6">
        <v>2.844285582E9</v>
      </c>
    </row>
    <row r="493">
      <c r="A493" s="4" t="s">
        <v>10</v>
      </c>
      <c r="B493" s="5">
        <v>42352.0</v>
      </c>
      <c r="C493" s="6">
        <v>31.87</v>
      </c>
      <c r="D493" s="13">
        <f>+0.51</f>
        <v>0.51</v>
      </c>
      <c r="E493" s="14">
        <f>+1.62%</f>
        <v>0.0162</v>
      </c>
      <c r="F493" s="6">
        <v>31.69</v>
      </c>
      <c r="G493" s="6">
        <v>31.4</v>
      </c>
      <c r="H493" s="6">
        <v>31.89</v>
      </c>
      <c r="I493" s="9">
        <v>8.379802E7</v>
      </c>
      <c r="J493" s="6">
        <v>2.66958292397E9</v>
      </c>
    </row>
    <row r="494">
      <c r="A494" s="4" t="s">
        <v>10</v>
      </c>
      <c r="B494" s="5">
        <v>42353.0</v>
      </c>
      <c r="C494" s="6">
        <v>32.35</v>
      </c>
      <c r="D494" s="13">
        <f>+0.49</f>
        <v>0.49</v>
      </c>
      <c r="E494" s="14">
        <f>+1.53%</f>
        <v>0.0153</v>
      </c>
      <c r="F494" s="6">
        <v>32.27</v>
      </c>
      <c r="G494" s="6">
        <v>32.26</v>
      </c>
      <c r="H494" s="6">
        <v>32.48</v>
      </c>
      <c r="I494" s="9">
        <v>7.8124349E7</v>
      </c>
      <c r="J494" s="6">
        <v>2.54449912168E9</v>
      </c>
    </row>
    <row r="495">
      <c r="A495" s="4" t="s">
        <v>10</v>
      </c>
      <c r="B495" s="5">
        <v>42354.0</v>
      </c>
      <c r="C495" s="6">
        <v>32.99</v>
      </c>
      <c r="D495" s="13">
        <f>+0.64</f>
        <v>0.64</v>
      </c>
      <c r="E495" s="14">
        <f>+1.97%</f>
        <v>0.0197</v>
      </c>
      <c r="F495" s="6">
        <v>32.6</v>
      </c>
      <c r="G495" s="6">
        <v>32.46</v>
      </c>
      <c r="H495" s="6">
        <v>33.16</v>
      </c>
      <c r="I495" s="9">
        <v>1.05082176E8</v>
      </c>
      <c r="J495" s="6">
        <v>3.46441545018E9</v>
      </c>
    </row>
    <row r="496">
      <c r="A496" s="4" t="s">
        <v>10</v>
      </c>
      <c r="B496" s="5">
        <v>42355.0</v>
      </c>
      <c r="C496" s="6">
        <v>32.56</v>
      </c>
      <c r="D496" s="11">
        <v>-0.43</v>
      </c>
      <c r="E496" s="12">
        <v>-0.013</v>
      </c>
      <c r="F496" s="6">
        <v>33.01</v>
      </c>
      <c r="G496" s="6">
        <v>32.56</v>
      </c>
      <c r="H496" s="6">
        <v>33.04</v>
      </c>
      <c r="I496" s="9">
        <v>9.3646702E7</v>
      </c>
      <c r="J496" s="6">
        <v>3.08699231939E9</v>
      </c>
    </row>
    <row r="497">
      <c r="A497" s="4" t="s">
        <v>10</v>
      </c>
      <c r="B497" s="5">
        <v>42356.0</v>
      </c>
      <c r="C497" s="6">
        <v>32.45</v>
      </c>
      <c r="D497" s="11">
        <v>-0.11</v>
      </c>
      <c r="E497" s="12">
        <v>-0.0034</v>
      </c>
      <c r="F497" s="6">
        <v>32.57</v>
      </c>
      <c r="G497" s="6">
        <v>32.38</v>
      </c>
      <c r="H497" s="6">
        <v>32.66</v>
      </c>
      <c r="I497" s="9">
        <v>9.6868868E7</v>
      </c>
      <c r="J497" s="6">
        <v>3.16964195904E9</v>
      </c>
    </row>
    <row r="498">
      <c r="A498" s="4" t="s">
        <v>10</v>
      </c>
      <c r="B498" s="5">
        <v>42359.0</v>
      </c>
      <c r="C498" s="6">
        <v>32.21</v>
      </c>
      <c r="D498" s="11">
        <v>-0.25</v>
      </c>
      <c r="E498" s="12">
        <v>-0.0077</v>
      </c>
      <c r="F498" s="6">
        <v>32.27</v>
      </c>
      <c r="G498" s="6">
        <v>31.98</v>
      </c>
      <c r="H498" s="6">
        <v>32.3</v>
      </c>
      <c r="I498" s="9">
        <v>6.4002428E7</v>
      </c>
      <c r="J498" s="6">
        <v>2.06947670071E9</v>
      </c>
    </row>
    <row r="499">
      <c r="A499" s="4" t="s">
        <v>10</v>
      </c>
      <c r="B499" s="5">
        <v>42360.0</v>
      </c>
      <c r="C499" s="6">
        <v>32.46</v>
      </c>
      <c r="D499" s="13">
        <f>+0.26</f>
        <v>0.26</v>
      </c>
      <c r="E499" s="14">
        <f>+0.8%</f>
        <v>0.008</v>
      </c>
      <c r="F499" s="6">
        <v>32.22</v>
      </c>
      <c r="G499" s="6">
        <v>32.18</v>
      </c>
      <c r="H499" s="6">
        <v>32.48</v>
      </c>
      <c r="I499" s="9">
        <v>4.9664557E7</v>
      </c>
      <c r="J499" s="6">
        <v>1.61651922705E9</v>
      </c>
    </row>
    <row r="500">
      <c r="A500" s="4" t="s">
        <v>10</v>
      </c>
      <c r="B500" s="5">
        <v>42361.0</v>
      </c>
      <c r="C500" s="6">
        <v>32.92</v>
      </c>
      <c r="D500" s="13">
        <f>+0.46</f>
        <v>0.46</v>
      </c>
      <c r="E500" s="14">
        <f>+1.41%</f>
        <v>0.0141</v>
      </c>
      <c r="F500" s="6">
        <v>32.71</v>
      </c>
      <c r="G500" s="6">
        <v>32.7</v>
      </c>
      <c r="H500" s="6">
        <v>32.95</v>
      </c>
      <c r="I500" s="9">
        <v>4.7463979E7</v>
      </c>
      <c r="J500" s="6">
        <v>1.56764563971E9</v>
      </c>
    </row>
    <row r="501">
      <c r="A501" s="4" t="s">
        <v>10</v>
      </c>
      <c r="B501" s="5">
        <v>42362.0</v>
      </c>
      <c r="C501" s="6">
        <v>32.8</v>
      </c>
      <c r="D501" s="11">
        <v>-0.12</v>
      </c>
      <c r="E501" s="12">
        <v>-0.0036</v>
      </c>
      <c r="F501" s="6">
        <v>32.73</v>
      </c>
      <c r="G501" s="6">
        <v>32.71</v>
      </c>
      <c r="H501" s="6">
        <v>32.86</v>
      </c>
      <c r="I501" s="9">
        <v>2.1532667E7</v>
      </c>
      <c r="J501" s="6">
        <v>7.1083638585E8</v>
      </c>
    </row>
    <row r="502">
      <c r="A502" s="4" t="s">
        <v>10</v>
      </c>
      <c r="B502" s="5">
        <v>42366.0</v>
      </c>
      <c r="C502" s="6">
        <v>32.57</v>
      </c>
      <c r="D502" s="11">
        <v>-0.23</v>
      </c>
      <c r="E502" s="12">
        <v>-0.007</v>
      </c>
      <c r="F502" s="6">
        <v>32.54</v>
      </c>
      <c r="G502" s="6">
        <v>32.43</v>
      </c>
      <c r="H502" s="6">
        <v>32.59</v>
      </c>
      <c r="I502" s="9">
        <v>3.8299217E7</v>
      </c>
      <c r="J502" s="6">
        <v>1.25387473893E9</v>
      </c>
    </row>
    <row r="503">
      <c r="A503" s="4" t="s">
        <v>10</v>
      </c>
      <c r="B503" s="5">
        <v>42367.0</v>
      </c>
      <c r="C503" s="6">
        <v>32.6</v>
      </c>
      <c r="D503" s="13">
        <f>+0.03</f>
        <v>0.03</v>
      </c>
      <c r="E503" s="14">
        <f>+0.09%</f>
        <v>0.0009</v>
      </c>
      <c r="F503" s="6">
        <v>32.66</v>
      </c>
      <c r="G503" s="6">
        <v>32.56</v>
      </c>
      <c r="H503" s="6">
        <v>32.73</v>
      </c>
      <c r="I503" s="9">
        <v>4.3931475E7</v>
      </c>
      <c r="J503" s="6">
        <v>1.44093195538E9</v>
      </c>
    </row>
    <row r="504">
      <c r="A504" s="4" t="s">
        <v>10</v>
      </c>
      <c r="B504" s="5">
        <v>42368.0</v>
      </c>
      <c r="C504" s="6">
        <v>32.1</v>
      </c>
      <c r="D504" s="11">
        <v>-0.51</v>
      </c>
      <c r="E504" s="12">
        <v>-0.0155</v>
      </c>
      <c r="F504" s="6">
        <v>32.29</v>
      </c>
      <c r="G504" s="6">
        <v>32.08</v>
      </c>
      <c r="H504" s="6">
        <v>32.33</v>
      </c>
      <c r="I504" s="9">
        <v>5.1320045E7</v>
      </c>
      <c r="J504" s="6">
        <v>1.66177689254E9</v>
      </c>
    </row>
    <row r="505">
      <c r="A505" s="4" t="s">
        <v>10</v>
      </c>
      <c r="B505" s="5">
        <v>42369.0</v>
      </c>
      <c r="C505" s="6">
        <v>32.0</v>
      </c>
      <c r="D505" s="11">
        <v>-0.1</v>
      </c>
      <c r="E505" s="12">
        <v>-0.0031</v>
      </c>
      <c r="F505" s="6">
        <v>32.1</v>
      </c>
      <c r="G505" s="6">
        <v>31.99</v>
      </c>
      <c r="H505" s="6">
        <v>32.22</v>
      </c>
      <c r="I505" s="9">
        <v>4.4184697E7</v>
      </c>
      <c r="J505" s="6">
        <v>1.42613242095E9</v>
      </c>
    </row>
    <row r="506">
      <c r="A506" s="4" t="s">
        <v>10</v>
      </c>
      <c r="B506" s="5">
        <v>42373.0</v>
      </c>
      <c r="C506" s="6">
        <v>31.12</v>
      </c>
      <c r="D506" s="11">
        <v>-0.87</v>
      </c>
      <c r="E506" s="12">
        <v>-0.0273</v>
      </c>
      <c r="F506" s="6">
        <v>31.16</v>
      </c>
      <c r="G506" s="6">
        <v>30.86</v>
      </c>
      <c r="H506" s="6">
        <v>31.19</v>
      </c>
      <c r="I506" s="9">
        <v>8.3489056E7</v>
      </c>
      <c r="J506" s="6">
        <v>2.60837963096E9</v>
      </c>
    </row>
    <row r="507">
      <c r="A507" s="4" t="s">
        <v>10</v>
      </c>
      <c r="B507" s="5">
        <v>42374.0</v>
      </c>
      <c r="C507" s="6">
        <v>31.19</v>
      </c>
      <c r="D507" s="13">
        <f>+0.07</f>
        <v>0.07</v>
      </c>
      <c r="E507" s="14">
        <f>+0.22%</f>
        <v>0.0022</v>
      </c>
      <c r="F507" s="6">
        <v>31.26</v>
      </c>
      <c r="G507" s="6">
        <v>31.11</v>
      </c>
      <c r="H507" s="6">
        <v>31.31</v>
      </c>
      <c r="I507" s="9">
        <v>5.7773894E7</v>
      </c>
      <c r="J507" s="6">
        <v>1.81297490587E9</v>
      </c>
    </row>
    <row r="508">
      <c r="A508" s="4" t="s">
        <v>10</v>
      </c>
      <c r="B508" s="5">
        <v>42375.0</v>
      </c>
      <c r="C508" s="6">
        <v>30.59</v>
      </c>
      <c r="D508" s="11">
        <v>-0.6</v>
      </c>
      <c r="E508" s="12">
        <v>-0.0191</v>
      </c>
      <c r="F508" s="6">
        <v>30.61</v>
      </c>
      <c r="G508" s="6">
        <v>30.48</v>
      </c>
      <c r="H508" s="6">
        <v>30.8</v>
      </c>
      <c r="I508" s="9">
        <v>6.583511E7</v>
      </c>
      <c r="J508" s="6">
        <v>2.02815902342E9</v>
      </c>
    </row>
    <row r="509">
      <c r="A509" s="4" t="s">
        <v>10</v>
      </c>
      <c r="B509" s="5">
        <v>42376.0</v>
      </c>
      <c r="C509" s="6">
        <v>29.65</v>
      </c>
      <c r="D509" s="11">
        <v>-0.94</v>
      </c>
      <c r="E509" s="12">
        <v>-0.0308</v>
      </c>
      <c r="F509" s="6">
        <v>29.81</v>
      </c>
      <c r="G509" s="6">
        <v>29.63</v>
      </c>
      <c r="H509" s="6">
        <v>30.23</v>
      </c>
      <c r="I509" s="9">
        <v>8.8974694E7</v>
      </c>
      <c r="J509" s="6">
        <v>2.67234688655E9</v>
      </c>
    </row>
    <row r="510">
      <c r="A510" s="4" t="s">
        <v>10</v>
      </c>
      <c r="B510" s="5">
        <v>42377.0</v>
      </c>
      <c r="C510" s="6">
        <v>29.33</v>
      </c>
      <c r="D510" s="11">
        <v>-0.32</v>
      </c>
      <c r="E510" s="12">
        <v>-0.0107</v>
      </c>
      <c r="F510" s="6">
        <v>29.84</v>
      </c>
      <c r="G510" s="6">
        <v>29.32</v>
      </c>
      <c r="H510" s="6">
        <v>29.95</v>
      </c>
      <c r="I510" s="9">
        <v>7.3528022E7</v>
      </c>
      <c r="J510" s="6">
        <v>2.18836430821E9</v>
      </c>
    </row>
    <row r="511">
      <c r="A511" s="4" t="s">
        <v>10</v>
      </c>
      <c r="B511" s="5">
        <v>42380.0</v>
      </c>
      <c r="C511" s="6">
        <v>29.32</v>
      </c>
      <c r="D511" s="11">
        <v>-0.01</v>
      </c>
      <c r="E511" s="12">
        <v>-3.0E-4</v>
      </c>
      <c r="F511" s="6">
        <v>29.61</v>
      </c>
      <c r="G511" s="6">
        <v>29.05</v>
      </c>
      <c r="H511" s="6">
        <v>29.63</v>
      </c>
      <c r="I511" s="9">
        <v>5.6225509E7</v>
      </c>
      <c r="J511" s="6">
        <v>1.65875560936E9</v>
      </c>
    </row>
    <row r="512">
      <c r="A512" s="4" t="s">
        <v>10</v>
      </c>
      <c r="B512" s="5">
        <v>42381.0</v>
      </c>
      <c r="C512" s="6">
        <v>29.38</v>
      </c>
      <c r="D512" s="13">
        <f>+0.06</f>
        <v>0.06</v>
      </c>
      <c r="E512" s="14">
        <f>+0.2%</f>
        <v>0.002</v>
      </c>
      <c r="F512" s="6">
        <v>29.53</v>
      </c>
      <c r="G512" s="6">
        <v>29.17</v>
      </c>
      <c r="H512" s="6">
        <v>29.67</v>
      </c>
      <c r="I512" s="9">
        <v>6.1357495E7</v>
      </c>
      <c r="J512" s="6">
        <v>1.8152484745E9</v>
      </c>
    </row>
    <row r="513">
      <c r="A513" s="4" t="s">
        <v>10</v>
      </c>
      <c r="B513" s="5">
        <v>42382.0</v>
      </c>
      <c r="C513" s="6">
        <v>29.07</v>
      </c>
      <c r="D513" s="11">
        <v>-0.31</v>
      </c>
      <c r="E513" s="12">
        <v>-0.0105</v>
      </c>
      <c r="F513" s="6">
        <v>29.72</v>
      </c>
      <c r="G513" s="6">
        <v>29.01</v>
      </c>
      <c r="H513" s="6">
        <v>29.82</v>
      </c>
      <c r="I513" s="9">
        <v>7.1788667E7</v>
      </c>
      <c r="J513" s="6">
        <v>2.12024834713E9</v>
      </c>
    </row>
    <row r="514">
      <c r="A514" s="4" t="s">
        <v>10</v>
      </c>
      <c r="B514" s="5">
        <v>42383.0</v>
      </c>
      <c r="C514" s="6">
        <v>29.45</v>
      </c>
      <c r="D514" s="13">
        <f>+0.38</f>
        <v>0.38</v>
      </c>
      <c r="E514" s="14">
        <f>+1.3%</f>
        <v>0.013</v>
      </c>
      <c r="F514" s="6">
        <v>29.1</v>
      </c>
      <c r="G514" s="6">
        <v>28.89</v>
      </c>
      <c r="H514" s="6">
        <v>29.56</v>
      </c>
      <c r="I514" s="9">
        <v>6.5521213E7</v>
      </c>
      <c r="J514" s="6">
        <v>1.93277864674E9</v>
      </c>
    </row>
    <row r="515">
      <c r="A515" s="4" t="s">
        <v>10</v>
      </c>
      <c r="B515" s="5">
        <v>42384.0</v>
      </c>
      <c r="C515" s="6">
        <v>28.28</v>
      </c>
      <c r="D515" s="11">
        <v>-1.17</v>
      </c>
      <c r="E515" s="12">
        <v>-0.0397</v>
      </c>
      <c r="F515" s="6">
        <v>28.3</v>
      </c>
      <c r="G515" s="6">
        <v>27.91</v>
      </c>
      <c r="H515" s="6">
        <v>28.48</v>
      </c>
      <c r="I515" s="9">
        <v>1.17573941E8</v>
      </c>
      <c r="J515" s="6">
        <v>3.34186849973E9</v>
      </c>
    </row>
    <row r="516">
      <c r="A516" s="4" t="s">
        <v>10</v>
      </c>
      <c r="B516" s="5">
        <v>42388.0</v>
      </c>
      <c r="C516" s="6">
        <v>28.71</v>
      </c>
      <c r="D516" s="13">
        <f>+0.42</f>
        <v>0.42</v>
      </c>
      <c r="E516" s="14">
        <f>+1.49%</f>
        <v>0.0149</v>
      </c>
      <c r="F516" s="6">
        <v>29.02</v>
      </c>
      <c r="G516" s="6">
        <v>28.49</v>
      </c>
      <c r="H516" s="6">
        <v>29.06</v>
      </c>
      <c r="I516" s="9">
        <v>7.9535127E7</v>
      </c>
      <c r="J516" s="6">
        <v>2.30083472164E9</v>
      </c>
    </row>
    <row r="517">
      <c r="A517" s="4" t="s">
        <v>10</v>
      </c>
      <c r="B517" s="5">
        <v>42389.0</v>
      </c>
      <c r="C517" s="6">
        <v>28.08</v>
      </c>
      <c r="D517" s="11">
        <v>-0.63</v>
      </c>
      <c r="E517" s="12">
        <v>-0.0218</v>
      </c>
      <c r="F517" s="6">
        <v>28.0</v>
      </c>
      <c r="G517" s="6">
        <v>27.44</v>
      </c>
      <c r="H517" s="6">
        <v>28.29</v>
      </c>
      <c r="I517" s="9">
        <v>1.03223537E8</v>
      </c>
      <c r="J517" s="6">
        <v>2.89301756615E9</v>
      </c>
    </row>
    <row r="518">
      <c r="A518" s="4" t="s">
        <v>10</v>
      </c>
      <c r="B518" s="5">
        <v>42390.0</v>
      </c>
      <c r="C518" s="6">
        <v>28.19</v>
      </c>
      <c r="D518" s="13">
        <f>+0.11</f>
        <v>0.11</v>
      </c>
      <c r="E518" s="14">
        <f>+0.39%</f>
        <v>0.0039</v>
      </c>
      <c r="F518" s="6">
        <v>28.07</v>
      </c>
      <c r="G518" s="6">
        <v>27.86</v>
      </c>
      <c r="H518" s="6">
        <v>28.56</v>
      </c>
      <c r="I518" s="9">
        <v>8.1845885E7</v>
      </c>
      <c r="J518" s="6">
        <v>2.3269122371E9</v>
      </c>
    </row>
    <row r="519">
      <c r="A519" s="4" t="s">
        <v>10</v>
      </c>
      <c r="B519" s="5">
        <v>42391.0</v>
      </c>
      <c r="C519" s="6">
        <v>29.15</v>
      </c>
      <c r="D519" s="13">
        <f>+0.96</f>
        <v>0.96</v>
      </c>
      <c r="E519" s="14">
        <f>+3.42%</f>
        <v>0.0342</v>
      </c>
      <c r="F519" s="6">
        <v>29.08</v>
      </c>
      <c r="G519" s="6">
        <v>28.89</v>
      </c>
      <c r="H519" s="6">
        <v>29.16</v>
      </c>
      <c r="I519" s="9">
        <v>7.5886562E7</v>
      </c>
      <c r="J519" s="6">
        <v>2.21773491721E9</v>
      </c>
    </row>
    <row r="520">
      <c r="A520" s="4" t="s">
        <v>10</v>
      </c>
      <c r="B520" s="5">
        <v>42394.0</v>
      </c>
      <c r="C520" s="6">
        <v>28.65</v>
      </c>
      <c r="D520" s="11">
        <v>-0.5</v>
      </c>
      <c r="E520" s="12">
        <v>-0.0172</v>
      </c>
      <c r="F520" s="6">
        <v>28.96</v>
      </c>
      <c r="G520" s="6">
        <v>28.64</v>
      </c>
      <c r="H520" s="6">
        <v>29.07</v>
      </c>
      <c r="I520" s="9">
        <v>5.9623302E7</v>
      </c>
      <c r="J520" s="6">
        <v>1.73225019276E9</v>
      </c>
    </row>
    <row r="521">
      <c r="A521" s="4" t="s">
        <v>10</v>
      </c>
      <c r="B521" s="5">
        <v>42395.0</v>
      </c>
      <c r="C521" s="6">
        <v>29.07</v>
      </c>
      <c r="D521" s="13">
        <f>+0.42</f>
        <v>0.42</v>
      </c>
      <c r="E521" s="14">
        <f>+1.47%</f>
        <v>0.0147</v>
      </c>
      <c r="F521" s="6">
        <v>28.82</v>
      </c>
      <c r="G521" s="6">
        <v>28.76</v>
      </c>
      <c r="H521" s="6">
        <v>29.12</v>
      </c>
      <c r="I521" s="9">
        <v>6.0020081E7</v>
      </c>
      <c r="J521" s="6">
        <v>1.75209347026E9</v>
      </c>
    </row>
    <row r="522">
      <c r="A522" s="4" t="s">
        <v>10</v>
      </c>
      <c r="B522" s="5">
        <v>42396.0</v>
      </c>
      <c r="C522" s="6">
        <v>28.98</v>
      </c>
      <c r="D522" s="11">
        <v>-0.1</v>
      </c>
      <c r="E522" s="12">
        <v>-0.0034</v>
      </c>
      <c r="F522" s="6">
        <v>29.06</v>
      </c>
      <c r="G522" s="6">
        <v>28.78</v>
      </c>
      <c r="H522" s="6">
        <v>29.38</v>
      </c>
      <c r="I522" s="9">
        <v>7.40202E7</v>
      </c>
      <c r="J522" s="6">
        <v>2.16412596025E9</v>
      </c>
    </row>
    <row r="523">
      <c r="A523" s="4" t="s">
        <v>10</v>
      </c>
      <c r="B523" s="5">
        <v>42397.0</v>
      </c>
      <c r="C523" s="6">
        <v>29.43</v>
      </c>
      <c r="D523" s="13">
        <f>+0.46</f>
        <v>0.46</v>
      </c>
      <c r="E523" s="14">
        <f>+1.58%</f>
        <v>0.0158</v>
      </c>
      <c r="F523" s="6">
        <v>29.54</v>
      </c>
      <c r="G523" s="6">
        <v>29.18</v>
      </c>
      <c r="H523" s="6">
        <v>29.61</v>
      </c>
      <c r="I523" s="9">
        <v>8.4739859E7</v>
      </c>
      <c r="J523" s="6">
        <v>2.5065638804E9</v>
      </c>
    </row>
    <row r="524">
      <c r="A524" s="4" t="s">
        <v>10</v>
      </c>
      <c r="B524" s="5">
        <v>42398.0</v>
      </c>
      <c r="C524" s="6">
        <v>30.39</v>
      </c>
      <c r="D524" s="13">
        <f>+0.95</f>
        <v>0.95</v>
      </c>
      <c r="E524" s="14">
        <f>+3.24%</f>
        <v>0.0324</v>
      </c>
      <c r="F524" s="6">
        <v>29.9</v>
      </c>
      <c r="G524" s="6">
        <v>29.87</v>
      </c>
      <c r="H524" s="6">
        <v>30.41</v>
      </c>
      <c r="I524" s="9">
        <v>8.1973841E7</v>
      </c>
      <c r="J524" s="6">
        <v>2.48599325033E9</v>
      </c>
    </row>
    <row r="525">
      <c r="A525" s="4" t="s">
        <v>10</v>
      </c>
      <c r="B525" s="5">
        <v>42401.0</v>
      </c>
      <c r="C525" s="6">
        <v>30.1</v>
      </c>
      <c r="D525" s="11">
        <v>-0.29</v>
      </c>
      <c r="E525" s="12">
        <v>-0.0095</v>
      </c>
      <c r="F525" s="6">
        <v>29.87</v>
      </c>
      <c r="G525" s="6">
        <v>29.8</v>
      </c>
      <c r="H525" s="6">
        <v>30.18</v>
      </c>
      <c r="I525" s="9">
        <v>4.3254606E7</v>
      </c>
      <c r="J525" s="6">
        <v>1.30520127209E9</v>
      </c>
    </row>
    <row r="526">
      <c r="A526" s="4" t="s">
        <v>10</v>
      </c>
      <c r="B526" s="5">
        <v>42402.0</v>
      </c>
      <c r="C526" s="6">
        <v>29.12</v>
      </c>
      <c r="D526" s="11">
        <v>-0.97</v>
      </c>
      <c r="E526" s="12">
        <v>-0.0324</v>
      </c>
      <c r="F526" s="6">
        <v>29.6</v>
      </c>
      <c r="G526" s="6">
        <v>29.04</v>
      </c>
      <c r="H526" s="6">
        <v>29.64</v>
      </c>
      <c r="I526" s="9">
        <v>7.5516023E7</v>
      </c>
      <c r="J526" s="6">
        <v>2.22389337274E9</v>
      </c>
    </row>
    <row r="527">
      <c r="A527" s="4" t="s">
        <v>10</v>
      </c>
      <c r="B527" s="5">
        <v>42403.0</v>
      </c>
      <c r="C527" s="6">
        <v>29.95</v>
      </c>
      <c r="D527" s="13">
        <f>+0.83</f>
        <v>0.83</v>
      </c>
      <c r="E527" s="14">
        <f>+2.83%</f>
        <v>0.0283</v>
      </c>
      <c r="F527" s="6">
        <v>29.43</v>
      </c>
      <c r="G527" s="6">
        <v>28.95</v>
      </c>
      <c r="H527" s="6">
        <v>29.97</v>
      </c>
      <c r="I527" s="9">
        <v>1.17143203E8</v>
      </c>
      <c r="J527" s="6">
        <v>3.47910777362E9</v>
      </c>
    </row>
    <row r="528">
      <c r="A528" s="4" t="s">
        <v>10</v>
      </c>
      <c r="B528" s="5">
        <v>42404.0</v>
      </c>
      <c r="C528" s="6">
        <v>30.18</v>
      </c>
      <c r="D528" s="13">
        <f>+0.23</f>
        <v>0.23</v>
      </c>
      <c r="E528" s="14">
        <f>+0.76%</f>
        <v>0.0076</v>
      </c>
      <c r="F528" s="6">
        <v>30.18</v>
      </c>
      <c r="G528" s="6">
        <v>29.98</v>
      </c>
      <c r="H528" s="6">
        <v>30.56</v>
      </c>
      <c r="I528" s="9">
        <v>9.9923322E7</v>
      </c>
      <c r="J528" s="6">
        <v>3.04076434184E9</v>
      </c>
    </row>
    <row r="529">
      <c r="A529" s="4" t="s">
        <v>10</v>
      </c>
      <c r="B529" s="5">
        <v>42405.0</v>
      </c>
      <c r="C529" s="6">
        <v>29.83</v>
      </c>
      <c r="D529" s="11">
        <v>-0.35</v>
      </c>
      <c r="E529" s="12">
        <v>-0.0115</v>
      </c>
      <c r="F529" s="6">
        <v>30.06</v>
      </c>
      <c r="G529" s="6">
        <v>29.71</v>
      </c>
      <c r="H529" s="6">
        <v>30.16</v>
      </c>
      <c r="I529" s="9">
        <v>7.0370692E7</v>
      </c>
      <c r="J529" s="6">
        <v>2.115999409E9</v>
      </c>
    </row>
    <row r="530">
      <c r="A530" s="4" t="s">
        <v>10</v>
      </c>
      <c r="B530" s="5">
        <v>42408.0</v>
      </c>
      <c r="C530" s="6">
        <v>29.42</v>
      </c>
      <c r="D530" s="11">
        <v>-0.41</v>
      </c>
      <c r="E530" s="12">
        <v>-0.0137</v>
      </c>
      <c r="F530" s="6">
        <v>29.37</v>
      </c>
      <c r="G530" s="6">
        <v>29.07</v>
      </c>
      <c r="H530" s="6">
        <v>29.56</v>
      </c>
      <c r="I530" s="9">
        <v>7.2716781E7</v>
      </c>
      <c r="J530" s="6">
        <v>2.14364278722E9</v>
      </c>
    </row>
    <row r="531">
      <c r="A531" s="4" t="s">
        <v>10</v>
      </c>
      <c r="B531" s="5">
        <v>42409.0</v>
      </c>
      <c r="C531" s="6">
        <v>29.01</v>
      </c>
      <c r="D531" s="11">
        <v>-0.41</v>
      </c>
      <c r="E531" s="12">
        <v>-0.0139</v>
      </c>
      <c r="F531" s="6">
        <v>28.87</v>
      </c>
      <c r="G531" s="6">
        <v>28.72</v>
      </c>
      <c r="H531" s="6">
        <v>29.35</v>
      </c>
      <c r="I531" s="9">
        <v>6.7275702E7</v>
      </c>
      <c r="J531" s="6">
        <v>1.96350413442E9</v>
      </c>
    </row>
    <row r="532">
      <c r="A532" s="4" t="s">
        <v>10</v>
      </c>
      <c r="B532" s="5">
        <v>42410.0</v>
      </c>
      <c r="C532" s="6">
        <v>29.13</v>
      </c>
      <c r="D532" s="13">
        <f>+0.12</f>
        <v>0.12</v>
      </c>
      <c r="E532" s="14">
        <f>+0.41%</f>
        <v>0.0041</v>
      </c>
      <c r="F532" s="6">
        <v>29.34</v>
      </c>
      <c r="G532" s="6">
        <v>29.12</v>
      </c>
      <c r="H532" s="6">
        <v>29.67</v>
      </c>
      <c r="I532" s="9">
        <v>6.7192394E7</v>
      </c>
      <c r="J532" s="6">
        <v>1.98500903643E9</v>
      </c>
    </row>
    <row r="533">
      <c r="A533" s="4" t="s">
        <v>10</v>
      </c>
      <c r="B533" s="5">
        <v>42411.0</v>
      </c>
      <c r="C533" s="6">
        <v>28.65</v>
      </c>
      <c r="D533" s="11">
        <v>-0.49</v>
      </c>
      <c r="E533" s="12">
        <v>-0.0167</v>
      </c>
      <c r="F533" s="6">
        <v>28.55</v>
      </c>
      <c r="G533" s="6">
        <v>28.43</v>
      </c>
      <c r="H533" s="6">
        <v>28.85</v>
      </c>
      <c r="I533" s="9">
        <v>8.6795536E7</v>
      </c>
      <c r="J533" s="6">
        <v>2.50084920676E9</v>
      </c>
    </row>
    <row r="534">
      <c r="A534" s="4" t="s">
        <v>10</v>
      </c>
      <c r="B534" s="5">
        <v>42412.0</v>
      </c>
      <c r="C534" s="6">
        <v>29.14</v>
      </c>
      <c r="D534" s="13">
        <f>+0.5</f>
        <v>0.5</v>
      </c>
      <c r="E534" s="14">
        <f>+1.73%</f>
        <v>0.0173</v>
      </c>
      <c r="F534" s="6">
        <v>28.9</v>
      </c>
      <c r="G534" s="6">
        <v>28.76</v>
      </c>
      <c r="H534" s="6">
        <v>29.15</v>
      </c>
      <c r="I534" s="9">
        <v>6.8435953E7</v>
      </c>
      <c r="J534" s="6">
        <v>1.99448699591E9</v>
      </c>
    </row>
    <row r="535">
      <c r="A535" s="4" t="s">
        <v>10</v>
      </c>
      <c r="B535" s="5">
        <v>42416.0</v>
      </c>
      <c r="C535" s="6">
        <v>29.79</v>
      </c>
      <c r="D535" s="13">
        <f>+0.65</f>
        <v>0.65</v>
      </c>
      <c r="E535" s="14">
        <f>+2.22%</f>
        <v>0.0222</v>
      </c>
      <c r="F535" s="6">
        <v>29.69</v>
      </c>
      <c r="G535" s="6">
        <v>29.56</v>
      </c>
      <c r="H535" s="6">
        <v>29.83</v>
      </c>
      <c r="I535" s="9">
        <v>5.4396229E7</v>
      </c>
      <c r="J535" s="6">
        <v>1.62569739951E9</v>
      </c>
    </row>
    <row r="536">
      <c r="A536" s="4" t="s">
        <v>10</v>
      </c>
      <c r="B536" s="5">
        <v>42417.0</v>
      </c>
      <c r="C536" s="6">
        <v>30.38</v>
      </c>
      <c r="D536" s="13">
        <f>+0.59</f>
        <v>0.59</v>
      </c>
      <c r="E536" s="14">
        <f>+1.97%</f>
        <v>0.0197</v>
      </c>
      <c r="F536" s="6">
        <v>30.06</v>
      </c>
      <c r="G536" s="6">
        <v>30.03</v>
      </c>
      <c r="H536" s="6">
        <v>30.45</v>
      </c>
      <c r="I536" s="9">
        <v>6.9297618E7</v>
      </c>
      <c r="J536" s="6">
        <v>2.11172972506E9</v>
      </c>
    </row>
    <row r="537">
      <c r="A537" s="4" t="s">
        <v>10</v>
      </c>
      <c r="B537" s="5">
        <v>42418.0</v>
      </c>
      <c r="C537" s="6">
        <v>30.2</v>
      </c>
      <c r="D537" s="11">
        <v>-0.18</v>
      </c>
      <c r="E537" s="12">
        <v>-0.0059</v>
      </c>
      <c r="F537" s="6">
        <v>30.49</v>
      </c>
      <c r="G537" s="6">
        <v>30.13</v>
      </c>
      <c r="H537" s="6">
        <v>30.49</v>
      </c>
      <c r="I537" s="9">
        <v>5.9141156E7</v>
      </c>
      <c r="J537" s="6">
        <v>1.80207028147E9</v>
      </c>
    </row>
    <row r="538">
      <c r="A538" s="4" t="s">
        <v>10</v>
      </c>
      <c r="B538" s="5">
        <v>42419.0</v>
      </c>
      <c r="C538" s="6">
        <v>30.06</v>
      </c>
      <c r="D538" s="11">
        <v>-0.14</v>
      </c>
      <c r="E538" s="12">
        <v>-0.0046</v>
      </c>
      <c r="F538" s="6">
        <v>30.01</v>
      </c>
      <c r="G538" s="6">
        <v>29.89</v>
      </c>
      <c r="H538" s="6">
        <v>30.21</v>
      </c>
      <c r="I538" s="9">
        <v>5.9068967E7</v>
      </c>
      <c r="J538" s="6">
        <v>1.78635148597E9</v>
      </c>
    </row>
    <row r="539">
      <c r="A539" s="4" t="s">
        <v>10</v>
      </c>
      <c r="B539" s="5">
        <v>42422.0</v>
      </c>
      <c r="C539" s="6">
        <v>30.8</v>
      </c>
      <c r="D539" s="13">
        <f>+0.75</f>
        <v>0.75</v>
      </c>
      <c r="E539" s="14">
        <f>+2.48%</f>
        <v>0.0248</v>
      </c>
      <c r="F539" s="6">
        <v>30.57</v>
      </c>
      <c r="G539" s="6">
        <v>30.52</v>
      </c>
      <c r="H539" s="6">
        <v>30.8</v>
      </c>
      <c r="I539" s="9">
        <v>4.2673436E7</v>
      </c>
      <c r="J539" s="6">
        <v>1.31865602482E9</v>
      </c>
    </row>
    <row r="540">
      <c r="A540" s="4" t="s">
        <v>10</v>
      </c>
      <c r="B540" s="5">
        <v>42423.0</v>
      </c>
      <c r="C540" s="6">
        <v>30.15</v>
      </c>
      <c r="D540" s="11">
        <v>-0.66</v>
      </c>
      <c r="E540" s="12">
        <v>-0.0213</v>
      </c>
      <c r="F540" s="6">
        <v>30.46</v>
      </c>
      <c r="G540" s="6">
        <v>30.11</v>
      </c>
      <c r="H540" s="6">
        <v>30.51</v>
      </c>
      <c r="I540" s="9">
        <v>5.4666101E7</v>
      </c>
      <c r="J540" s="6">
        <v>1.66454551917E9</v>
      </c>
    </row>
    <row r="541">
      <c r="A541" s="4" t="s">
        <v>10</v>
      </c>
      <c r="B541" s="5">
        <v>42424.0</v>
      </c>
      <c r="C541" s="6">
        <v>30.08</v>
      </c>
      <c r="D541" s="11">
        <v>-0.07</v>
      </c>
      <c r="E541" s="12">
        <v>-0.0023</v>
      </c>
      <c r="F541" s="6">
        <v>29.66</v>
      </c>
      <c r="G541" s="6">
        <v>29.49</v>
      </c>
      <c r="H541" s="6">
        <v>30.18</v>
      </c>
      <c r="I541" s="9">
        <v>5.933418E7</v>
      </c>
      <c r="J541" s="6">
        <v>1.78196547221E9</v>
      </c>
    </row>
    <row r="542">
      <c r="A542" s="4" t="s">
        <v>10</v>
      </c>
      <c r="B542" s="5">
        <v>42425.0</v>
      </c>
      <c r="C542" s="6">
        <v>30.18</v>
      </c>
      <c r="D542" s="13">
        <f>+0.1</f>
        <v>0.1</v>
      </c>
      <c r="E542" s="14">
        <f>+0.33%</f>
        <v>0.0033</v>
      </c>
      <c r="F542" s="6">
        <v>30.04</v>
      </c>
      <c r="G542" s="6">
        <v>29.82</v>
      </c>
      <c r="H542" s="6">
        <v>30.22</v>
      </c>
      <c r="I542" s="9">
        <v>4.5895149E7</v>
      </c>
      <c r="J542" s="6">
        <v>1.38663390196E9</v>
      </c>
    </row>
    <row r="543">
      <c r="A543" s="4" t="s">
        <v>10</v>
      </c>
      <c r="B543" s="5">
        <v>42426.0</v>
      </c>
      <c r="C543" s="6">
        <v>29.88</v>
      </c>
      <c r="D543" s="11">
        <v>-0.3</v>
      </c>
      <c r="E543" s="12">
        <v>-0.0099</v>
      </c>
      <c r="F543" s="6">
        <v>30.38</v>
      </c>
      <c r="G543" s="6">
        <v>29.85</v>
      </c>
      <c r="H543" s="6">
        <v>30.4</v>
      </c>
      <c r="I543" s="9">
        <v>5.4635593E7</v>
      </c>
      <c r="J543" s="6">
        <v>1.65216713456E9</v>
      </c>
    </row>
    <row r="544">
      <c r="A544" s="4" t="s">
        <v>10</v>
      </c>
      <c r="B544" s="5">
        <v>42429.0</v>
      </c>
      <c r="C544" s="6">
        <v>30.14</v>
      </c>
      <c r="D544" s="13">
        <f>+0.26</f>
        <v>0.26</v>
      </c>
      <c r="E544" s="14">
        <f>+0.86%</f>
        <v>0.0086</v>
      </c>
      <c r="F544" s="6">
        <v>30.18</v>
      </c>
      <c r="G544" s="6">
        <v>30.11</v>
      </c>
      <c r="H544" s="6">
        <v>30.43</v>
      </c>
      <c r="I544" s="9">
        <v>6.5543074E7</v>
      </c>
      <c r="J544" s="6">
        <v>1.99373251716E9</v>
      </c>
    </row>
    <row r="545">
      <c r="A545" s="4" t="s">
        <v>10</v>
      </c>
      <c r="B545" s="5">
        <v>42430.0</v>
      </c>
      <c r="C545" s="6">
        <v>31.21</v>
      </c>
      <c r="D545" s="13">
        <f>+1.07</f>
        <v>1.07</v>
      </c>
      <c r="E545" s="14">
        <f>+3.56%</f>
        <v>0.0356</v>
      </c>
      <c r="F545" s="6">
        <v>30.71</v>
      </c>
      <c r="G545" s="6">
        <v>30.7</v>
      </c>
      <c r="H545" s="6">
        <v>31.23</v>
      </c>
      <c r="I545" s="9">
        <v>6.932453E7</v>
      </c>
      <c r="J545" s="6">
        <v>2.16488678466E9</v>
      </c>
    </row>
    <row r="546">
      <c r="A546" s="4" t="s">
        <v>10</v>
      </c>
      <c r="B546" s="5">
        <v>42431.0</v>
      </c>
      <c r="C546" s="6">
        <v>31.63</v>
      </c>
      <c r="D546" s="13">
        <f>+0.42</f>
        <v>0.42</v>
      </c>
      <c r="E546" s="14">
        <f>+1.34%</f>
        <v>0.0134</v>
      </c>
      <c r="F546" s="6">
        <v>31.25</v>
      </c>
      <c r="G546" s="6">
        <v>31.18</v>
      </c>
      <c r="H546" s="6">
        <v>31.65</v>
      </c>
      <c r="I546" s="9">
        <v>6.6977488E7</v>
      </c>
      <c r="J546" s="6">
        <v>2.11853885212E9</v>
      </c>
    </row>
    <row r="547">
      <c r="A547" s="4" t="s">
        <v>10</v>
      </c>
      <c r="B547" s="5">
        <v>42432.0</v>
      </c>
      <c r="C547" s="6">
        <v>31.99</v>
      </c>
      <c r="D547" s="13">
        <f>+0.36</f>
        <v>0.36</v>
      </c>
      <c r="E547" s="14">
        <f>+1.13%</f>
        <v>0.0113</v>
      </c>
      <c r="F547" s="6">
        <v>31.66</v>
      </c>
      <c r="G547" s="6">
        <v>31.62</v>
      </c>
      <c r="H547" s="6">
        <v>32.0</v>
      </c>
      <c r="I547" s="9">
        <v>6.6934149E7</v>
      </c>
      <c r="J547" s="6">
        <v>2.14412118178E9</v>
      </c>
    </row>
    <row r="548">
      <c r="A548" s="4" t="s">
        <v>10</v>
      </c>
      <c r="B548" s="5">
        <v>42433.0</v>
      </c>
      <c r="C548" s="6">
        <v>32.62</v>
      </c>
      <c r="D548" s="13">
        <f>+0.64</f>
        <v>0.64</v>
      </c>
      <c r="E548" s="14">
        <f>+1.99%</f>
        <v>0.0199</v>
      </c>
      <c r="F548" s="6">
        <v>32.3</v>
      </c>
      <c r="G548" s="6">
        <v>32.22</v>
      </c>
      <c r="H548" s="6">
        <v>32.76</v>
      </c>
      <c r="I548" s="9">
        <v>1.0248774E8</v>
      </c>
      <c r="J548" s="6">
        <v>3.35406955078E9</v>
      </c>
    </row>
    <row r="549">
      <c r="A549" s="4" t="s">
        <v>10</v>
      </c>
      <c r="B549" s="5">
        <v>42436.0</v>
      </c>
      <c r="C549" s="6">
        <v>32.57</v>
      </c>
      <c r="D549" s="11">
        <v>-0.05</v>
      </c>
      <c r="E549" s="12">
        <v>-0.0015</v>
      </c>
      <c r="F549" s="6">
        <v>32.31</v>
      </c>
      <c r="G549" s="6">
        <v>32.28</v>
      </c>
      <c r="H549" s="6">
        <v>32.73</v>
      </c>
      <c r="I549" s="9">
        <v>6.781659E7</v>
      </c>
      <c r="J549" s="6">
        <v>2.21950332841E9</v>
      </c>
    </row>
    <row r="550">
      <c r="A550" s="4" t="s">
        <v>10</v>
      </c>
      <c r="B550" s="5">
        <v>42437.0</v>
      </c>
      <c r="C550" s="6">
        <v>32.02</v>
      </c>
      <c r="D550" s="11">
        <v>-0.56</v>
      </c>
      <c r="E550" s="12">
        <v>-0.0171</v>
      </c>
      <c r="F550" s="6">
        <v>32.18</v>
      </c>
      <c r="G550" s="6">
        <v>31.89</v>
      </c>
      <c r="H550" s="6">
        <v>32.23</v>
      </c>
      <c r="I550" s="9">
        <v>5.0510144E7</v>
      </c>
      <c r="J550" s="6">
        <v>1.62903415535E9</v>
      </c>
    </row>
    <row r="551">
      <c r="A551" s="4" t="s">
        <v>10</v>
      </c>
      <c r="B551" s="5">
        <v>42438.0</v>
      </c>
      <c r="C551" s="6">
        <v>32.22</v>
      </c>
      <c r="D551" s="13">
        <f>+0.2</f>
        <v>0.2</v>
      </c>
      <c r="E551" s="14">
        <f>+0.62%</f>
        <v>0.0062</v>
      </c>
      <c r="F551" s="6">
        <v>32.23</v>
      </c>
      <c r="G551" s="6">
        <v>32.12</v>
      </c>
      <c r="H551" s="6">
        <v>32.39</v>
      </c>
      <c r="I551" s="9">
        <v>5.489034E7</v>
      </c>
      <c r="J551" s="6">
        <v>1.78015919568E9</v>
      </c>
    </row>
    <row r="552">
      <c r="A552" s="4" t="s">
        <v>10</v>
      </c>
      <c r="B552" s="5">
        <v>42439.0</v>
      </c>
      <c r="C552" s="6">
        <v>32.27</v>
      </c>
      <c r="D552" s="13">
        <f>+0.05</f>
        <v>0.05</v>
      </c>
      <c r="E552" s="14">
        <f>+0.15%</f>
        <v>0.0015</v>
      </c>
      <c r="F552" s="6">
        <v>32.4</v>
      </c>
      <c r="G552" s="6">
        <v>31.8</v>
      </c>
      <c r="H552" s="6">
        <v>32.46</v>
      </c>
      <c r="I552" s="9">
        <v>6.9716396E7</v>
      </c>
      <c r="J552" s="6">
        <v>2.25494935344E9</v>
      </c>
    </row>
    <row r="553">
      <c r="A553" s="4" t="s">
        <v>10</v>
      </c>
      <c r="B553" s="5">
        <v>42440.0</v>
      </c>
      <c r="C553" s="6">
        <v>32.94</v>
      </c>
      <c r="D553" s="13">
        <f>+0.68</f>
        <v>0.68</v>
      </c>
      <c r="E553" s="14">
        <f>+2.09%</f>
        <v>0.0209</v>
      </c>
      <c r="F553" s="6">
        <v>32.75</v>
      </c>
      <c r="G553" s="6">
        <v>32.71</v>
      </c>
      <c r="H553" s="6">
        <v>33.01</v>
      </c>
      <c r="I553" s="9">
        <v>7.4998485E7</v>
      </c>
      <c r="J553" s="6">
        <v>2.48237367124E9</v>
      </c>
    </row>
    <row r="554">
      <c r="A554" s="4" t="s">
        <v>10</v>
      </c>
      <c r="B554" s="5">
        <v>42443.0</v>
      </c>
      <c r="C554" s="6">
        <v>32.74</v>
      </c>
      <c r="D554" s="11">
        <v>-0.2</v>
      </c>
      <c r="E554" s="12">
        <v>-0.006</v>
      </c>
      <c r="F554" s="6">
        <v>32.83</v>
      </c>
      <c r="G554" s="6">
        <v>32.65</v>
      </c>
      <c r="H554" s="6">
        <v>32.95</v>
      </c>
      <c r="I554" s="9">
        <v>4.3838477E7</v>
      </c>
      <c r="J554" s="6">
        <v>1.44680109774E9</v>
      </c>
    </row>
    <row r="555">
      <c r="A555" s="4" t="s">
        <v>10</v>
      </c>
      <c r="B555" s="5">
        <v>42444.0</v>
      </c>
      <c r="C555" s="6">
        <v>32.28</v>
      </c>
      <c r="D555" s="11">
        <v>-0.47</v>
      </c>
      <c r="E555" s="12">
        <v>-0.0143</v>
      </c>
      <c r="F555" s="6">
        <v>32.25</v>
      </c>
      <c r="G555" s="6">
        <v>32.1</v>
      </c>
      <c r="H555" s="6">
        <v>32.29</v>
      </c>
      <c r="I555" s="9">
        <v>6.6967754E7</v>
      </c>
      <c r="J555" s="6">
        <v>2.16899375838E9</v>
      </c>
    </row>
    <row r="556">
      <c r="A556" s="4" t="s">
        <v>10</v>
      </c>
      <c r="B556" s="5">
        <v>42445.0</v>
      </c>
      <c r="C556" s="6">
        <v>32.92</v>
      </c>
      <c r="D556" s="13">
        <f>+0.65</f>
        <v>0.65</v>
      </c>
      <c r="E556" s="14">
        <f>+2%</f>
        <v>0.02</v>
      </c>
      <c r="F556" s="6">
        <v>32.02</v>
      </c>
      <c r="G556" s="6">
        <v>32.01</v>
      </c>
      <c r="H556" s="6">
        <v>33.01</v>
      </c>
      <c r="I556" s="9">
        <v>9.821845E7</v>
      </c>
      <c r="J556" s="6">
        <v>3.22570919586E9</v>
      </c>
    </row>
    <row r="557">
      <c r="A557" s="4" t="s">
        <v>10</v>
      </c>
      <c r="B557" s="5">
        <v>42446.0</v>
      </c>
      <c r="C557" s="6">
        <v>33.65</v>
      </c>
      <c r="D557" s="13">
        <f>+0.73</f>
        <v>0.73</v>
      </c>
      <c r="E557" s="14">
        <f>+2.2%</f>
        <v>0.022</v>
      </c>
      <c r="F557" s="6">
        <v>33.37</v>
      </c>
      <c r="G557" s="6">
        <v>33.2</v>
      </c>
      <c r="H557" s="6">
        <v>33.73</v>
      </c>
      <c r="I557" s="9">
        <v>1.1474681E8</v>
      </c>
      <c r="J557" s="6">
        <v>3.87156783173E9</v>
      </c>
    </row>
    <row r="558">
      <c r="A558" s="4" t="s">
        <v>10</v>
      </c>
      <c r="B558" s="5">
        <v>42447.0</v>
      </c>
      <c r="C558" s="6">
        <v>33.82</v>
      </c>
      <c r="D558" s="13">
        <f>+0.18</f>
        <v>0.18</v>
      </c>
      <c r="E558" s="14">
        <f>+0.53%</f>
        <v>0.0053</v>
      </c>
      <c r="F558" s="6">
        <v>33.82</v>
      </c>
      <c r="G558" s="6">
        <v>33.79</v>
      </c>
      <c r="H558" s="6">
        <v>33.98</v>
      </c>
      <c r="I558" s="9">
        <v>1.02194588E8</v>
      </c>
      <c r="J558" s="6">
        <v>3.48272613143E9</v>
      </c>
    </row>
    <row r="559">
      <c r="A559" s="4" t="s">
        <v>10</v>
      </c>
      <c r="B559" s="5">
        <v>42450.0</v>
      </c>
      <c r="C559" s="6">
        <v>33.9</v>
      </c>
      <c r="D559" s="13">
        <f>+0.07</f>
        <v>0.07</v>
      </c>
      <c r="E559" s="14">
        <f>+0.21%</f>
        <v>0.0021</v>
      </c>
      <c r="F559" s="6">
        <v>33.79</v>
      </c>
      <c r="G559" s="6">
        <v>33.74</v>
      </c>
      <c r="H559" s="6">
        <v>33.98</v>
      </c>
      <c r="I559" s="9">
        <v>5.9921402E7</v>
      </c>
      <c r="J559" s="6">
        <v>2.04287407638E9</v>
      </c>
    </row>
    <row r="560">
      <c r="A560" s="4" t="s">
        <v>10</v>
      </c>
      <c r="B560" s="5">
        <v>42451.0</v>
      </c>
      <c r="C560" s="6">
        <v>33.82</v>
      </c>
      <c r="D560" s="11">
        <v>-0.08</v>
      </c>
      <c r="E560" s="12">
        <v>-0.0023</v>
      </c>
      <c r="F560" s="6">
        <v>33.6</v>
      </c>
      <c r="G560" s="6">
        <v>33.59</v>
      </c>
      <c r="H560" s="6">
        <v>33.96</v>
      </c>
      <c r="I560" s="9">
        <v>4.1960945E7</v>
      </c>
      <c r="J560" s="6">
        <v>1.42728811983E9</v>
      </c>
    </row>
    <row r="561">
      <c r="A561" s="4" t="s">
        <v>10</v>
      </c>
      <c r="B561" s="5">
        <v>42452.0</v>
      </c>
      <c r="C561" s="6">
        <v>33.24</v>
      </c>
      <c r="D561" s="11">
        <v>-0.58</v>
      </c>
      <c r="E561" s="12">
        <v>-0.017</v>
      </c>
      <c r="F561" s="6">
        <v>33.54</v>
      </c>
      <c r="G561" s="6">
        <v>33.2</v>
      </c>
      <c r="H561" s="6">
        <v>33.54</v>
      </c>
      <c r="I561" s="9">
        <v>5.8628497E7</v>
      </c>
      <c r="J561" s="6">
        <v>1.96549264799E9</v>
      </c>
    </row>
    <row r="562">
      <c r="A562" s="4" t="s">
        <v>10</v>
      </c>
      <c r="B562" s="5">
        <v>42453.0</v>
      </c>
      <c r="C562" s="6">
        <v>33.16</v>
      </c>
      <c r="D562" s="11">
        <v>-0.08</v>
      </c>
      <c r="E562" s="12">
        <v>-0.0024</v>
      </c>
      <c r="F562" s="6">
        <v>32.88</v>
      </c>
      <c r="G562" s="6">
        <v>32.8</v>
      </c>
      <c r="H562" s="6">
        <v>33.17</v>
      </c>
      <c r="I562" s="9">
        <v>6.1479061E7</v>
      </c>
      <c r="J562" s="6">
        <v>2.03962825048E9</v>
      </c>
    </row>
    <row r="563">
      <c r="A563" s="4" t="s">
        <v>10</v>
      </c>
      <c r="B563" s="5">
        <v>42457.0</v>
      </c>
      <c r="C563" s="6">
        <v>33.27</v>
      </c>
      <c r="D563" s="13">
        <f>+0.11</f>
        <v>0.11</v>
      </c>
      <c r="E563" s="14">
        <f>+0.33%</f>
        <v>0.0033</v>
      </c>
      <c r="F563" s="6">
        <v>33.18</v>
      </c>
      <c r="G563" s="6">
        <v>33.12</v>
      </c>
      <c r="H563" s="6">
        <v>33.28</v>
      </c>
      <c r="I563" s="9">
        <v>4.0595508E7</v>
      </c>
      <c r="J563" s="6">
        <v>1.3567371772E9</v>
      </c>
    </row>
    <row r="564">
      <c r="A564" s="4" t="s">
        <v>10</v>
      </c>
      <c r="B564" s="5">
        <v>42458.0</v>
      </c>
      <c r="C564" s="6">
        <v>33.73</v>
      </c>
      <c r="D564" s="13">
        <f>+0.46</f>
        <v>0.46</v>
      </c>
      <c r="E564" s="14">
        <f>+1.37%</f>
        <v>0.0137</v>
      </c>
      <c r="F564" s="6">
        <v>33.07</v>
      </c>
      <c r="G564" s="6">
        <v>33.0</v>
      </c>
      <c r="H564" s="6">
        <v>33.74</v>
      </c>
      <c r="I564" s="9">
        <v>8.1638819E7</v>
      </c>
      <c r="J564" s="6">
        <v>2.75087941859E9</v>
      </c>
    </row>
    <row r="565">
      <c r="A565" s="4" t="s">
        <v>10</v>
      </c>
      <c r="B565" s="5">
        <v>42459.0</v>
      </c>
      <c r="C565" s="6">
        <v>34.07</v>
      </c>
      <c r="D565" s="13">
        <f>+0.35</f>
        <v>0.35</v>
      </c>
      <c r="E565" s="14">
        <f>+1.03%</f>
        <v>0.0103</v>
      </c>
      <c r="F565" s="6">
        <v>34.23</v>
      </c>
      <c r="G565" s="6">
        <v>34.06</v>
      </c>
      <c r="H565" s="6">
        <v>34.37</v>
      </c>
      <c r="I565" s="9">
        <v>5.3128602E7</v>
      </c>
      <c r="J565" s="6">
        <v>1.8273791989E9</v>
      </c>
    </row>
    <row r="566">
      <c r="A566" s="4" t="s">
        <v>10</v>
      </c>
      <c r="B566" s="5">
        <v>42460.0</v>
      </c>
      <c r="C566" s="6">
        <v>34.04</v>
      </c>
      <c r="D566" s="11">
        <v>-0.03</v>
      </c>
      <c r="E566" s="12">
        <v>-9.0E-4</v>
      </c>
      <c r="F566" s="6">
        <v>34.19</v>
      </c>
      <c r="G566" s="6">
        <v>33.95</v>
      </c>
      <c r="H566" s="6">
        <v>34.3</v>
      </c>
      <c r="I566" s="9">
        <v>1.0959506E8</v>
      </c>
      <c r="J566" s="6">
        <v>3.76153639121E9</v>
      </c>
    </row>
    <row r="567">
      <c r="A567" s="4" t="s">
        <v>10</v>
      </c>
      <c r="B567" s="5">
        <v>42461.0</v>
      </c>
      <c r="C567" s="6">
        <v>33.95</v>
      </c>
      <c r="D567" s="11">
        <v>-0.1</v>
      </c>
      <c r="E567" s="12">
        <v>-0.0029</v>
      </c>
      <c r="F567" s="6">
        <v>33.32</v>
      </c>
      <c r="G567" s="6">
        <v>33.22</v>
      </c>
      <c r="H567" s="6">
        <v>34.0</v>
      </c>
      <c r="I567" s="9">
        <v>7.6178771E7</v>
      </c>
      <c r="J567" s="6">
        <v>2.58160800255E9</v>
      </c>
    </row>
    <row r="568">
      <c r="A568" s="4" t="s">
        <v>10</v>
      </c>
      <c r="B568" s="5">
        <v>42464.0</v>
      </c>
      <c r="C568" s="6">
        <v>33.54</v>
      </c>
      <c r="D568" s="11">
        <v>-0.41</v>
      </c>
      <c r="E568" s="12">
        <v>-0.012</v>
      </c>
      <c r="F568" s="6">
        <v>33.93</v>
      </c>
      <c r="G568" s="6">
        <v>33.51</v>
      </c>
      <c r="H568" s="6">
        <v>33.94</v>
      </c>
      <c r="I568" s="9">
        <v>4.6429033E7</v>
      </c>
      <c r="J568" s="6">
        <v>1.57295166182E9</v>
      </c>
    </row>
    <row r="569">
      <c r="A569" s="4" t="s">
        <v>10</v>
      </c>
      <c r="B569" s="5">
        <v>42465.0</v>
      </c>
      <c r="C569" s="6">
        <v>32.88</v>
      </c>
      <c r="D569" s="11">
        <v>-0.66</v>
      </c>
      <c r="E569" s="12">
        <v>-0.0196</v>
      </c>
      <c r="F569" s="6">
        <v>33.01</v>
      </c>
      <c r="G569" s="6">
        <v>32.82</v>
      </c>
      <c r="H569" s="6">
        <v>33.12</v>
      </c>
      <c r="I569" s="9">
        <v>6.1660857E7</v>
      </c>
      <c r="J569" s="6">
        <v>2.04463427064E9</v>
      </c>
    </row>
    <row r="570">
      <c r="A570" s="4" t="s">
        <v>10</v>
      </c>
      <c r="B570" s="5">
        <v>42466.0</v>
      </c>
      <c r="C570" s="6">
        <v>33.28</v>
      </c>
      <c r="D570" s="13">
        <f>+0.4</f>
        <v>0.4</v>
      </c>
      <c r="E570" s="14">
        <f>+1.21%</f>
        <v>0.0121</v>
      </c>
      <c r="F570" s="6">
        <v>32.79</v>
      </c>
      <c r="G570" s="6">
        <v>32.7</v>
      </c>
      <c r="H570" s="6">
        <v>33.29</v>
      </c>
      <c r="I570" s="9">
        <v>5.660866E7</v>
      </c>
      <c r="J570" s="6">
        <v>1.88179425487E9</v>
      </c>
    </row>
    <row r="571">
      <c r="A571" s="4" t="s">
        <v>10</v>
      </c>
      <c r="B571" s="5">
        <v>42467.0</v>
      </c>
      <c r="C571" s="6">
        <v>32.61</v>
      </c>
      <c r="D571" s="11">
        <v>-0.67</v>
      </c>
      <c r="E571" s="12">
        <v>-0.02</v>
      </c>
      <c r="F571" s="6">
        <v>32.84</v>
      </c>
      <c r="G571" s="6">
        <v>32.53</v>
      </c>
      <c r="H571" s="6">
        <v>32.91</v>
      </c>
      <c r="I571" s="9">
        <v>7.5406046E7</v>
      </c>
      <c r="J571" s="6">
        <v>2.48187241093E9</v>
      </c>
    </row>
    <row r="572">
      <c r="A572" s="4" t="s">
        <v>10</v>
      </c>
      <c r="B572" s="5">
        <v>42468.0</v>
      </c>
      <c r="C572" s="6">
        <v>33.18</v>
      </c>
      <c r="D572" s="13">
        <f>+0.57</f>
        <v>0.57</v>
      </c>
      <c r="E572" s="14">
        <f>+1.74%</f>
        <v>0.0174</v>
      </c>
      <c r="F572" s="6">
        <v>33.33</v>
      </c>
      <c r="G572" s="6">
        <v>33.05</v>
      </c>
      <c r="H572" s="6">
        <v>33.37</v>
      </c>
      <c r="I572" s="9">
        <v>4.4785168E7</v>
      </c>
      <c r="J572" s="6">
        <v>1.49633047645E9</v>
      </c>
    </row>
    <row r="573">
      <c r="A573" s="4" t="s">
        <v>10</v>
      </c>
      <c r="B573" s="5">
        <v>42471.0</v>
      </c>
      <c r="C573" s="6">
        <v>33.61</v>
      </c>
      <c r="D573" s="13">
        <f>+0.43</f>
        <v>0.43</v>
      </c>
      <c r="E573" s="14">
        <f>+1.29%</f>
        <v>0.0129</v>
      </c>
      <c r="F573" s="6">
        <v>33.73</v>
      </c>
      <c r="G573" s="6">
        <v>33.56</v>
      </c>
      <c r="H573" s="6">
        <v>33.85</v>
      </c>
      <c r="I573" s="9">
        <v>6.3971977E7</v>
      </c>
      <c r="J573" s="6">
        <v>2.16937877243E9</v>
      </c>
    </row>
    <row r="574">
      <c r="A574" s="4" t="s">
        <v>10</v>
      </c>
      <c r="B574" s="5">
        <v>42472.0</v>
      </c>
      <c r="C574" s="6">
        <v>34.12</v>
      </c>
      <c r="D574" s="13">
        <f>+0.52</f>
        <v>0.52</v>
      </c>
      <c r="E574" s="14">
        <f>+1.54%</f>
        <v>0.0154</v>
      </c>
      <c r="F574" s="6">
        <v>33.73</v>
      </c>
      <c r="G574" s="6">
        <v>33.58</v>
      </c>
      <c r="H574" s="6">
        <v>34.23</v>
      </c>
      <c r="I574" s="9">
        <v>7.0261607E7</v>
      </c>
      <c r="J574" s="6">
        <v>2.40240869858E9</v>
      </c>
    </row>
    <row r="575">
      <c r="A575" s="4" t="s">
        <v>10</v>
      </c>
      <c r="B575" s="5">
        <v>42473.0</v>
      </c>
      <c r="C575" s="6">
        <v>34.73</v>
      </c>
      <c r="D575" s="13">
        <f>+0.61</f>
        <v>0.61</v>
      </c>
      <c r="E575" s="14">
        <f>+1.78%</f>
        <v>0.0178</v>
      </c>
      <c r="F575" s="6">
        <v>34.67</v>
      </c>
      <c r="G575" s="6">
        <v>34.52</v>
      </c>
      <c r="H575" s="6">
        <v>34.75</v>
      </c>
      <c r="I575" s="9">
        <v>9.5376362E7</v>
      </c>
      <c r="J575" s="6">
        <v>3.32528355123E9</v>
      </c>
    </row>
    <row r="576">
      <c r="A576" s="4" t="s">
        <v>10</v>
      </c>
      <c r="B576" s="5">
        <v>42474.0</v>
      </c>
      <c r="C576" s="6">
        <v>34.56</v>
      </c>
      <c r="D576" s="11">
        <v>-0.17</v>
      </c>
      <c r="E576" s="12">
        <v>-0.0049</v>
      </c>
      <c r="F576" s="6">
        <v>34.67</v>
      </c>
      <c r="G576" s="6">
        <v>34.51</v>
      </c>
      <c r="H576" s="6">
        <v>34.7</v>
      </c>
      <c r="I576" s="9">
        <v>4.9781436E7</v>
      </c>
      <c r="J576" s="6">
        <v>1.73225659725E9</v>
      </c>
    </row>
    <row r="577">
      <c r="A577" s="4" t="s">
        <v>10</v>
      </c>
      <c r="B577" s="5">
        <v>42475.0</v>
      </c>
      <c r="C577" s="6">
        <v>34.36</v>
      </c>
      <c r="D577" s="11">
        <v>-0.2</v>
      </c>
      <c r="E577" s="12">
        <v>-0.0058</v>
      </c>
      <c r="F577" s="6">
        <v>34.52</v>
      </c>
      <c r="G577" s="6">
        <v>34.36</v>
      </c>
      <c r="H577" s="6">
        <v>34.58</v>
      </c>
      <c r="I577" s="9">
        <v>6.1733669E7</v>
      </c>
      <c r="J577" s="6">
        <v>2.13938936405E9</v>
      </c>
    </row>
    <row r="578">
      <c r="A578" s="4" t="s">
        <v>10</v>
      </c>
      <c r="B578" s="5">
        <v>42478.0</v>
      </c>
      <c r="C578" s="6">
        <v>34.52</v>
      </c>
      <c r="D578" s="13">
        <f>+0.16</f>
        <v>0.16</v>
      </c>
      <c r="E578" s="14">
        <f>+0.46%</f>
        <v>0.0046</v>
      </c>
      <c r="F578" s="6">
        <v>34.24</v>
      </c>
      <c r="G578" s="6">
        <v>34.17</v>
      </c>
      <c r="H578" s="6">
        <v>34.69</v>
      </c>
      <c r="I578" s="9">
        <v>5.1810566E7</v>
      </c>
      <c r="J578" s="6">
        <v>1.79797561235E9</v>
      </c>
    </row>
    <row r="579">
      <c r="A579" s="4" t="s">
        <v>10</v>
      </c>
      <c r="B579" s="5">
        <v>42479.0</v>
      </c>
      <c r="C579" s="6">
        <v>35.05</v>
      </c>
      <c r="D579" s="13">
        <f>+0.53</f>
        <v>0.53</v>
      </c>
      <c r="E579" s="14">
        <f>+1.53%</f>
        <v>0.0153</v>
      </c>
      <c r="F579" s="6">
        <v>34.86</v>
      </c>
      <c r="G579" s="6">
        <v>34.81</v>
      </c>
      <c r="H579" s="6">
        <v>35.13</v>
      </c>
      <c r="I579" s="9">
        <v>7.0368815E7</v>
      </c>
      <c r="J579" s="6">
        <v>2.47960760182E9</v>
      </c>
    </row>
    <row r="580">
      <c r="A580" s="4" t="s">
        <v>10</v>
      </c>
      <c r="B580" s="5">
        <v>42480.0</v>
      </c>
      <c r="C580" s="6">
        <v>34.89</v>
      </c>
      <c r="D580" s="11">
        <v>-0.16</v>
      </c>
      <c r="E580" s="12">
        <v>-0.0045</v>
      </c>
      <c r="F580" s="6">
        <v>34.77</v>
      </c>
      <c r="G580" s="6">
        <v>34.65</v>
      </c>
      <c r="H580" s="6">
        <v>35.07</v>
      </c>
      <c r="I580" s="9">
        <v>5.167008E7</v>
      </c>
      <c r="J580" s="6">
        <v>1.81169191623E9</v>
      </c>
    </row>
    <row r="581">
      <c r="A581" s="4" t="s">
        <v>10</v>
      </c>
      <c r="B581" s="5">
        <v>42481.0</v>
      </c>
      <c r="C581" s="6">
        <v>34.54</v>
      </c>
      <c r="D581" s="11">
        <v>-0.35</v>
      </c>
      <c r="E581" s="12">
        <v>-0.01</v>
      </c>
      <c r="F581" s="6">
        <v>34.8</v>
      </c>
      <c r="G581" s="6">
        <v>34.47</v>
      </c>
      <c r="H581" s="6">
        <v>34.8</v>
      </c>
      <c r="I581" s="9">
        <v>5.9286609E7</v>
      </c>
      <c r="J581" s="6">
        <v>2.06483083672E9</v>
      </c>
    </row>
    <row r="582">
      <c r="A582" s="4" t="s">
        <v>10</v>
      </c>
      <c r="B582" s="5">
        <v>42482.0</v>
      </c>
      <c r="C582" s="6">
        <v>34.33</v>
      </c>
      <c r="D582" s="11">
        <v>-0.21</v>
      </c>
      <c r="E582" s="12">
        <v>-0.006</v>
      </c>
      <c r="F582" s="6">
        <v>34.4</v>
      </c>
      <c r="G582" s="6">
        <v>34.3</v>
      </c>
      <c r="H582" s="6">
        <v>34.64</v>
      </c>
      <c r="I582" s="9">
        <v>4.3727083E7</v>
      </c>
      <c r="J582" s="6">
        <v>1.51411908983E9</v>
      </c>
    </row>
    <row r="583">
      <c r="A583" s="4" t="s">
        <v>10</v>
      </c>
      <c r="B583" s="5">
        <v>42485.0</v>
      </c>
      <c r="C583" s="6">
        <v>34.11</v>
      </c>
      <c r="D583" s="11">
        <v>-0.22</v>
      </c>
      <c r="E583" s="12">
        <v>-0.0064</v>
      </c>
      <c r="F583" s="6">
        <v>34.31</v>
      </c>
      <c r="G583" s="6">
        <v>34.06</v>
      </c>
      <c r="H583" s="6">
        <v>34.31</v>
      </c>
      <c r="I583" s="9">
        <v>4.0116106E7</v>
      </c>
      <c r="J583" s="6">
        <v>1.37811063539E9</v>
      </c>
    </row>
    <row r="584">
      <c r="A584" s="4" t="s">
        <v>10</v>
      </c>
      <c r="B584" s="5">
        <v>42486.0</v>
      </c>
      <c r="C584" s="6">
        <v>34.48</v>
      </c>
      <c r="D584" s="13">
        <f>+0.37</f>
        <v>0.37</v>
      </c>
      <c r="E584" s="14">
        <f>+1.08%</f>
        <v>0.0108</v>
      </c>
      <c r="F584" s="6">
        <v>34.37</v>
      </c>
      <c r="G584" s="6">
        <v>34.27</v>
      </c>
      <c r="H584" s="6">
        <v>34.49</v>
      </c>
      <c r="I584" s="9">
        <v>4.6394347E7</v>
      </c>
      <c r="J584" s="6">
        <v>1.60516922666E9</v>
      </c>
    </row>
    <row r="585">
      <c r="A585" s="4" t="s">
        <v>10</v>
      </c>
      <c r="B585" s="5">
        <v>42487.0</v>
      </c>
      <c r="C585" s="6">
        <v>34.69</v>
      </c>
      <c r="D585" s="13">
        <f>+0.21</f>
        <v>0.21</v>
      </c>
      <c r="E585" s="14">
        <f>+0.61%</f>
        <v>0.0061</v>
      </c>
      <c r="F585" s="6">
        <v>34.34</v>
      </c>
      <c r="G585" s="6">
        <v>34.24</v>
      </c>
      <c r="H585" s="6">
        <v>34.75</v>
      </c>
      <c r="I585" s="9">
        <v>5.6192059E7</v>
      </c>
      <c r="J585" s="6">
        <v>1.95212823942E9</v>
      </c>
    </row>
    <row r="586">
      <c r="A586" s="4" t="s">
        <v>10</v>
      </c>
      <c r="B586" s="5">
        <v>42488.0</v>
      </c>
      <c r="C586" s="6">
        <v>34.33</v>
      </c>
      <c r="D586" s="11">
        <v>-0.36</v>
      </c>
      <c r="E586" s="12">
        <v>-0.0103</v>
      </c>
      <c r="F586" s="6">
        <v>34.34</v>
      </c>
      <c r="G586" s="6">
        <v>34.25</v>
      </c>
      <c r="H586" s="6">
        <v>34.64</v>
      </c>
      <c r="I586" s="9">
        <v>5.1718922E7</v>
      </c>
      <c r="J586" s="6">
        <v>1.79327102685E9</v>
      </c>
    </row>
    <row r="587">
      <c r="A587" s="4" t="s">
        <v>10</v>
      </c>
      <c r="B587" s="5">
        <v>42489.0</v>
      </c>
      <c r="C587" s="6">
        <v>34.18</v>
      </c>
      <c r="D587" s="11">
        <v>-0.15</v>
      </c>
      <c r="E587" s="12">
        <v>-0.0043</v>
      </c>
      <c r="F587" s="6">
        <v>34.23</v>
      </c>
      <c r="G587" s="6">
        <v>33.91</v>
      </c>
      <c r="H587" s="6">
        <v>34.37</v>
      </c>
      <c r="I587" s="9">
        <v>8.6482678E7</v>
      </c>
      <c r="J587" s="6">
        <v>2.97074449745E9</v>
      </c>
    </row>
    <row r="588">
      <c r="A588" s="4" t="s">
        <v>10</v>
      </c>
      <c r="B588" s="5">
        <v>42492.0</v>
      </c>
      <c r="C588" s="6">
        <v>34.09</v>
      </c>
      <c r="D588" s="11">
        <v>-0.09</v>
      </c>
      <c r="E588" s="12">
        <v>-0.0028</v>
      </c>
      <c r="F588" s="6">
        <v>34.18</v>
      </c>
      <c r="G588" s="6">
        <v>33.94</v>
      </c>
      <c r="H588" s="6">
        <v>34.19</v>
      </c>
      <c r="I588" s="9">
        <v>3.6886957E7</v>
      </c>
      <c r="J588" s="6">
        <v>1.26339720921E9</v>
      </c>
    </row>
    <row r="589">
      <c r="A589" s="4" t="s">
        <v>10</v>
      </c>
      <c r="B589" s="5">
        <v>42493.0</v>
      </c>
      <c r="C589" s="6">
        <v>33.13</v>
      </c>
      <c r="D589" s="11">
        <v>-0.96</v>
      </c>
      <c r="E589" s="12">
        <v>-0.0281</v>
      </c>
      <c r="F589" s="6">
        <v>33.45</v>
      </c>
      <c r="G589" s="6">
        <v>33.12</v>
      </c>
      <c r="H589" s="6">
        <v>33.51</v>
      </c>
      <c r="I589" s="9">
        <v>9.4755375E7</v>
      </c>
      <c r="J589" s="6">
        <v>3.16987720828E9</v>
      </c>
    </row>
    <row r="590">
      <c r="A590" s="4" t="s">
        <v>10</v>
      </c>
      <c r="B590" s="5">
        <v>42494.0</v>
      </c>
      <c r="C590" s="6">
        <v>32.59</v>
      </c>
      <c r="D590" s="11">
        <v>-0.54</v>
      </c>
      <c r="E590" s="12">
        <v>-0.0162</v>
      </c>
      <c r="F590" s="6">
        <v>32.92</v>
      </c>
      <c r="G590" s="6">
        <v>32.57</v>
      </c>
      <c r="H590" s="6">
        <v>32.98</v>
      </c>
      <c r="I590" s="9">
        <v>1.05838422E8</v>
      </c>
      <c r="J590" s="6">
        <v>3.48609687658E9</v>
      </c>
    </row>
    <row r="591">
      <c r="A591" s="4" t="s">
        <v>10</v>
      </c>
      <c r="B591" s="5">
        <v>42495.0</v>
      </c>
      <c r="C591" s="6">
        <v>32.58</v>
      </c>
      <c r="D591" s="11">
        <v>-0.01</v>
      </c>
      <c r="E591" s="12">
        <v>-3.0E-4</v>
      </c>
      <c r="F591" s="6">
        <v>32.91</v>
      </c>
      <c r="G591" s="6">
        <v>32.48</v>
      </c>
      <c r="H591" s="6">
        <v>32.95</v>
      </c>
      <c r="I591" s="9">
        <v>8.3029528E7</v>
      </c>
      <c r="J591" s="6">
        <v>2.72839559307E9</v>
      </c>
    </row>
    <row r="592">
      <c r="A592" s="4" t="s">
        <v>10</v>
      </c>
      <c r="B592" s="5">
        <v>42496.0</v>
      </c>
      <c r="C592" s="6">
        <v>32.63</v>
      </c>
      <c r="D592" s="13">
        <f>+0.05</f>
        <v>0.05</v>
      </c>
      <c r="E592" s="14">
        <f>+0.15%</f>
        <v>0.0015</v>
      </c>
      <c r="F592" s="6">
        <v>32.47</v>
      </c>
      <c r="G592" s="6">
        <v>32.45</v>
      </c>
      <c r="H592" s="6">
        <v>32.77</v>
      </c>
      <c r="I592" s="9">
        <v>8.1640035E7</v>
      </c>
      <c r="J592" s="6">
        <v>2.67864341741E9</v>
      </c>
    </row>
    <row r="593">
      <c r="A593" s="4" t="s">
        <v>10</v>
      </c>
      <c r="B593" s="5">
        <v>42499.0</v>
      </c>
      <c r="C593" s="6">
        <v>32.22</v>
      </c>
      <c r="D593" s="11">
        <v>-0.42</v>
      </c>
      <c r="E593" s="12">
        <v>-0.0128</v>
      </c>
      <c r="F593" s="6">
        <v>32.56</v>
      </c>
      <c r="G593" s="6">
        <v>32.13</v>
      </c>
      <c r="H593" s="6">
        <v>32.57</v>
      </c>
      <c r="I593" s="9">
        <v>8.4074348E7</v>
      </c>
      <c r="J593" s="6">
        <v>2.73104560605E9</v>
      </c>
    </row>
    <row r="594">
      <c r="A594" s="4" t="s">
        <v>10</v>
      </c>
      <c r="B594" s="5">
        <v>42500.0</v>
      </c>
      <c r="C594" s="6">
        <v>32.83</v>
      </c>
      <c r="D594" s="13">
        <f>+0.62</f>
        <v>0.62</v>
      </c>
      <c r="E594" s="14">
        <f>+1.91%</f>
        <v>0.0191</v>
      </c>
      <c r="F594" s="6">
        <v>32.57</v>
      </c>
      <c r="G594" s="6">
        <v>32.56</v>
      </c>
      <c r="H594" s="6">
        <v>32.85</v>
      </c>
      <c r="I594" s="9">
        <v>6.9384441E7</v>
      </c>
      <c r="J594" s="6">
        <v>2.28552868513E9</v>
      </c>
    </row>
    <row r="595">
      <c r="A595" s="4" t="s">
        <v>10</v>
      </c>
      <c r="B595" s="5">
        <v>42501.0</v>
      </c>
      <c r="C595" s="6">
        <v>32.75</v>
      </c>
      <c r="D595" s="11">
        <v>-0.08</v>
      </c>
      <c r="E595" s="12">
        <v>-0.0024</v>
      </c>
      <c r="F595" s="6">
        <v>32.8</v>
      </c>
      <c r="G595" s="6">
        <v>32.67</v>
      </c>
      <c r="H595" s="6">
        <v>32.98</v>
      </c>
      <c r="I595" s="9">
        <v>5.8600267E7</v>
      </c>
      <c r="J595" s="6">
        <v>1.93532645446E9</v>
      </c>
    </row>
    <row r="596">
      <c r="A596" s="4" t="s">
        <v>10</v>
      </c>
      <c r="B596" s="5">
        <v>42502.0</v>
      </c>
      <c r="C596" s="6">
        <v>32.66</v>
      </c>
      <c r="D596" s="11">
        <v>-0.09</v>
      </c>
      <c r="E596" s="12">
        <v>-0.0027</v>
      </c>
      <c r="F596" s="6">
        <v>32.94</v>
      </c>
      <c r="G596" s="6">
        <v>32.54</v>
      </c>
      <c r="H596" s="6">
        <v>33.0</v>
      </c>
      <c r="I596" s="9">
        <v>6.3469813E7</v>
      </c>
      <c r="J596" s="6">
        <v>2.08930076691E9</v>
      </c>
    </row>
    <row r="597">
      <c r="A597" s="4" t="s">
        <v>10</v>
      </c>
      <c r="B597" s="5">
        <v>42503.0</v>
      </c>
      <c r="C597" s="6">
        <v>32.08</v>
      </c>
      <c r="D597" s="11">
        <v>-0.59</v>
      </c>
      <c r="E597" s="12">
        <v>-0.018</v>
      </c>
      <c r="F597" s="6">
        <v>32.38</v>
      </c>
      <c r="G597" s="6">
        <v>32.01</v>
      </c>
      <c r="H597" s="6">
        <v>32.52</v>
      </c>
      <c r="I597" s="9">
        <v>6.2016682E7</v>
      </c>
      <c r="J597" s="6">
        <v>2.00919763892E9</v>
      </c>
    </row>
    <row r="598">
      <c r="A598" s="4" t="s">
        <v>10</v>
      </c>
      <c r="B598" s="5">
        <v>42506.0</v>
      </c>
      <c r="C598" s="6">
        <v>32.46</v>
      </c>
      <c r="D598" s="13">
        <f>+0.39</f>
        <v>0.39</v>
      </c>
      <c r="E598" s="14">
        <f>+1.21%</f>
        <v>0.0121</v>
      </c>
      <c r="F598" s="6">
        <v>32.39</v>
      </c>
      <c r="G598" s="6">
        <v>32.38</v>
      </c>
      <c r="H598" s="6">
        <v>32.57</v>
      </c>
      <c r="I598" s="9">
        <v>5.1206618E7</v>
      </c>
      <c r="J598" s="6">
        <v>1.67348263095E9</v>
      </c>
    </row>
    <row r="599">
      <c r="A599" s="4" t="s">
        <v>10</v>
      </c>
      <c r="B599" s="5">
        <v>42507.0</v>
      </c>
      <c r="C599" s="6">
        <v>32.32</v>
      </c>
      <c r="D599" s="11">
        <v>-0.15</v>
      </c>
      <c r="E599" s="12">
        <v>-0.0046</v>
      </c>
      <c r="F599" s="6">
        <v>32.39</v>
      </c>
      <c r="G599" s="6">
        <v>32.23</v>
      </c>
      <c r="H599" s="6">
        <v>32.55</v>
      </c>
      <c r="I599" s="9">
        <v>6.3616421E7</v>
      </c>
      <c r="J599" s="6">
        <v>2.07177060849E9</v>
      </c>
    </row>
    <row r="600">
      <c r="A600" s="4" t="s">
        <v>10</v>
      </c>
      <c r="B600" s="5">
        <v>42508.0</v>
      </c>
      <c r="C600" s="6">
        <v>32.0</v>
      </c>
      <c r="D600" s="11">
        <v>-0.32</v>
      </c>
      <c r="E600" s="12">
        <v>-0.0098</v>
      </c>
      <c r="F600" s="6">
        <v>32.1</v>
      </c>
      <c r="G600" s="6">
        <v>31.82</v>
      </c>
      <c r="H600" s="6">
        <v>32.43</v>
      </c>
      <c r="I600" s="9">
        <v>9.1541326E7</v>
      </c>
      <c r="J600" s="6">
        <v>2.9581275095E9</v>
      </c>
    </row>
    <row r="601">
      <c r="A601" s="4" t="s">
        <v>10</v>
      </c>
      <c r="B601" s="5">
        <v>42509.0</v>
      </c>
      <c r="C601" s="6">
        <v>31.7</v>
      </c>
      <c r="D601" s="11">
        <v>-0.3</v>
      </c>
      <c r="E601" s="12">
        <v>-0.0093</v>
      </c>
      <c r="F601" s="6">
        <v>31.73</v>
      </c>
      <c r="G601" s="6">
        <v>31.51</v>
      </c>
      <c r="H601" s="6">
        <v>31.8</v>
      </c>
      <c r="I601" s="9">
        <v>7.4454959E7</v>
      </c>
      <c r="J601" s="6">
        <v>2.37110582911E9</v>
      </c>
    </row>
    <row r="602">
      <c r="A602" s="4" t="s">
        <v>10</v>
      </c>
      <c r="B602" s="5">
        <v>42510.0</v>
      </c>
      <c r="C602" s="6">
        <v>32.02</v>
      </c>
      <c r="D602" s="13">
        <f>+0.32</f>
        <v>0.32</v>
      </c>
      <c r="E602" s="14">
        <f>+1%</f>
        <v>0.01</v>
      </c>
      <c r="F602" s="6">
        <v>32.0</v>
      </c>
      <c r="G602" s="6">
        <v>31.96</v>
      </c>
      <c r="H602" s="6">
        <v>32.11</v>
      </c>
      <c r="I602" s="9">
        <v>5.4928271E7</v>
      </c>
      <c r="J602" s="6">
        <v>1.76994618215E9</v>
      </c>
    </row>
    <row r="603">
      <c r="A603" s="4" t="s">
        <v>10</v>
      </c>
      <c r="B603" s="5">
        <v>42513.0</v>
      </c>
      <c r="C603" s="6">
        <v>31.96</v>
      </c>
      <c r="D603" s="11">
        <v>-0.06</v>
      </c>
      <c r="E603" s="12">
        <v>-0.0019</v>
      </c>
      <c r="F603" s="6">
        <v>31.95</v>
      </c>
      <c r="G603" s="6">
        <v>31.93</v>
      </c>
      <c r="H603" s="6">
        <v>32.15</v>
      </c>
      <c r="I603" s="9">
        <v>5.2648161E7</v>
      </c>
      <c r="J603" s="6">
        <v>1.69558140864E9</v>
      </c>
    </row>
    <row r="604">
      <c r="A604" s="4" t="s">
        <v>10</v>
      </c>
      <c r="B604" s="5">
        <v>42514.0</v>
      </c>
      <c r="C604" s="6">
        <v>32.29</v>
      </c>
      <c r="D604" s="13">
        <f>+0.33</f>
        <v>0.33</v>
      </c>
      <c r="E604" s="14">
        <f>+1.03%</f>
        <v>0.0103</v>
      </c>
      <c r="F604" s="6">
        <v>32.13</v>
      </c>
      <c r="G604" s="6">
        <v>32.1</v>
      </c>
      <c r="H604" s="6">
        <v>32.35</v>
      </c>
      <c r="I604" s="9">
        <v>5.8219202E7</v>
      </c>
      <c r="J604" s="6">
        <v>1.88956982687E9</v>
      </c>
    </row>
    <row r="605">
      <c r="A605" s="4" t="s">
        <v>10</v>
      </c>
      <c r="B605" s="5">
        <v>42515.0</v>
      </c>
      <c r="C605" s="6">
        <v>32.67</v>
      </c>
      <c r="D605" s="13">
        <f>+0.39</f>
        <v>0.39</v>
      </c>
      <c r="E605" s="14">
        <f>+1.2%</f>
        <v>0.012</v>
      </c>
      <c r="F605" s="6">
        <v>32.59</v>
      </c>
      <c r="G605" s="6">
        <v>32.57</v>
      </c>
      <c r="H605" s="6">
        <v>32.82</v>
      </c>
      <c r="I605" s="9">
        <v>5.3751305E7</v>
      </c>
      <c r="J605" s="6">
        <v>1.76842695289E9</v>
      </c>
    </row>
    <row r="606">
      <c r="A606" s="4" t="s">
        <v>10</v>
      </c>
      <c r="B606" s="5">
        <v>42516.0</v>
      </c>
      <c r="C606" s="6">
        <v>32.89</v>
      </c>
      <c r="D606" s="13">
        <f>+0.22</f>
        <v>0.22</v>
      </c>
      <c r="E606" s="14">
        <f>+0.67%</f>
        <v>0.0067</v>
      </c>
      <c r="F606" s="6">
        <v>32.93</v>
      </c>
      <c r="G606" s="6">
        <v>32.71</v>
      </c>
      <c r="H606" s="6">
        <v>32.99</v>
      </c>
      <c r="I606" s="9">
        <v>4.8215079E7</v>
      </c>
      <c r="J606" s="6">
        <v>1.59365375193E9</v>
      </c>
    </row>
    <row r="607">
      <c r="A607" s="4" t="s">
        <v>10</v>
      </c>
      <c r="B607" s="5">
        <v>42517.0</v>
      </c>
      <c r="C607" s="6">
        <v>32.88</v>
      </c>
      <c r="D607" s="11">
        <v>-0.01</v>
      </c>
      <c r="E607" s="12">
        <v>-3.0E-4</v>
      </c>
      <c r="F607" s="6">
        <v>33.01</v>
      </c>
      <c r="G607" s="6">
        <v>32.79</v>
      </c>
      <c r="H607" s="6">
        <v>33.08</v>
      </c>
      <c r="I607" s="9">
        <v>4.3342877E7</v>
      </c>
      <c r="J607" s="6">
        <v>1.43688830229E9</v>
      </c>
    </row>
    <row r="608">
      <c r="A608" s="4" t="s">
        <v>10</v>
      </c>
      <c r="B608" s="5">
        <v>42521.0</v>
      </c>
      <c r="C608" s="6">
        <v>32.92</v>
      </c>
      <c r="D608" s="13">
        <f>+0.04</f>
        <v>0.04</v>
      </c>
      <c r="E608" s="14">
        <f>+0.12%</f>
        <v>0.0012</v>
      </c>
      <c r="F608" s="6">
        <v>32.96</v>
      </c>
      <c r="G608" s="6">
        <v>32.83</v>
      </c>
      <c r="H608" s="6">
        <v>33.1</v>
      </c>
      <c r="I608" s="9">
        <v>9.4760091E7</v>
      </c>
      <c r="J608" s="6">
        <v>3.14094636343E9</v>
      </c>
    </row>
    <row r="609">
      <c r="A609" s="4" t="s">
        <v>10</v>
      </c>
      <c r="B609" s="5">
        <v>42522.0</v>
      </c>
      <c r="C609" s="6">
        <v>32.9</v>
      </c>
      <c r="D609" s="11">
        <v>-0.02</v>
      </c>
      <c r="E609" s="12">
        <v>-6.0E-4</v>
      </c>
      <c r="F609" s="6">
        <v>32.79</v>
      </c>
      <c r="G609" s="6">
        <v>32.71</v>
      </c>
      <c r="H609" s="6">
        <v>32.97</v>
      </c>
      <c r="I609" s="9">
        <v>5.2115056E7</v>
      </c>
      <c r="J609" s="6">
        <v>1.7224529556E9</v>
      </c>
    </row>
    <row r="610">
      <c r="A610" s="4" t="s">
        <v>10</v>
      </c>
      <c r="B610" s="5">
        <v>42523.0</v>
      </c>
      <c r="C610" s="6">
        <v>33.17</v>
      </c>
      <c r="D610" s="13">
        <f>+0.27</f>
        <v>0.27</v>
      </c>
      <c r="E610" s="14">
        <f>+0.82%</f>
        <v>0.0082</v>
      </c>
      <c r="F610" s="6">
        <v>32.87</v>
      </c>
      <c r="G610" s="6">
        <v>32.82</v>
      </c>
      <c r="H610" s="6">
        <v>33.21</v>
      </c>
      <c r="I610" s="9">
        <v>4.8252488E7</v>
      </c>
      <c r="J610" s="6">
        <v>1.60510225866E9</v>
      </c>
    </row>
    <row r="611">
      <c r="A611" s="4" t="s">
        <v>10</v>
      </c>
      <c r="B611" s="5">
        <v>42524.0</v>
      </c>
      <c r="C611" s="6">
        <v>33.68</v>
      </c>
      <c r="D611" s="13">
        <f>+0.51</f>
        <v>0.51</v>
      </c>
      <c r="E611" s="14">
        <f>+1.53%</f>
        <v>0.0153</v>
      </c>
      <c r="F611" s="6">
        <v>33.58</v>
      </c>
      <c r="G611" s="6">
        <v>33.32</v>
      </c>
      <c r="H611" s="6">
        <v>33.7</v>
      </c>
      <c r="I611" s="9">
        <v>8.9424767E7</v>
      </c>
      <c r="J611" s="6">
        <v>3.01673850973E9</v>
      </c>
    </row>
    <row r="612">
      <c r="A612" s="4" t="s">
        <v>10</v>
      </c>
      <c r="B612" s="5">
        <v>42527.0</v>
      </c>
      <c r="C612" s="6">
        <v>34.03</v>
      </c>
      <c r="D612" s="13">
        <f>+0.36</f>
        <v>0.36</v>
      </c>
      <c r="E612" s="14">
        <f>+1.06%</f>
        <v>0.0106</v>
      </c>
      <c r="F612" s="6">
        <v>33.81</v>
      </c>
      <c r="G612" s="6">
        <v>33.78</v>
      </c>
      <c r="H612" s="6">
        <v>34.09</v>
      </c>
      <c r="I612" s="9">
        <v>1.10069484E8</v>
      </c>
      <c r="J612" s="6">
        <v>3.76320470593E9</v>
      </c>
    </row>
    <row r="613">
      <c r="A613" s="4" t="s">
        <v>10</v>
      </c>
      <c r="B613" s="5">
        <v>42528.0</v>
      </c>
      <c r="C613" s="6">
        <v>34.34</v>
      </c>
      <c r="D613" s="13">
        <f>+0.31</f>
        <v>0.31</v>
      </c>
      <c r="E613" s="14">
        <f>+0.91%</f>
        <v>0.0091</v>
      </c>
      <c r="F613" s="6">
        <v>34.25</v>
      </c>
      <c r="G613" s="6">
        <v>34.22</v>
      </c>
      <c r="H613" s="6">
        <v>34.38</v>
      </c>
      <c r="I613" s="9">
        <v>5.9933998E7</v>
      </c>
      <c r="J613" s="6">
        <v>2.07007105514E9</v>
      </c>
    </row>
    <row r="614">
      <c r="A614" s="4" t="s">
        <v>10</v>
      </c>
      <c r="B614" s="5">
        <v>42529.0</v>
      </c>
      <c r="C614" s="6">
        <v>34.59</v>
      </c>
      <c r="D614" s="13">
        <f>+0.25</f>
        <v>0.25</v>
      </c>
      <c r="E614" s="14">
        <f>+0.72%</f>
        <v>0.0072</v>
      </c>
      <c r="F614" s="6">
        <v>34.57</v>
      </c>
      <c r="G614" s="6">
        <v>34.45</v>
      </c>
      <c r="H614" s="6">
        <v>34.65</v>
      </c>
      <c r="I614" s="9">
        <v>7.5850107E7</v>
      </c>
      <c r="J614" s="6">
        <v>2.63633897414E9</v>
      </c>
    </row>
    <row r="615">
      <c r="A615" s="4" t="s">
        <v>10</v>
      </c>
      <c r="B615" s="5">
        <v>42530.0</v>
      </c>
      <c r="C615" s="6">
        <v>34.19</v>
      </c>
      <c r="D615" s="11">
        <v>-0.4</v>
      </c>
      <c r="E615" s="12">
        <v>-0.0115</v>
      </c>
      <c r="F615" s="6">
        <v>34.12</v>
      </c>
      <c r="G615" s="6">
        <v>34.07</v>
      </c>
      <c r="H615" s="6">
        <v>34.27</v>
      </c>
      <c r="I615" s="9">
        <v>5.4934264E7</v>
      </c>
      <c r="J615" s="6">
        <v>1.8891828345E9</v>
      </c>
    </row>
    <row r="616">
      <c r="A616" s="4" t="s">
        <v>10</v>
      </c>
      <c r="B616" s="5">
        <v>42531.0</v>
      </c>
      <c r="C616" s="6">
        <v>33.33</v>
      </c>
      <c r="D616" s="11">
        <v>-0.86</v>
      </c>
      <c r="E616" s="12">
        <v>-0.0253</v>
      </c>
      <c r="F616" s="6">
        <v>33.5</v>
      </c>
      <c r="G616" s="6">
        <v>33.25</v>
      </c>
      <c r="H616" s="6">
        <v>33.64</v>
      </c>
      <c r="I616" s="9">
        <v>7.7417463E7</v>
      </c>
      <c r="J616" s="6">
        <v>2.60614848385E9</v>
      </c>
    </row>
    <row r="617">
      <c r="A617" s="4" t="s">
        <v>10</v>
      </c>
      <c r="B617" s="5">
        <v>42534.0</v>
      </c>
      <c r="C617" s="6">
        <v>32.86</v>
      </c>
      <c r="D617" s="11">
        <v>-0.47</v>
      </c>
      <c r="E617" s="12">
        <v>-0.014</v>
      </c>
      <c r="F617" s="6">
        <v>32.89</v>
      </c>
      <c r="G617" s="6">
        <v>32.82</v>
      </c>
      <c r="H617" s="6">
        <v>33.17</v>
      </c>
      <c r="I617" s="9">
        <v>5.6865518E7</v>
      </c>
      <c r="J617" s="6">
        <v>1.88420675473E9</v>
      </c>
    </row>
    <row r="618">
      <c r="A618" s="4" t="s">
        <v>10</v>
      </c>
      <c r="B618" s="5">
        <v>42535.0</v>
      </c>
      <c r="C618" s="6">
        <v>32.75</v>
      </c>
      <c r="D618" s="11">
        <v>-0.11</v>
      </c>
      <c r="E618" s="12">
        <v>-0.0033</v>
      </c>
      <c r="F618" s="6">
        <v>32.76</v>
      </c>
      <c r="G618" s="6">
        <v>32.48</v>
      </c>
      <c r="H618" s="6">
        <v>32.92</v>
      </c>
      <c r="I618" s="9">
        <v>7.1023798E7</v>
      </c>
      <c r="J618" s="6">
        <v>2.33337547764E9</v>
      </c>
    </row>
    <row r="619">
      <c r="A619" s="4" t="s">
        <v>10</v>
      </c>
      <c r="B619" s="5">
        <v>42536.0</v>
      </c>
      <c r="C619" s="6">
        <v>33.1</v>
      </c>
      <c r="D619" s="13">
        <f>+0.35</f>
        <v>0.35</v>
      </c>
      <c r="E619" s="14">
        <f>+1.06%</f>
        <v>0.0106</v>
      </c>
      <c r="F619" s="6">
        <v>33.09</v>
      </c>
      <c r="G619" s="6">
        <v>32.98</v>
      </c>
      <c r="H619" s="6">
        <v>33.39</v>
      </c>
      <c r="I619" s="9">
        <v>6.4707021E7</v>
      </c>
      <c r="J619" s="6">
        <v>2.15743698002E9</v>
      </c>
    </row>
    <row r="620">
      <c r="A620" s="4" t="s">
        <v>10</v>
      </c>
      <c r="B620" s="5">
        <v>42537.0</v>
      </c>
      <c r="C620" s="6">
        <v>32.98</v>
      </c>
      <c r="D620" s="11">
        <v>-0.12</v>
      </c>
      <c r="E620" s="12">
        <v>-0.0036</v>
      </c>
      <c r="F620" s="6">
        <v>32.5</v>
      </c>
      <c r="G620" s="6">
        <v>32.3</v>
      </c>
      <c r="H620" s="6">
        <v>33.01</v>
      </c>
      <c r="I620" s="9">
        <v>7.3981908E7</v>
      </c>
      <c r="J620" s="6">
        <v>2.43369833E9</v>
      </c>
    </row>
    <row r="621">
      <c r="A621" s="4" t="s">
        <v>10</v>
      </c>
      <c r="B621" s="5">
        <v>42538.0</v>
      </c>
      <c r="C621" s="6">
        <v>33.07</v>
      </c>
      <c r="D621" s="13">
        <f>+0.09</f>
        <v>0.09</v>
      </c>
      <c r="E621" s="14">
        <f>+0.27%</f>
        <v>0.0027</v>
      </c>
      <c r="F621" s="6">
        <v>33.04</v>
      </c>
      <c r="G621" s="6">
        <v>32.82</v>
      </c>
      <c r="H621" s="6">
        <v>33.09</v>
      </c>
      <c r="I621" s="9">
        <v>5.6740375E7</v>
      </c>
      <c r="J621" s="6">
        <v>1.88307036364E9</v>
      </c>
    </row>
    <row r="622">
      <c r="A622" s="4" t="s">
        <v>10</v>
      </c>
      <c r="B622" s="5">
        <v>42541.0</v>
      </c>
      <c r="C622" s="6">
        <v>33.66</v>
      </c>
      <c r="D622" s="13">
        <f>+0.59</f>
        <v>0.59</v>
      </c>
      <c r="E622" s="14">
        <f>+1.77%</f>
        <v>0.0177</v>
      </c>
      <c r="F622" s="6">
        <v>33.7</v>
      </c>
      <c r="G622" s="6">
        <v>33.62</v>
      </c>
      <c r="H622" s="6">
        <v>33.88</v>
      </c>
      <c r="I622" s="9">
        <v>7.8204244E7</v>
      </c>
      <c r="J622" s="6">
        <v>2.65360849395E9</v>
      </c>
    </row>
    <row r="623">
      <c r="A623" s="4" t="s">
        <v>10</v>
      </c>
      <c r="B623" s="5">
        <v>42542.0</v>
      </c>
      <c r="C623" s="6">
        <v>33.92</v>
      </c>
      <c r="D623" s="13">
        <f>+0.26</f>
        <v>0.26</v>
      </c>
      <c r="E623" s="14">
        <f>+0.77%</f>
        <v>0.0077</v>
      </c>
      <c r="F623" s="6">
        <v>33.82</v>
      </c>
      <c r="G623" s="6">
        <v>33.63</v>
      </c>
      <c r="H623" s="6">
        <v>34.01</v>
      </c>
      <c r="I623" s="9">
        <v>7.5173081E7</v>
      </c>
      <c r="J623" s="6">
        <v>2.55934505016E9</v>
      </c>
    </row>
    <row r="624">
      <c r="A624" s="4" t="s">
        <v>10</v>
      </c>
      <c r="B624" s="5">
        <v>42543.0</v>
      </c>
      <c r="C624" s="6">
        <v>33.74</v>
      </c>
      <c r="D624" s="11">
        <v>-0.18</v>
      </c>
      <c r="E624" s="12">
        <v>-0.0053</v>
      </c>
      <c r="F624" s="6">
        <v>33.88</v>
      </c>
      <c r="G624" s="6">
        <v>33.68</v>
      </c>
      <c r="H624" s="6">
        <v>33.96</v>
      </c>
      <c r="I624" s="9">
        <v>6.727346E7</v>
      </c>
      <c r="J624" s="6">
        <v>2.28769226727E9</v>
      </c>
    </row>
    <row r="625">
      <c r="A625" s="4" t="s">
        <v>10</v>
      </c>
      <c r="B625" s="5">
        <v>42544.0</v>
      </c>
      <c r="C625" s="6">
        <v>34.55</v>
      </c>
      <c r="D625" s="13">
        <f>+0.82</f>
        <v>0.82</v>
      </c>
      <c r="E625" s="14">
        <f>+2.42%</f>
        <v>0.0242</v>
      </c>
      <c r="F625" s="6">
        <v>34.19</v>
      </c>
      <c r="G625" s="6">
        <v>34.04</v>
      </c>
      <c r="H625" s="6">
        <v>34.55</v>
      </c>
      <c r="I625" s="9">
        <v>7.0159943E7</v>
      </c>
      <c r="J625" s="6">
        <v>2.42090855279E9</v>
      </c>
    </row>
    <row r="626">
      <c r="A626" s="4" t="s">
        <v>10</v>
      </c>
      <c r="B626" s="5">
        <v>42545.0</v>
      </c>
      <c r="C626" s="6">
        <v>32.44</v>
      </c>
      <c r="D626" s="11">
        <v>-2.11</v>
      </c>
      <c r="E626" s="12">
        <v>-0.061</v>
      </c>
      <c r="F626" s="6">
        <v>32.56</v>
      </c>
      <c r="G626" s="6">
        <v>32.37</v>
      </c>
      <c r="H626" s="6">
        <v>33.26</v>
      </c>
      <c r="I626" s="9">
        <v>1.58565994E8</v>
      </c>
      <c r="J626" s="6">
        <v>5.22216309475E9</v>
      </c>
    </row>
    <row r="627">
      <c r="A627" s="4" t="s">
        <v>10</v>
      </c>
      <c r="B627" s="5">
        <v>42548.0</v>
      </c>
      <c r="C627" s="6">
        <v>32.04</v>
      </c>
      <c r="D627" s="11">
        <v>-0.41</v>
      </c>
      <c r="E627" s="12">
        <v>-0.0126</v>
      </c>
      <c r="F627" s="6">
        <v>32.31</v>
      </c>
      <c r="G627" s="6">
        <v>31.7</v>
      </c>
      <c r="H627" s="6">
        <v>32.31</v>
      </c>
      <c r="I627" s="9">
        <v>1.03047455E8</v>
      </c>
      <c r="J627" s="6">
        <v>3.31399314741E9</v>
      </c>
    </row>
    <row r="628">
      <c r="A628" s="4" t="s">
        <v>10</v>
      </c>
      <c r="B628" s="5">
        <v>42549.0</v>
      </c>
      <c r="C628" s="6">
        <v>32.98</v>
      </c>
      <c r="D628" s="13">
        <f>+0.94</f>
        <v>0.94</v>
      </c>
      <c r="E628" s="14">
        <f>+2.95%</f>
        <v>0.0295</v>
      </c>
      <c r="F628" s="6">
        <v>32.8</v>
      </c>
      <c r="G628" s="6">
        <v>32.68</v>
      </c>
      <c r="H628" s="6">
        <v>33.0</v>
      </c>
      <c r="I628" s="9">
        <v>6.8332893E7</v>
      </c>
      <c r="J628" s="6">
        <v>2.25874741187E9</v>
      </c>
    </row>
    <row r="629">
      <c r="A629" s="4" t="s">
        <v>10</v>
      </c>
      <c r="B629" s="5">
        <v>42550.0</v>
      </c>
      <c r="C629" s="6">
        <v>33.82</v>
      </c>
      <c r="D629" s="13">
        <f>+0.83</f>
        <v>0.83</v>
      </c>
      <c r="E629" s="14">
        <f>+2.53%</f>
        <v>0.0253</v>
      </c>
      <c r="F629" s="6">
        <v>33.62</v>
      </c>
      <c r="G629" s="6">
        <v>33.56</v>
      </c>
      <c r="H629" s="6">
        <v>33.82</v>
      </c>
      <c r="I629" s="9">
        <v>8.2587328E7</v>
      </c>
      <c r="J629" s="6">
        <v>2.80192630318E9</v>
      </c>
    </row>
    <row r="630">
      <c r="A630" s="4" t="s">
        <v>10</v>
      </c>
      <c r="B630" s="5">
        <v>42551.0</v>
      </c>
      <c r="C630" s="6">
        <v>34.15</v>
      </c>
      <c r="D630" s="13">
        <f>+0.34</f>
        <v>0.34</v>
      </c>
      <c r="E630" s="14">
        <f>+1%</f>
        <v>0.01</v>
      </c>
      <c r="F630" s="6">
        <v>33.97</v>
      </c>
      <c r="G630" s="6">
        <v>33.81</v>
      </c>
      <c r="H630" s="6">
        <v>34.24</v>
      </c>
      <c r="I630" s="9">
        <v>9.2761746E7</v>
      </c>
      <c r="J630" s="6">
        <v>3.17829269894E9</v>
      </c>
    </row>
    <row r="631">
      <c r="A631" s="4" t="s">
        <v>10</v>
      </c>
      <c r="B631" s="5">
        <v>42552.0</v>
      </c>
      <c r="C631" s="6">
        <v>34.48</v>
      </c>
      <c r="D631" s="13">
        <f>+0.33</f>
        <v>0.33</v>
      </c>
      <c r="E631" s="14">
        <f>+0.96%</f>
        <v>0.0096</v>
      </c>
      <c r="F631" s="6">
        <v>34.41</v>
      </c>
      <c r="G631" s="6">
        <v>34.33</v>
      </c>
      <c r="H631" s="6">
        <v>34.54</v>
      </c>
      <c r="I631" s="9">
        <v>6.6514835E7</v>
      </c>
      <c r="J631" s="6">
        <v>2.3055363629E9</v>
      </c>
    </row>
    <row r="632">
      <c r="A632" s="4" t="s">
        <v>10</v>
      </c>
      <c r="B632" s="5">
        <v>42556.0</v>
      </c>
      <c r="C632" s="6">
        <v>33.75</v>
      </c>
      <c r="D632" s="11">
        <v>-0.74</v>
      </c>
      <c r="E632" s="12">
        <v>-0.0213</v>
      </c>
      <c r="F632" s="6">
        <v>34.0</v>
      </c>
      <c r="G632" s="6">
        <v>33.7</v>
      </c>
      <c r="H632" s="6">
        <v>34.03</v>
      </c>
      <c r="I632" s="9">
        <v>6.3420151E7</v>
      </c>
      <c r="J632" s="6">
        <v>2.15733736577E9</v>
      </c>
    </row>
    <row r="633">
      <c r="A633" s="4" t="s">
        <v>10</v>
      </c>
      <c r="B633" s="5">
        <v>42557.0</v>
      </c>
      <c r="C633" s="6">
        <v>33.66</v>
      </c>
      <c r="D633" s="11">
        <v>-0.09</v>
      </c>
      <c r="E633" s="12">
        <v>-0.0027</v>
      </c>
      <c r="F633" s="6">
        <v>33.29</v>
      </c>
      <c r="G633" s="6">
        <v>33.13</v>
      </c>
      <c r="H633" s="6">
        <v>33.66</v>
      </c>
      <c r="I633" s="9">
        <v>6.1084453E7</v>
      </c>
      <c r="J633" s="6">
        <v>2.0530747725E9</v>
      </c>
    </row>
    <row r="634">
      <c r="A634" s="4" t="s">
        <v>10</v>
      </c>
      <c r="B634" s="5">
        <v>42558.0</v>
      </c>
      <c r="C634" s="6">
        <v>33.57</v>
      </c>
      <c r="D634" s="11">
        <v>-0.09</v>
      </c>
      <c r="E634" s="12">
        <v>-0.0027</v>
      </c>
      <c r="F634" s="6">
        <v>33.82</v>
      </c>
      <c r="G634" s="6">
        <v>33.47</v>
      </c>
      <c r="H634" s="6">
        <v>33.92</v>
      </c>
      <c r="I634" s="9">
        <v>4.958683E7</v>
      </c>
      <c r="J634" s="6">
        <v>1.67783602639E9</v>
      </c>
    </row>
    <row r="635">
      <c r="A635" s="4" t="s">
        <v>10</v>
      </c>
      <c r="B635" s="5">
        <v>42559.0</v>
      </c>
      <c r="C635" s="6">
        <v>34.29</v>
      </c>
      <c r="D635" s="13">
        <f>+0.73</f>
        <v>0.73</v>
      </c>
      <c r="E635" s="14">
        <f>+2.16%</f>
        <v>0.0216</v>
      </c>
      <c r="F635" s="6">
        <v>33.95</v>
      </c>
      <c r="G635" s="6">
        <v>33.91</v>
      </c>
      <c r="H635" s="6">
        <v>34.3</v>
      </c>
      <c r="I635" s="9">
        <v>7.4907875E7</v>
      </c>
      <c r="J635" s="6">
        <v>2.57545275137E9</v>
      </c>
    </row>
    <row r="636">
      <c r="A636" s="4" t="s">
        <v>10</v>
      </c>
      <c r="B636" s="5">
        <v>42562.0</v>
      </c>
      <c r="C636" s="6">
        <v>34.62</v>
      </c>
      <c r="D636" s="13">
        <f>+0.33</f>
        <v>0.33</v>
      </c>
      <c r="E636" s="14">
        <f>+0.96%</f>
        <v>0.0096</v>
      </c>
      <c r="F636" s="6">
        <v>34.58</v>
      </c>
      <c r="G636" s="6">
        <v>34.56</v>
      </c>
      <c r="H636" s="6">
        <v>34.74</v>
      </c>
      <c r="I636" s="9">
        <v>7.0201998E7</v>
      </c>
      <c r="J636" s="6">
        <v>2.44684235702E9</v>
      </c>
    </row>
    <row r="637">
      <c r="A637" s="4" t="s">
        <v>10</v>
      </c>
      <c r="B637" s="5">
        <v>42563.0</v>
      </c>
      <c r="C637" s="6">
        <v>35.11</v>
      </c>
      <c r="D637" s="13">
        <f>+0.49</f>
        <v>0.49</v>
      </c>
      <c r="E637" s="14">
        <f>+1.41%</f>
        <v>0.0141</v>
      </c>
      <c r="F637" s="6">
        <v>35.08</v>
      </c>
      <c r="G637" s="6">
        <v>34.97</v>
      </c>
      <c r="H637" s="6">
        <v>35.22</v>
      </c>
      <c r="I637" s="9">
        <v>8.9275177E7</v>
      </c>
      <c r="J637" s="6">
        <v>3.15384589006E9</v>
      </c>
    </row>
    <row r="638">
      <c r="A638" s="4" t="s">
        <v>10</v>
      </c>
      <c r="B638" s="5">
        <v>42564.0</v>
      </c>
      <c r="C638" s="6">
        <v>35.05</v>
      </c>
      <c r="D638" s="11">
        <v>-0.06</v>
      </c>
      <c r="E638" s="12">
        <v>-0.0017</v>
      </c>
      <c r="F638" s="6">
        <v>35.12</v>
      </c>
      <c r="G638" s="6">
        <v>34.82</v>
      </c>
      <c r="H638" s="6">
        <v>35.14</v>
      </c>
      <c r="I638" s="9">
        <v>6.2034262E7</v>
      </c>
      <c r="J638" s="6">
        <v>2.18444567376E9</v>
      </c>
    </row>
    <row r="639">
      <c r="A639" s="4" t="s">
        <v>10</v>
      </c>
      <c r="B639" s="5">
        <v>42565.0</v>
      </c>
      <c r="C639" s="6">
        <v>35.56</v>
      </c>
      <c r="D639" s="13">
        <f>+0.51</f>
        <v>0.51</v>
      </c>
      <c r="E639" s="14">
        <f>+1.45%</f>
        <v>0.0145</v>
      </c>
      <c r="F639" s="6">
        <v>35.44</v>
      </c>
      <c r="G639" s="6">
        <v>35.36</v>
      </c>
      <c r="H639" s="6">
        <v>35.65</v>
      </c>
      <c r="I639" s="9">
        <v>9.9969166E7</v>
      </c>
      <c r="J639" s="6">
        <v>3.57518393435E9</v>
      </c>
    </row>
    <row r="640">
      <c r="A640" s="4" t="s">
        <v>10</v>
      </c>
      <c r="B640" s="5">
        <v>42566.0</v>
      </c>
      <c r="C640" s="6">
        <v>35.48</v>
      </c>
      <c r="D640" s="11">
        <v>-0.08</v>
      </c>
      <c r="E640" s="12">
        <v>-0.0022</v>
      </c>
      <c r="F640" s="6">
        <v>35.53</v>
      </c>
      <c r="G640" s="6">
        <v>35.34</v>
      </c>
      <c r="H640" s="6">
        <v>35.55</v>
      </c>
      <c r="I640" s="9">
        <v>8.2124283E7</v>
      </c>
      <c r="J640" s="6">
        <v>2.92871655537E9</v>
      </c>
    </row>
    <row r="641">
      <c r="A641" s="4" t="s">
        <v>10</v>
      </c>
      <c r="B641" s="5">
        <v>42569.0</v>
      </c>
      <c r="C641" s="6">
        <v>35.79</v>
      </c>
      <c r="D641" s="13">
        <f>+0.31</f>
        <v>0.31</v>
      </c>
      <c r="E641" s="14">
        <f>+0.88%</f>
        <v>0.0088</v>
      </c>
      <c r="F641" s="6">
        <v>35.37</v>
      </c>
      <c r="G641" s="6">
        <v>35.37</v>
      </c>
      <c r="H641" s="6">
        <v>35.8</v>
      </c>
      <c r="I641" s="9">
        <v>7.5861679E7</v>
      </c>
      <c r="J641" s="6">
        <v>2.72090046411E9</v>
      </c>
    </row>
    <row r="642">
      <c r="A642" s="4" t="s">
        <v>10</v>
      </c>
      <c r="B642" s="5">
        <v>42570.0</v>
      </c>
      <c r="C642" s="6">
        <v>35.43</v>
      </c>
      <c r="D642" s="11">
        <v>-0.36</v>
      </c>
      <c r="E642" s="12">
        <v>-0.0101</v>
      </c>
      <c r="F642" s="6">
        <v>35.48</v>
      </c>
      <c r="G642" s="6">
        <v>35.31</v>
      </c>
      <c r="H642" s="6">
        <v>35.54</v>
      </c>
      <c r="I642" s="9">
        <v>5.4832738E7</v>
      </c>
      <c r="J642" s="6">
        <v>1.95364706589E9</v>
      </c>
    </row>
    <row r="643">
      <c r="A643" s="4" t="s">
        <v>10</v>
      </c>
      <c r="B643" s="5">
        <v>42571.0</v>
      </c>
      <c r="C643" s="6">
        <v>35.61</v>
      </c>
      <c r="D643" s="13">
        <f>+0.18</f>
        <v>0.18</v>
      </c>
      <c r="E643" s="14">
        <f>+0.51%</f>
        <v>0.0051</v>
      </c>
      <c r="F643" s="6">
        <v>35.51</v>
      </c>
      <c r="G643" s="6">
        <v>35.41</v>
      </c>
      <c r="H643" s="6">
        <v>35.68</v>
      </c>
      <c r="I643" s="9">
        <v>4.8091544E7</v>
      </c>
      <c r="J643" s="6">
        <v>1.72141388012E9</v>
      </c>
    </row>
    <row r="644">
      <c r="A644" s="4" t="s">
        <v>10</v>
      </c>
      <c r="B644" s="5">
        <v>42572.0</v>
      </c>
      <c r="C644" s="6">
        <v>35.49</v>
      </c>
      <c r="D644" s="11">
        <v>-0.11</v>
      </c>
      <c r="E644" s="12">
        <v>-0.0032</v>
      </c>
      <c r="F644" s="6">
        <v>35.53</v>
      </c>
      <c r="G644" s="6">
        <v>35.4</v>
      </c>
      <c r="H644" s="6">
        <v>35.67</v>
      </c>
      <c r="I644" s="9">
        <v>5.6354259E7</v>
      </c>
      <c r="J644" s="6">
        <v>2.01581563393E9</v>
      </c>
    </row>
    <row r="645">
      <c r="A645" s="4" t="s">
        <v>10</v>
      </c>
      <c r="B645" s="5">
        <v>42573.0</v>
      </c>
      <c r="C645" s="6">
        <v>35.75</v>
      </c>
      <c r="D645" s="13">
        <f>+0.26</f>
        <v>0.26</v>
      </c>
      <c r="E645" s="14">
        <f>+0.74%</f>
        <v>0.0074</v>
      </c>
      <c r="F645" s="6">
        <v>35.61</v>
      </c>
      <c r="G645" s="6">
        <v>35.51</v>
      </c>
      <c r="H645" s="6">
        <v>35.76</v>
      </c>
      <c r="I645" s="9">
        <v>4.5498638E7</v>
      </c>
      <c r="J645" s="6">
        <v>1.63182240213E9</v>
      </c>
    </row>
    <row r="646">
      <c r="A646" s="4" t="s">
        <v>10</v>
      </c>
      <c r="B646" s="5">
        <v>42576.0</v>
      </c>
      <c r="C646" s="6">
        <v>35.4</v>
      </c>
      <c r="D646" s="11">
        <v>-0.36</v>
      </c>
      <c r="E646" s="12">
        <v>-0.01</v>
      </c>
      <c r="F646" s="6">
        <v>35.63</v>
      </c>
      <c r="G646" s="6">
        <v>35.37</v>
      </c>
      <c r="H646" s="6">
        <v>35.64</v>
      </c>
      <c r="I646" s="9">
        <v>4.4174078E7</v>
      </c>
      <c r="J646" s="6">
        <v>1.57500150331E9</v>
      </c>
    </row>
    <row r="647">
      <c r="A647" s="4" t="s">
        <v>10</v>
      </c>
      <c r="B647" s="5">
        <v>42577.0</v>
      </c>
      <c r="C647" s="6">
        <v>35.67</v>
      </c>
      <c r="D647" s="13">
        <f>+0.28</f>
        <v>0.28</v>
      </c>
      <c r="E647" s="14">
        <f>+0.79%</f>
        <v>0.0079</v>
      </c>
      <c r="F647" s="6">
        <v>35.6</v>
      </c>
      <c r="G647" s="6">
        <v>35.54</v>
      </c>
      <c r="H647" s="6">
        <v>35.74</v>
      </c>
      <c r="I647" s="9">
        <v>6.3593832E7</v>
      </c>
      <c r="J647" s="6">
        <v>2.28035832316E9</v>
      </c>
    </row>
    <row r="648">
      <c r="A648" s="4" t="s">
        <v>10</v>
      </c>
      <c r="B648" s="5">
        <v>42578.0</v>
      </c>
      <c r="C648" s="6">
        <v>35.79</v>
      </c>
      <c r="D648" s="13">
        <f>+0.12</f>
        <v>0.12</v>
      </c>
      <c r="E648" s="14">
        <f>+0.33%</f>
        <v>0.0033</v>
      </c>
      <c r="F648" s="6">
        <v>35.73</v>
      </c>
      <c r="G648" s="6">
        <v>35.44</v>
      </c>
      <c r="H648" s="6">
        <v>35.9</v>
      </c>
      <c r="I648" s="9">
        <v>6.7888585E7</v>
      </c>
      <c r="J648" s="6">
        <v>2.44154887876E9</v>
      </c>
    </row>
    <row r="649">
      <c r="A649" s="4" t="s">
        <v>10</v>
      </c>
      <c r="B649" s="5">
        <v>42579.0</v>
      </c>
      <c r="C649" s="6">
        <v>35.8</v>
      </c>
      <c r="D649" s="13">
        <f>+0.01</f>
        <v>0.01</v>
      </c>
      <c r="E649" s="14">
        <f>+0.03%</f>
        <v>0.0003</v>
      </c>
      <c r="F649" s="6">
        <v>35.73</v>
      </c>
      <c r="G649" s="6">
        <v>35.58</v>
      </c>
      <c r="H649" s="6">
        <v>35.8</v>
      </c>
      <c r="I649" s="9">
        <v>4.558999E7</v>
      </c>
      <c r="J649" s="6">
        <v>1.63734385569E9</v>
      </c>
    </row>
    <row r="650">
      <c r="A650" s="4" t="s">
        <v>10</v>
      </c>
      <c r="B650" s="5">
        <v>42580.0</v>
      </c>
      <c r="C650" s="6">
        <v>35.99</v>
      </c>
      <c r="D650" s="13">
        <f>+0.18</f>
        <v>0.18</v>
      </c>
      <c r="E650" s="14">
        <f>+0.51%</f>
        <v>0.0051</v>
      </c>
      <c r="F650" s="6">
        <v>35.81</v>
      </c>
      <c r="G650" s="6">
        <v>35.65</v>
      </c>
      <c r="H650" s="6">
        <v>36.03</v>
      </c>
      <c r="I650" s="9">
        <v>8.5265694E7</v>
      </c>
      <c r="J650" s="6">
        <v>3.08044144341E9</v>
      </c>
    </row>
    <row r="651">
      <c r="A651" s="4" t="s">
        <v>10</v>
      </c>
      <c r="B651" s="5">
        <v>42583.0</v>
      </c>
      <c r="C651" s="6">
        <v>35.92</v>
      </c>
      <c r="D651" s="11">
        <v>-0.06</v>
      </c>
      <c r="E651" s="12">
        <v>-0.0018</v>
      </c>
      <c r="F651" s="6">
        <v>36.08</v>
      </c>
      <c r="G651" s="6">
        <v>35.87</v>
      </c>
      <c r="H651" s="6">
        <v>36.14</v>
      </c>
      <c r="I651" s="9">
        <v>5.7793966E7</v>
      </c>
      <c r="J651" s="6">
        <v>2.09285370559E9</v>
      </c>
    </row>
    <row r="652">
      <c r="A652" s="4" t="s">
        <v>10</v>
      </c>
      <c r="B652" s="5">
        <v>42584.0</v>
      </c>
      <c r="C652" s="6">
        <v>35.66</v>
      </c>
      <c r="D652" s="11">
        <v>-0.26</v>
      </c>
      <c r="E652" s="12">
        <v>-0.0072</v>
      </c>
      <c r="F652" s="6">
        <v>35.86</v>
      </c>
      <c r="G652" s="6">
        <v>35.41</v>
      </c>
      <c r="H652" s="6">
        <v>35.95</v>
      </c>
      <c r="I652" s="9">
        <v>8.1854648E7</v>
      </c>
      <c r="J652" s="6">
        <v>2.93542915243E9</v>
      </c>
    </row>
    <row r="653">
      <c r="A653" s="4" t="s">
        <v>10</v>
      </c>
      <c r="B653" s="5">
        <v>42585.0</v>
      </c>
      <c r="C653" s="6">
        <v>35.78</v>
      </c>
      <c r="D653" s="13">
        <f>+0.12</f>
        <v>0.12</v>
      </c>
      <c r="E653" s="14">
        <f>+0.33%</f>
        <v>0.0033</v>
      </c>
      <c r="F653" s="6">
        <v>35.42</v>
      </c>
      <c r="G653" s="6">
        <v>35.34</v>
      </c>
      <c r="H653" s="6">
        <v>35.8</v>
      </c>
      <c r="I653" s="9">
        <v>4.2844922E7</v>
      </c>
      <c r="J653" s="6">
        <v>1.53564440286E9</v>
      </c>
    </row>
    <row r="654">
      <c r="A654" s="4" t="s">
        <v>10</v>
      </c>
      <c r="B654" s="5">
        <v>42586.0</v>
      </c>
      <c r="C654" s="6">
        <v>35.98</v>
      </c>
      <c r="D654" s="13">
        <f>+0.2</f>
        <v>0.2</v>
      </c>
      <c r="E654" s="14">
        <f>+0.56%</f>
        <v>0.0056</v>
      </c>
      <c r="F654" s="6">
        <v>35.88</v>
      </c>
      <c r="G654" s="6">
        <v>35.8</v>
      </c>
      <c r="H654" s="6">
        <v>36.13</v>
      </c>
      <c r="I654" s="9">
        <v>7.0532503E7</v>
      </c>
      <c r="J654" s="6">
        <v>2.55266563341E9</v>
      </c>
    </row>
    <row r="655">
      <c r="A655" s="4" t="s">
        <v>10</v>
      </c>
      <c r="B655" s="5">
        <v>42587.0</v>
      </c>
      <c r="C655" s="6">
        <v>36.4</v>
      </c>
      <c r="D655" s="13">
        <f>+0.42</f>
        <v>0.42</v>
      </c>
      <c r="E655" s="14">
        <f>+1.16%</f>
        <v>0.0116</v>
      </c>
      <c r="F655" s="6">
        <v>36.24</v>
      </c>
      <c r="G655" s="6">
        <v>36.14</v>
      </c>
      <c r="H655" s="6">
        <v>36.44</v>
      </c>
      <c r="I655" s="9">
        <v>5.5759984E7</v>
      </c>
      <c r="J655" s="6">
        <v>2.036767041E9</v>
      </c>
    </row>
    <row r="656">
      <c r="A656" s="4" t="s">
        <v>10</v>
      </c>
      <c r="B656" s="5">
        <v>42590.0</v>
      </c>
      <c r="C656" s="6">
        <v>36.66</v>
      </c>
      <c r="D656" s="13">
        <f>+0.26</f>
        <v>0.26</v>
      </c>
      <c r="E656" s="14">
        <f>+0.71%</f>
        <v>0.0071</v>
      </c>
      <c r="F656" s="6">
        <v>36.64</v>
      </c>
      <c r="G656" s="6">
        <v>36.6</v>
      </c>
      <c r="H656" s="6">
        <v>36.74</v>
      </c>
      <c r="I656" s="9">
        <v>4.3636843E7</v>
      </c>
      <c r="J656" s="6">
        <v>1.60951977707E9</v>
      </c>
    </row>
    <row r="657">
      <c r="A657" s="4" t="s">
        <v>10</v>
      </c>
      <c r="B657" s="5">
        <v>42591.0</v>
      </c>
      <c r="C657" s="6">
        <v>36.91</v>
      </c>
      <c r="D657" s="13">
        <f>+0.25</f>
        <v>0.25</v>
      </c>
      <c r="E657" s="14">
        <f>+0.68%</f>
        <v>0.0068</v>
      </c>
      <c r="F657" s="6">
        <v>36.8</v>
      </c>
      <c r="G657" s="6">
        <v>36.79</v>
      </c>
      <c r="H657" s="6">
        <v>37.06</v>
      </c>
      <c r="I657" s="9">
        <v>6.5823636E7</v>
      </c>
      <c r="J657" s="6">
        <v>2.44649930685E9</v>
      </c>
    </row>
    <row r="658">
      <c r="A658" s="4" t="s">
        <v>10</v>
      </c>
      <c r="B658" s="5">
        <v>42592.0</v>
      </c>
      <c r="C658" s="6">
        <v>36.92</v>
      </c>
      <c r="D658" s="13">
        <f>+0.01</f>
        <v>0.01</v>
      </c>
      <c r="E658" s="14">
        <f>+0.03%</f>
        <v>0.0003</v>
      </c>
      <c r="F658" s="6">
        <v>37.1</v>
      </c>
      <c r="G658" s="6">
        <v>36.81</v>
      </c>
      <c r="H658" s="6">
        <v>37.12</v>
      </c>
      <c r="I658" s="9">
        <v>5.911174E7</v>
      </c>
      <c r="J658" s="6">
        <v>2.19764965393E9</v>
      </c>
    </row>
    <row r="659">
      <c r="A659" s="4" t="s">
        <v>10</v>
      </c>
      <c r="B659" s="5">
        <v>42593.0</v>
      </c>
      <c r="C659" s="6">
        <v>37.39</v>
      </c>
      <c r="D659" s="13">
        <f>+0.48</f>
        <v>0.48</v>
      </c>
      <c r="E659" s="14">
        <f>+1.29%</f>
        <v>0.0129</v>
      </c>
      <c r="F659" s="6">
        <v>37.07</v>
      </c>
      <c r="G659" s="6">
        <v>37.02</v>
      </c>
      <c r="H659" s="6">
        <v>37.41</v>
      </c>
      <c r="I659" s="9">
        <v>8.2544259E7</v>
      </c>
      <c r="J659" s="6">
        <v>3.09495155424E9</v>
      </c>
    </row>
    <row r="660">
      <c r="A660" s="4" t="s">
        <v>10</v>
      </c>
      <c r="B660" s="5">
        <v>42594.0</v>
      </c>
      <c r="C660" s="6">
        <v>37.26</v>
      </c>
      <c r="D660" s="11">
        <v>-0.14</v>
      </c>
      <c r="E660" s="12">
        <v>-0.0037</v>
      </c>
      <c r="F660" s="6">
        <v>37.28</v>
      </c>
      <c r="G660" s="6">
        <v>37.11</v>
      </c>
      <c r="H660" s="6">
        <v>37.37</v>
      </c>
      <c r="I660" s="9">
        <v>5.4790365E7</v>
      </c>
      <c r="J660" s="6">
        <v>2.05366016723E9</v>
      </c>
    </row>
    <row r="661">
      <c r="A661" s="4" t="s">
        <v>10</v>
      </c>
      <c r="B661" s="5">
        <v>42597.0</v>
      </c>
      <c r="C661" s="6">
        <v>37.64</v>
      </c>
      <c r="D661" s="13">
        <f>+0.39</f>
        <v>0.39</v>
      </c>
      <c r="E661" s="14">
        <f>+1.04%</f>
        <v>0.0104</v>
      </c>
      <c r="F661" s="6">
        <v>37.53</v>
      </c>
      <c r="G661" s="6">
        <v>37.52</v>
      </c>
      <c r="H661" s="6">
        <v>37.75</v>
      </c>
      <c r="I661" s="9">
        <v>5.5160066E7</v>
      </c>
      <c r="J661" s="6">
        <v>2.08935522385E9</v>
      </c>
    </row>
    <row r="662">
      <c r="A662" s="4" t="s">
        <v>10</v>
      </c>
      <c r="B662" s="5">
        <v>42598.0</v>
      </c>
      <c r="C662" s="6">
        <v>37.47</v>
      </c>
      <c r="D662" s="11">
        <v>-0.17</v>
      </c>
      <c r="E662" s="12">
        <v>-0.0045</v>
      </c>
      <c r="F662" s="6">
        <v>37.56</v>
      </c>
      <c r="G662" s="6">
        <v>37.34</v>
      </c>
      <c r="H662" s="6">
        <v>37.56</v>
      </c>
      <c r="I662" s="9">
        <v>6.208401E7</v>
      </c>
      <c r="J662" s="6">
        <v>2.33942722009E9</v>
      </c>
    </row>
    <row r="663">
      <c r="A663" s="4" t="s">
        <v>10</v>
      </c>
      <c r="B663" s="5">
        <v>42599.0</v>
      </c>
      <c r="C663" s="6">
        <v>37.24</v>
      </c>
      <c r="D663" s="11">
        <v>-0.24</v>
      </c>
      <c r="E663" s="12">
        <v>-0.0064</v>
      </c>
      <c r="F663" s="6">
        <v>37.19</v>
      </c>
      <c r="G663" s="6">
        <v>36.87</v>
      </c>
      <c r="H663" s="6">
        <v>37.33</v>
      </c>
      <c r="I663" s="9">
        <v>1.06432518E8</v>
      </c>
      <c r="J663" s="6">
        <v>3.97190689278E9</v>
      </c>
    </row>
    <row r="664">
      <c r="A664" s="4" t="s">
        <v>10</v>
      </c>
      <c r="B664" s="5">
        <v>42600.0</v>
      </c>
      <c r="C664" s="6">
        <v>37.58</v>
      </c>
      <c r="D664" s="13">
        <f>+0.35</f>
        <v>0.35</v>
      </c>
      <c r="E664" s="14">
        <f>+0.93%</f>
        <v>0.0093</v>
      </c>
      <c r="F664" s="6">
        <v>37.47</v>
      </c>
      <c r="G664" s="6">
        <v>37.37</v>
      </c>
      <c r="H664" s="6">
        <v>37.6</v>
      </c>
      <c r="I664" s="9">
        <v>6.3045704E7</v>
      </c>
      <c r="J664" s="6">
        <v>2.37863514245E9</v>
      </c>
    </row>
    <row r="665">
      <c r="A665" s="4" t="s">
        <v>10</v>
      </c>
      <c r="B665" s="5">
        <v>42601.0</v>
      </c>
      <c r="C665" s="6">
        <v>37.37</v>
      </c>
      <c r="D665" s="11">
        <v>-0.21</v>
      </c>
      <c r="E665" s="12">
        <v>-0.0056</v>
      </c>
      <c r="F665" s="6">
        <v>37.18</v>
      </c>
      <c r="G665" s="6">
        <v>37.02</v>
      </c>
      <c r="H665" s="6">
        <v>37.4</v>
      </c>
      <c r="I665" s="9">
        <v>6.3995699E7</v>
      </c>
      <c r="J665" s="6">
        <v>2.39938653672E9</v>
      </c>
    </row>
    <row r="666">
      <c r="A666" s="4" t="s">
        <v>10</v>
      </c>
      <c r="B666" s="5">
        <v>42604.0</v>
      </c>
      <c r="C666" s="6">
        <v>36.88</v>
      </c>
      <c r="D666" s="11">
        <v>-0.5</v>
      </c>
      <c r="E666" s="12">
        <v>-0.0133</v>
      </c>
      <c r="F666" s="6">
        <v>37.03</v>
      </c>
      <c r="G666" s="6">
        <v>36.77</v>
      </c>
      <c r="H666" s="6">
        <v>37.03</v>
      </c>
      <c r="I666" s="9">
        <v>6.2902102E7</v>
      </c>
      <c r="J666" s="6">
        <v>2.33451722517E9</v>
      </c>
    </row>
    <row r="667">
      <c r="A667" s="4" t="s">
        <v>10</v>
      </c>
      <c r="B667" s="5">
        <v>42605.0</v>
      </c>
      <c r="C667" s="6">
        <v>36.73</v>
      </c>
      <c r="D667" s="11">
        <v>-0.15</v>
      </c>
      <c r="E667" s="12">
        <v>-0.004</v>
      </c>
      <c r="F667" s="6">
        <v>37.2</v>
      </c>
      <c r="G667" s="6">
        <v>36.7</v>
      </c>
      <c r="H667" s="6">
        <v>37.28</v>
      </c>
      <c r="I667" s="9">
        <v>7.2474983E7</v>
      </c>
      <c r="J667" s="6">
        <v>2.69466689345E9</v>
      </c>
    </row>
    <row r="668">
      <c r="A668" s="4" t="s">
        <v>10</v>
      </c>
      <c r="B668" s="5">
        <v>42606.0</v>
      </c>
      <c r="C668" s="6">
        <v>36.83</v>
      </c>
      <c r="D668" s="13">
        <f>+0.1</f>
        <v>0.1</v>
      </c>
      <c r="E668" s="14">
        <f>+0.27%</f>
        <v>0.0027</v>
      </c>
      <c r="F668" s="6">
        <v>36.67</v>
      </c>
      <c r="G668" s="6">
        <v>36.6</v>
      </c>
      <c r="H668" s="6">
        <v>36.88</v>
      </c>
      <c r="I668" s="9">
        <v>7.5080703E7</v>
      </c>
      <c r="J668" s="6">
        <v>2.77713455408E9</v>
      </c>
    </row>
    <row r="669">
      <c r="A669" s="4" t="s">
        <v>10</v>
      </c>
      <c r="B669" s="5">
        <v>42607.0</v>
      </c>
      <c r="C669" s="6">
        <v>36.86</v>
      </c>
      <c r="D669" s="13">
        <f>+0.03</f>
        <v>0.03</v>
      </c>
      <c r="E669" s="14">
        <f>+0.08%</f>
        <v>0.0008</v>
      </c>
      <c r="F669" s="6">
        <v>36.69</v>
      </c>
      <c r="G669" s="6">
        <v>36.69</v>
      </c>
      <c r="H669" s="6">
        <v>36.88</v>
      </c>
      <c r="I669" s="9">
        <v>5.6434333E7</v>
      </c>
      <c r="J669" s="6">
        <v>2.08926117803E9</v>
      </c>
    </row>
    <row r="670">
      <c r="A670" s="4" t="s">
        <v>10</v>
      </c>
      <c r="B670" s="5">
        <v>42608.0</v>
      </c>
      <c r="C670" s="6">
        <v>36.54</v>
      </c>
      <c r="D670" s="11">
        <v>-0.32</v>
      </c>
      <c r="E670" s="12">
        <v>-0.0086</v>
      </c>
      <c r="F670" s="6">
        <v>36.94</v>
      </c>
      <c r="G670" s="6">
        <v>36.25</v>
      </c>
      <c r="H670" s="6">
        <v>37.32</v>
      </c>
      <c r="I670" s="9">
        <v>1.78796178E8</v>
      </c>
      <c r="J670" s="6">
        <v>6.61693805609E9</v>
      </c>
    </row>
    <row r="671">
      <c r="A671" s="4" t="s">
        <v>10</v>
      </c>
      <c r="B671" s="5">
        <v>42611.0</v>
      </c>
      <c r="C671" s="6">
        <v>36.82</v>
      </c>
      <c r="D671" s="13">
        <f>+0.28</f>
        <v>0.28</v>
      </c>
      <c r="E671" s="14">
        <f>+0.76%</f>
        <v>0.0076</v>
      </c>
      <c r="F671" s="6">
        <v>36.54</v>
      </c>
      <c r="G671" s="6">
        <v>36.52</v>
      </c>
      <c r="H671" s="6">
        <v>36.87</v>
      </c>
      <c r="I671" s="9">
        <v>4.9578796E7</v>
      </c>
      <c r="J671" s="6">
        <v>1.83122328256E9</v>
      </c>
    </row>
    <row r="672">
      <c r="A672" s="4" t="s">
        <v>10</v>
      </c>
      <c r="B672" s="5">
        <v>42612.0</v>
      </c>
      <c r="C672" s="6">
        <v>36.72</v>
      </c>
      <c r="D672" s="11">
        <v>-0.1</v>
      </c>
      <c r="E672" s="12">
        <v>-0.0027</v>
      </c>
      <c r="F672" s="6">
        <v>36.87</v>
      </c>
      <c r="G672" s="6">
        <v>36.66</v>
      </c>
      <c r="H672" s="6">
        <v>37.0</v>
      </c>
      <c r="I672" s="9">
        <v>4.819692E7</v>
      </c>
      <c r="J672" s="6">
        <v>1.7841602199E9</v>
      </c>
    </row>
    <row r="673">
      <c r="A673" s="4" t="s">
        <v>10</v>
      </c>
      <c r="B673" s="5">
        <v>42613.0</v>
      </c>
      <c r="C673" s="6">
        <v>36.31</v>
      </c>
      <c r="D673" s="11">
        <v>-0.41</v>
      </c>
      <c r="E673" s="12">
        <v>-0.0111</v>
      </c>
      <c r="F673" s="6">
        <v>36.53</v>
      </c>
      <c r="G673" s="6">
        <v>36.2</v>
      </c>
      <c r="H673" s="6">
        <v>36.57</v>
      </c>
      <c r="I673" s="9">
        <v>9.8943192E7</v>
      </c>
      <c r="J673" s="6">
        <v>3.62000611113E9</v>
      </c>
    </row>
    <row r="674">
      <c r="A674" s="4" t="s">
        <v>10</v>
      </c>
      <c r="B674" s="5">
        <v>42614.0</v>
      </c>
      <c r="C674" s="6">
        <v>36.59</v>
      </c>
      <c r="D674" s="13">
        <f>+0.28</f>
        <v>0.28</v>
      </c>
      <c r="E674" s="14">
        <f>+0.77%</f>
        <v>0.0077</v>
      </c>
      <c r="F674" s="6">
        <v>36.35</v>
      </c>
      <c r="G674" s="6">
        <v>36.26</v>
      </c>
      <c r="H674" s="6">
        <v>36.59</v>
      </c>
      <c r="I674" s="9">
        <v>6.7120386E7</v>
      </c>
      <c r="J674" s="6">
        <v>2.45986317607E9</v>
      </c>
    </row>
    <row r="675">
      <c r="A675" s="4" t="s">
        <v>10</v>
      </c>
      <c r="B675" s="5">
        <v>42615.0</v>
      </c>
      <c r="C675" s="6">
        <v>37.19</v>
      </c>
      <c r="D675" s="13">
        <f>+0.6</f>
        <v>0.6</v>
      </c>
      <c r="E675" s="14">
        <f>+1.63%</f>
        <v>0.0163</v>
      </c>
      <c r="F675" s="6">
        <v>37.09</v>
      </c>
      <c r="G675" s="6">
        <v>36.93</v>
      </c>
      <c r="H675" s="6">
        <v>37.21</v>
      </c>
      <c r="I675" s="9">
        <v>8.8393032E7</v>
      </c>
      <c r="J675" s="6">
        <v>3.29905572686E9</v>
      </c>
    </row>
    <row r="676">
      <c r="A676" s="4" t="s">
        <v>10</v>
      </c>
      <c r="B676" s="5">
        <v>42619.0</v>
      </c>
      <c r="C676" s="6">
        <v>37.98</v>
      </c>
      <c r="D676" s="13">
        <f>+0.8</f>
        <v>0.8</v>
      </c>
      <c r="E676" s="14">
        <f>+2.14%</f>
        <v>0.0214</v>
      </c>
      <c r="F676" s="6">
        <v>37.68</v>
      </c>
      <c r="G676" s="6">
        <v>37.6</v>
      </c>
      <c r="H676" s="6">
        <v>38.01</v>
      </c>
      <c r="I676" s="9">
        <v>1.0857383E8</v>
      </c>
      <c r="J676" s="6">
        <v>4.13064380277E9</v>
      </c>
    </row>
    <row r="677">
      <c r="A677" s="4" t="s">
        <v>10</v>
      </c>
      <c r="B677" s="5">
        <v>42620.0</v>
      </c>
      <c r="C677" s="6">
        <v>37.86</v>
      </c>
      <c r="D677" s="11">
        <v>-0.12</v>
      </c>
      <c r="E677" s="12">
        <v>-0.0031</v>
      </c>
      <c r="F677" s="6">
        <v>37.99</v>
      </c>
      <c r="G677" s="6">
        <v>37.78</v>
      </c>
      <c r="H677" s="6">
        <v>38.01</v>
      </c>
      <c r="I677" s="9">
        <v>5.8618803E7</v>
      </c>
      <c r="J677" s="6">
        <v>2.23362965026E9</v>
      </c>
    </row>
    <row r="678">
      <c r="A678" s="4" t="s">
        <v>10</v>
      </c>
      <c r="B678" s="5">
        <v>42621.0</v>
      </c>
      <c r="C678" s="6">
        <v>37.76</v>
      </c>
      <c r="D678" s="11">
        <v>-0.1</v>
      </c>
      <c r="E678" s="12">
        <v>-0.0026</v>
      </c>
      <c r="F678" s="6">
        <v>37.87</v>
      </c>
      <c r="G678" s="6">
        <v>37.67</v>
      </c>
      <c r="H678" s="6">
        <v>37.98</v>
      </c>
      <c r="I678" s="9">
        <v>7.3367303E7</v>
      </c>
      <c r="J678" s="6">
        <v>2.7907808796E9</v>
      </c>
    </row>
    <row r="679">
      <c r="A679" s="4" t="s">
        <v>10</v>
      </c>
      <c r="B679" s="5">
        <v>42622.0</v>
      </c>
      <c r="C679" s="6">
        <v>36.49</v>
      </c>
      <c r="D679" s="11">
        <v>-1.27</v>
      </c>
      <c r="E679" s="12">
        <v>-0.0337</v>
      </c>
      <c r="F679" s="6">
        <v>37.18</v>
      </c>
      <c r="G679" s="6">
        <v>36.47</v>
      </c>
      <c r="H679" s="6">
        <v>37.19</v>
      </c>
      <c r="I679" s="9">
        <v>1.24082606E8</v>
      </c>
      <c r="J679" s="6">
        <v>4.58947335463E9</v>
      </c>
    </row>
    <row r="680">
      <c r="A680" s="4" t="s">
        <v>10</v>
      </c>
      <c r="B680" s="5">
        <v>42625.0</v>
      </c>
      <c r="C680" s="6">
        <v>36.74</v>
      </c>
      <c r="D680" s="13">
        <f>+0.25</f>
        <v>0.25</v>
      </c>
      <c r="E680" s="14">
        <f>+0.68%</f>
        <v>0.0068</v>
      </c>
      <c r="F680" s="6">
        <v>35.99</v>
      </c>
      <c r="G680" s="6">
        <v>35.92</v>
      </c>
      <c r="H680" s="6">
        <v>36.88</v>
      </c>
      <c r="I680" s="9">
        <v>1.19811628E8</v>
      </c>
      <c r="J680" s="6">
        <v>4.39763165095E9</v>
      </c>
    </row>
    <row r="681">
      <c r="A681" s="4" t="s">
        <v>10</v>
      </c>
      <c r="B681" s="5">
        <v>42626.0</v>
      </c>
      <c r="C681" s="6">
        <v>35.81</v>
      </c>
      <c r="D681" s="11">
        <v>-0.92</v>
      </c>
      <c r="E681" s="12">
        <v>-0.0252</v>
      </c>
      <c r="F681" s="6">
        <v>36.19</v>
      </c>
      <c r="G681" s="6">
        <v>35.64</v>
      </c>
      <c r="H681" s="6">
        <v>36.33</v>
      </c>
      <c r="I681" s="9">
        <v>1.60782496E8</v>
      </c>
      <c r="J681" s="6">
        <v>5.80782493924E9</v>
      </c>
    </row>
    <row r="682">
      <c r="A682" s="4" t="s">
        <v>10</v>
      </c>
      <c r="B682" s="5">
        <v>42627.0</v>
      </c>
      <c r="C682" s="6">
        <v>35.92</v>
      </c>
      <c r="D682" s="13">
        <f>+0.11</f>
        <v>0.11</v>
      </c>
      <c r="E682" s="14">
        <f>+0.31%</f>
        <v>0.0031</v>
      </c>
      <c r="F682" s="6">
        <v>35.93</v>
      </c>
      <c r="G682" s="6">
        <v>35.9</v>
      </c>
      <c r="H682" s="6">
        <v>36.32</v>
      </c>
      <c r="I682" s="9">
        <v>9.0163072E7</v>
      </c>
      <c r="J682" s="6">
        <v>3.27241372189E9</v>
      </c>
    </row>
    <row r="683">
      <c r="A683" s="4" t="s">
        <v>10</v>
      </c>
      <c r="B683" s="5">
        <v>42628.0</v>
      </c>
      <c r="C683" s="6">
        <v>36.54</v>
      </c>
      <c r="D683" s="13">
        <f>+0.62</f>
        <v>0.62</v>
      </c>
      <c r="E683" s="14">
        <f>+1.72%</f>
        <v>0.0172</v>
      </c>
      <c r="F683" s="6">
        <v>36.18</v>
      </c>
      <c r="G683" s="6">
        <v>36.02</v>
      </c>
      <c r="H683" s="6">
        <v>36.63</v>
      </c>
      <c r="I683" s="9">
        <v>8.7634818E7</v>
      </c>
      <c r="J683" s="6">
        <v>3.20919850637E9</v>
      </c>
    </row>
    <row r="684">
      <c r="A684" s="4" t="s">
        <v>10</v>
      </c>
      <c r="B684" s="5">
        <v>42629.0</v>
      </c>
      <c r="C684" s="6">
        <v>36.29</v>
      </c>
      <c r="D684" s="11">
        <v>-0.25</v>
      </c>
      <c r="E684" s="12">
        <v>-0.0068</v>
      </c>
      <c r="F684" s="6">
        <v>36.24</v>
      </c>
      <c r="G684" s="6">
        <v>35.96</v>
      </c>
      <c r="H684" s="6">
        <v>36.34</v>
      </c>
      <c r="I684" s="9">
        <v>9.2611953E7</v>
      </c>
      <c r="J684" s="6">
        <v>3.37461155768E9</v>
      </c>
    </row>
    <row r="685">
      <c r="A685" s="4" t="s">
        <v>10</v>
      </c>
      <c r="B685" s="5">
        <v>42632.0</v>
      </c>
      <c r="C685" s="6">
        <v>36.58</v>
      </c>
      <c r="D685" s="13">
        <f>+0.29</f>
        <v>0.29</v>
      </c>
      <c r="E685" s="14">
        <f>+0.79%</f>
        <v>0.0079</v>
      </c>
      <c r="F685" s="6">
        <v>36.75</v>
      </c>
      <c r="G685" s="6">
        <v>36.52</v>
      </c>
      <c r="H685" s="6">
        <v>36.88</v>
      </c>
      <c r="I685" s="9">
        <v>5.5874728E7</v>
      </c>
      <c r="J685" s="6">
        <v>2.0634698411E9</v>
      </c>
    </row>
    <row r="686">
      <c r="A686" s="4" t="s">
        <v>10</v>
      </c>
      <c r="B686" s="5">
        <v>42633.0</v>
      </c>
      <c r="C686" s="6">
        <v>36.6</v>
      </c>
      <c r="D686" s="13">
        <f>+0.02</f>
        <v>0.02</v>
      </c>
      <c r="E686" s="14">
        <f>+0.05%</f>
        <v>0.0005</v>
      </c>
      <c r="F686" s="6">
        <v>36.87</v>
      </c>
      <c r="G686" s="6">
        <v>36.59</v>
      </c>
      <c r="H686" s="6">
        <v>36.87</v>
      </c>
      <c r="I686" s="9">
        <v>4.8531167E7</v>
      </c>
      <c r="J686" s="6">
        <v>1.79107323277E9</v>
      </c>
    </row>
    <row r="687">
      <c r="A687" s="4" t="s">
        <v>10</v>
      </c>
      <c r="B687" s="5">
        <v>42634.0</v>
      </c>
      <c r="C687" s="6">
        <v>37.62</v>
      </c>
      <c r="D687" s="13">
        <f>+1.02</f>
        <v>1.02</v>
      </c>
      <c r="E687" s="14">
        <f>+2.8%</f>
        <v>0.028</v>
      </c>
      <c r="F687" s="6">
        <v>36.96</v>
      </c>
      <c r="G687" s="6">
        <v>36.84</v>
      </c>
      <c r="H687" s="6">
        <v>37.67</v>
      </c>
      <c r="I687" s="9">
        <v>1.23874764E8</v>
      </c>
      <c r="J687" s="6">
        <v>4.64795403476E9</v>
      </c>
    </row>
    <row r="688">
      <c r="A688" s="4" t="s">
        <v>10</v>
      </c>
      <c r="B688" s="5">
        <v>42635.0</v>
      </c>
      <c r="C688" s="6">
        <v>37.89</v>
      </c>
      <c r="D688" s="13">
        <f>+0.27</f>
        <v>0.27</v>
      </c>
      <c r="E688" s="14">
        <f>+0.71%</f>
        <v>0.0071</v>
      </c>
      <c r="F688" s="6">
        <v>37.95</v>
      </c>
      <c r="G688" s="6">
        <v>37.75</v>
      </c>
      <c r="H688" s="6">
        <v>38.09</v>
      </c>
      <c r="I688" s="9">
        <v>7.3865442E7</v>
      </c>
      <c r="J688" s="6">
        <v>2.81760086571E9</v>
      </c>
    </row>
    <row r="689">
      <c r="A689" s="4" t="s">
        <v>10</v>
      </c>
      <c r="B689" s="5">
        <v>42636.0</v>
      </c>
      <c r="C689" s="6">
        <v>37.4</v>
      </c>
      <c r="D689" s="11">
        <v>-0.49</v>
      </c>
      <c r="E689" s="12">
        <v>-0.0129</v>
      </c>
      <c r="F689" s="6">
        <v>37.58</v>
      </c>
      <c r="G689" s="6">
        <v>37.38</v>
      </c>
      <c r="H689" s="6">
        <v>37.68</v>
      </c>
      <c r="I689" s="9">
        <v>5.6201937E7</v>
      </c>
      <c r="J689" s="6">
        <v>2.12154399171E9</v>
      </c>
    </row>
    <row r="690">
      <c r="A690" s="4" t="s">
        <v>10</v>
      </c>
      <c r="B690" s="5">
        <v>42639.0</v>
      </c>
      <c r="C690" s="6">
        <v>36.86</v>
      </c>
      <c r="D690" s="11">
        <v>-0.55</v>
      </c>
      <c r="E690" s="12">
        <v>-0.0146</v>
      </c>
      <c r="F690" s="6">
        <v>37.07</v>
      </c>
      <c r="G690" s="6">
        <v>36.86</v>
      </c>
      <c r="H690" s="6">
        <v>37.16</v>
      </c>
      <c r="I690" s="9">
        <v>4.7253894E7</v>
      </c>
      <c r="J690" s="6">
        <v>1.7585472743E9</v>
      </c>
    </row>
    <row r="691">
      <c r="A691" s="4" t="s">
        <v>10</v>
      </c>
      <c r="B691" s="5">
        <v>42640.0</v>
      </c>
      <c r="C691" s="6">
        <v>37.38</v>
      </c>
      <c r="D691" s="13">
        <f>+0.53</f>
        <v>0.53</v>
      </c>
      <c r="E691" s="14">
        <f>+1.43%</f>
        <v>0.0143</v>
      </c>
      <c r="F691" s="6">
        <v>37.13</v>
      </c>
      <c r="G691" s="6">
        <v>36.97</v>
      </c>
      <c r="H691" s="6">
        <v>37.38</v>
      </c>
      <c r="I691" s="9">
        <v>6.0877315E7</v>
      </c>
      <c r="J691" s="6">
        <v>2.27987754767E9</v>
      </c>
    </row>
    <row r="692">
      <c r="A692" s="4" t="s">
        <v>10</v>
      </c>
      <c r="B692" s="5">
        <v>42641.0</v>
      </c>
      <c r="C692" s="6">
        <v>37.72</v>
      </c>
      <c r="D692" s="13">
        <f>+0.34</f>
        <v>0.34</v>
      </c>
      <c r="E692" s="14">
        <f>+0.9%</f>
        <v>0.009</v>
      </c>
      <c r="F692" s="6">
        <v>37.44</v>
      </c>
      <c r="G692" s="6">
        <v>37.11</v>
      </c>
      <c r="H692" s="6">
        <v>37.75</v>
      </c>
      <c r="I692" s="9">
        <v>8.2411299E7</v>
      </c>
      <c r="J692" s="6">
        <v>3.111202417E9</v>
      </c>
    </row>
    <row r="693">
      <c r="A693" s="4" t="s">
        <v>10</v>
      </c>
      <c r="B693" s="5">
        <v>42642.0</v>
      </c>
      <c r="C693" s="6">
        <v>37.07</v>
      </c>
      <c r="D693" s="11">
        <v>-0.66</v>
      </c>
      <c r="E693" s="12">
        <v>-0.0174</v>
      </c>
      <c r="F693" s="6">
        <v>37.52</v>
      </c>
      <c r="G693" s="6">
        <v>36.96</v>
      </c>
      <c r="H693" s="6">
        <v>37.62</v>
      </c>
      <c r="I693" s="9">
        <v>7.4659146E7</v>
      </c>
      <c r="J693" s="6">
        <v>2.80023036744E9</v>
      </c>
    </row>
    <row r="694">
      <c r="A694" s="4" t="s">
        <v>10</v>
      </c>
      <c r="B694" s="5">
        <v>42643.0</v>
      </c>
      <c r="C694" s="6">
        <v>37.23</v>
      </c>
      <c r="D694" s="13">
        <f>+0.16</f>
        <v>0.16</v>
      </c>
      <c r="E694" s="14">
        <f>+0.43%</f>
        <v>0.0043</v>
      </c>
      <c r="F694" s="6">
        <v>37.23</v>
      </c>
      <c r="G694" s="6">
        <v>37.06</v>
      </c>
      <c r="H694" s="6">
        <v>37.36</v>
      </c>
      <c r="I694" s="9">
        <v>8.5539137E7</v>
      </c>
      <c r="J694" s="6">
        <v>3.20598610025E9</v>
      </c>
    </row>
    <row r="695">
      <c r="A695" s="4" t="s">
        <v>10</v>
      </c>
      <c r="B695" s="5">
        <v>42646.0</v>
      </c>
      <c r="C695" s="6">
        <v>37.48</v>
      </c>
      <c r="D695" s="13">
        <f>+0.26</f>
        <v>0.26</v>
      </c>
      <c r="E695" s="14">
        <f>+0.69%</f>
        <v>0.0069</v>
      </c>
      <c r="F695" s="6">
        <v>37.3</v>
      </c>
      <c r="G695" s="6">
        <v>37.16</v>
      </c>
      <c r="H695" s="6">
        <v>37.55</v>
      </c>
      <c r="I695" s="9">
        <v>7.7690287E7</v>
      </c>
      <c r="J695" s="6">
        <v>2.92046835761E9</v>
      </c>
    </row>
    <row r="696">
      <c r="A696" s="4" t="s">
        <v>10</v>
      </c>
      <c r="B696" s="5">
        <v>42647.0</v>
      </c>
      <c r="C696" s="6">
        <v>37.07</v>
      </c>
      <c r="D696" s="11">
        <v>-0.42</v>
      </c>
      <c r="E696" s="12">
        <v>-0.0111</v>
      </c>
      <c r="F696" s="6">
        <v>37.5</v>
      </c>
      <c r="G696" s="6">
        <v>36.94</v>
      </c>
      <c r="H696" s="6">
        <v>37.59</v>
      </c>
      <c r="I696" s="9">
        <v>9.5339786E7</v>
      </c>
      <c r="J696" s="6">
        <v>3.57206661457E9</v>
      </c>
    </row>
    <row r="697">
      <c r="A697" s="4" t="s">
        <v>10</v>
      </c>
      <c r="B697" s="5">
        <v>42648.0</v>
      </c>
      <c r="C697" s="6">
        <v>37.6</v>
      </c>
      <c r="D697" s="13">
        <f>+0.54</f>
        <v>0.54</v>
      </c>
      <c r="E697" s="14">
        <f>+1.45%</f>
        <v>0.0145</v>
      </c>
      <c r="F697" s="6">
        <v>37.44</v>
      </c>
      <c r="G697" s="6">
        <v>37.32</v>
      </c>
      <c r="H697" s="6">
        <v>37.65</v>
      </c>
      <c r="I697" s="9">
        <v>6.1950139E7</v>
      </c>
      <c r="J697" s="6">
        <v>2.33738580132E9</v>
      </c>
    </row>
    <row r="698">
      <c r="A698" s="4" t="s">
        <v>10</v>
      </c>
      <c r="B698" s="5">
        <v>42649.0</v>
      </c>
      <c r="C698" s="6">
        <v>37.63</v>
      </c>
      <c r="D698" s="13">
        <f>+0.03</f>
        <v>0.03</v>
      </c>
      <c r="E698" s="14">
        <f>+0.08%</f>
        <v>0.0008</v>
      </c>
      <c r="F698" s="6">
        <v>37.4</v>
      </c>
      <c r="G698" s="6">
        <v>37.31</v>
      </c>
      <c r="H698" s="6">
        <v>37.66</v>
      </c>
      <c r="I698" s="9">
        <v>4.5429735E7</v>
      </c>
      <c r="J698" s="6">
        <v>1.71508518784E9</v>
      </c>
    </row>
    <row r="699">
      <c r="A699" s="4" t="s">
        <v>10</v>
      </c>
      <c r="B699" s="5">
        <v>42650.0</v>
      </c>
      <c r="C699" s="6">
        <v>37.46</v>
      </c>
      <c r="D699" s="11">
        <v>-0.17</v>
      </c>
      <c r="E699" s="12">
        <v>-0.0045</v>
      </c>
      <c r="F699" s="6">
        <v>37.68</v>
      </c>
      <c r="G699" s="6">
        <v>37.18</v>
      </c>
      <c r="H699" s="6">
        <v>37.73</v>
      </c>
      <c r="I699" s="9">
        <v>7.779283E7</v>
      </c>
      <c r="J699" s="6">
        <v>2.93206108172E9</v>
      </c>
    </row>
    <row r="700">
      <c r="A700" s="4" t="s">
        <v>10</v>
      </c>
      <c r="B700" s="5">
        <v>42653.0</v>
      </c>
      <c r="C700" s="6">
        <v>37.87</v>
      </c>
      <c r="D700" s="13">
        <f>+0.41</f>
        <v>0.41</v>
      </c>
      <c r="E700" s="14">
        <f>+1.09%</f>
        <v>0.0109</v>
      </c>
      <c r="F700" s="6">
        <v>37.71</v>
      </c>
      <c r="G700" s="6">
        <v>37.65</v>
      </c>
      <c r="H700" s="6">
        <v>37.96</v>
      </c>
      <c r="I700" s="9">
        <v>5.6113651E7</v>
      </c>
      <c r="J700" s="6">
        <v>2.13736616734E9</v>
      </c>
    </row>
    <row r="701">
      <c r="A701" s="4" t="s">
        <v>10</v>
      </c>
      <c r="B701" s="5">
        <v>42654.0</v>
      </c>
      <c r="C701" s="6">
        <v>37.0</v>
      </c>
      <c r="D701" s="11">
        <v>-0.87</v>
      </c>
      <c r="E701" s="12">
        <v>-0.0231</v>
      </c>
      <c r="F701" s="6">
        <v>37.22</v>
      </c>
      <c r="G701" s="6">
        <v>36.81</v>
      </c>
      <c r="H701" s="6">
        <v>37.24</v>
      </c>
      <c r="I701" s="9">
        <v>7.9646905E7</v>
      </c>
      <c r="J701" s="6">
        <v>2.96577324482E9</v>
      </c>
    </row>
    <row r="702">
      <c r="A702" s="4" t="s">
        <v>10</v>
      </c>
      <c r="B702" s="5">
        <v>42655.0</v>
      </c>
      <c r="C702" s="6">
        <v>36.93</v>
      </c>
      <c r="D702" s="11">
        <v>-0.07</v>
      </c>
      <c r="E702" s="12">
        <v>-0.0019</v>
      </c>
      <c r="F702" s="6">
        <v>36.88</v>
      </c>
      <c r="G702" s="6">
        <v>36.76</v>
      </c>
      <c r="H702" s="6">
        <v>37.06</v>
      </c>
      <c r="I702" s="9">
        <v>4.8482939E7</v>
      </c>
      <c r="J702" s="6">
        <v>1.80089519654E9</v>
      </c>
    </row>
    <row r="703">
      <c r="A703" s="4" t="s">
        <v>10</v>
      </c>
      <c r="B703" s="5">
        <v>42656.0</v>
      </c>
      <c r="C703" s="6">
        <v>36.6</v>
      </c>
      <c r="D703" s="11">
        <v>-0.33</v>
      </c>
      <c r="E703" s="12">
        <v>-0.0089</v>
      </c>
      <c r="F703" s="6">
        <v>36.36</v>
      </c>
      <c r="G703" s="6">
        <v>36.16</v>
      </c>
      <c r="H703" s="6">
        <v>36.74</v>
      </c>
      <c r="I703" s="9">
        <v>6.7497271E7</v>
      </c>
      <c r="J703" s="6">
        <v>2.47523246553E9</v>
      </c>
    </row>
    <row r="704">
      <c r="A704" s="4" t="s">
        <v>10</v>
      </c>
      <c r="B704" s="5">
        <v>42657.0</v>
      </c>
      <c r="C704" s="6">
        <v>36.66</v>
      </c>
      <c r="D704" s="13">
        <f>+0.06</f>
        <v>0.06</v>
      </c>
      <c r="E704" s="14">
        <f>+0.16%</f>
        <v>0.0016</v>
      </c>
      <c r="F704" s="6">
        <v>36.91</v>
      </c>
      <c r="G704" s="6">
        <v>36.59</v>
      </c>
      <c r="H704" s="6">
        <v>36.99</v>
      </c>
      <c r="I704" s="9">
        <v>5.4235814E7</v>
      </c>
      <c r="J704" s="6">
        <v>2.00507873486E9</v>
      </c>
    </row>
    <row r="705">
      <c r="A705" s="4" t="s">
        <v>10</v>
      </c>
      <c r="B705" s="5">
        <v>42660.0</v>
      </c>
      <c r="C705" s="6">
        <v>36.62</v>
      </c>
      <c r="D705" s="11">
        <v>-0.04</v>
      </c>
      <c r="E705" s="12">
        <v>-0.0011</v>
      </c>
      <c r="F705" s="6">
        <v>36.61</v>
      </c>
      <c r="G705" s="6">
        <v>36.57</v>
      </c>
      <c r="H705" s="6">
        <v>36.76</v>
      </c>
      <c r="I705" s="9">
        <v>3.7742252E7</v>
      </c>
      <c r="J705" s="6">
        <v>1.39131751731E9</v>
      </c>
    </row>
    <row r="706">
      <c r="A706" s="4" t="s">
        <v>10</v>
      </c>
      <c r="B706" s="5">
        <v>42661.0</v>
      </c>
      <c r="C706" s="6">
        <v>37.27</v>
      </c>
      <c r="D706" s="13">
        <f>+0.65</f>
        <v>0.65</v>
      </c>
      <c r="E706" s="14">
        <f>+1.76%</f>
        <v>0.0176</v>
      </c>
      <c r="F706" s="6">
        <v>37.25</v>
      </c>
      <c r="G706" s="6">
        <v>37.12</v>
      </c>
      <c r="H706" s="6">
        <v>37.33</v>
      </c>
      <c r="I706" s="9">
        <v>5.0174862E7</v>
      </c>
      <c r="J706" s="6">
        <v>1.88017480616E9</v>
      </c>
    </row>
    <row r="707">
      <c r="A707" s="4" t="s">
        <v>10</v>
      </c>
      <c r="B707" s="5">
        <v>42662.0</v>
      </c>
      <c r="C707" s="6">
        <v>37.49</v>
      </c>
      <c r="D707" s="13">
        <f>+0.23</f>
        <v>0.23</v>
      </c>
      <c r="E707" s="14">
        <f>+0.61%</f>
        <v>0.0061</v>
      </c>
      <c r="F707" s="6">
        <v>37.44</v>
      </c>
      <c r="G707" s="6">
        <v>37.3</v>
      </c>
      <c r="H707" s="6">
        <v>37.57</v>
      </c>
      <c r="I707" s="9">
        <v>4.9171177E7</v>
      </c>
      <c r="J707" s="6">
        <v>1.85322986914E9</v>
      </c>
    </row>
    <row r="708">
      <c r="A708" s="4" t="s">
        <v>10</v>
      </c>
      <c r="B708" s="5">
        <v>42663.0</v>
      </c>
      <c r="C708" s="6">
        <v>37.38</v>
      </c>
      <c r="D708" s="11">
        <v>-0.11</v>
      </c>
      <c r="E708" s="12">
        <v>-0.0029</v>
      </c>
      <c r="F708" s="6">
        <v>37.36</v>
      </c>
      <c r="G708" s="6">
        <v>37.25</v>
      </c>
      <c r="H708" s="6">
        <v>37.54</v>
      </c>
      <c r="I708" s="9">
        <v>5.5283923E7</v>
      </c>
      <c r="J708" s="6">
        <v>2.0800561275E9</v>
      </c>
    </row>
    <row r="709">
      <c r="A709" s="4" t="s">
        <v>10</v>
      </c>
      <c r="B709" s="5">
        <v>42664.0</v>
      </c>
      <c r="C709" s="6">
        <v>37.37</v>
      </c>
      <c r="D709" s="11">
        <v>-0.01</v>
      </c>
      <c r="E709" s="12">
        <v>-3.0E-4</v>
      </c>
      <c r="F709" s="6">
        <v>37.17</v>
      </c>
      <c r="G709" s="6">
        <v>37.12</v>
      </c>
      <c r="H709" s="6">
        <v>37.4</v>
      </c>
      <c r="I709" s="9">
        <v>3.3058478E7</v>
      </c>
      <c r="J709" s="6">
        <v>1.24017332536E9</v>
      </c>
    </row>
    <row r="710">
      <c r="A710" s="4" t="s">
        <v>10</v>
      </c>
      <c r="B710" s="5">
        <v>42667.0</v>
      </c>
      <c r="C710" s="6">
        <v>37.53</v>
      </c>
      <c r="D710" s="13">
        <f>+0.16</f>
        <v>0.16</v>
      </c>
      <c r="E710" s="14">
        <f>+0.43%</f>
        <v>0.0043</v>
      </c>
      <c r="F710" s="6">
        <v>37.67</v>
      </c>
      <c r="G710" s="6">
        <v>37.43</v>
      </c>
      <c r="H710" s="6">
        <v>37.7</v>
      </c>
      <c r="I710" s="9">
        <v>2.8142242E7</v>
      </c>
      <c r="J710" s="6">
        <v>1.06287833063E9</v>
      </c>
    </row>
    <row r="711">
      <c r="A711" s="4" t="s">
        <v>10</v>
      </c>
      <c r="B711" s="5">
        <v>42668.0</v>
      </c>
      <c r="C711" s="6">
        <v>37.57</v>
      </c>
      <c r="D711" s="13">
        <f>+0.04</f>
        <v>0.04</v>
      </c>
      <c r="E711" s="14">
        <f>+0.11%</f>
        <v>0.0011</v>
      </c>
      <c r="F711" s="6">
        <v>37.5</v>
      </c>
      <c r="G711" s="6">
        <v>37.44</v>
      </c>
      <c r="H711" s="6">
        <v>37.64</v>
      </c>
      <c r="I711" s="9">
        <v>3.2233888E7</v>
      </c>
      <c r="J711" s="6">
        <v>1.21770680749E9</v>
      </c>
    </row>
    <row r="712">
      <c r="A712" s="4" t="s">
        <v>10</v>
      </c>
      <c r="B712" s="5">
        <v>42669.0</v>
      </c>
      <c r="C712" s="6">
        <v>37.18</v>
      </c>
      <c r="D712" s="11">
        <v>-0.4</v>
      </c>
      <c r="E712" s="12">
        <v>-0.0106</v>
      </c>
      <c r="F712" s="6">
        <v>37.16</v>
      </c>
      <c r="G712" s="6">
        <v>37.06</v>
      </c>
      <c r="H712" s="6">
        <v>37.35</v>
      </c>
      <c r="I712" s="9">
        <v>5.0715461E7</v>
      </c>
      <c r="J712" s="6">
        <v>1.89645070246E9</v>
      </c>
    </row>
    <row r="713">
      <c r="A713" s="4" t="s">
        <v>10</v>
      </c>
      <c r="B713" s="5">
        <v>42670.0</v>
      </c>
      <c r="C713" s="6">
        <v>36.86</v>
      </c>
      <c r="D713" s="11">
        <v>-0.32</v>
      </c>
      <c r="E713" s="12">
        <v>-0.0086</v>
      </c>
      <c r="F713" s="6">
        <v>37.21</v>
      </c>
      <c r="G713" s="6">
        <v>36.83</v>
      </c>
      <c r="H713" s="6">
        <v>37.21</v>
      </c>
      <c r="I713" s="9">
        <v>4.7286973E7</v>
      </c>
      <c r="J713" s="6">
        <v>1.75841258045E9</v>
      </c>
    </row>
    <row r="714">
      <c r="A714" s="4" t="s">
        <v>10</v>
      </c>
      <c r="B714" s="5">
        <v>42671.0</v>
      </c>
      <c r="C714" s="6">
        <v>36.71</v>
      </c>
      <c r="D714" s="11">
        <v>-0.15</v>
      </c>
      <c r="E714" s="12">
        <v>-0.004</v>
      </c>
      <c r="F714" s="6">
        <v>36.9</v>
      </c>
      <c r="G714" s="6">
        <v>36.53</v>
      </c>
      <c r="H714" s="6">
        <v>37.06</v>
      </c>
      <c r="I714" s="9">
        <v>6.9558057E7</v>
      </c>
      <c r="J714" s="6">
        <v>2.57420970064E9</v>
      </c>
    </row>
    <row r="715">
      <c r="A715" s="4" t="s">
        <v>10</v>
      </c>
      <c r="B715" s="5">
        <v>42674.0</v>
      </c>
      <c r="C715" s="6">
        <v>36.92</v>
      </c>
      <c r="D715" s="13">
        <f>+0.21</f>
        <v>0.21</v>
      </c>
      <c r="E715" s="14">
        <f>+0.57%</f>
        <v>0.0057</v>
      </c>
      <c r="F715" s="6">
        <v>36.88</v>
      </c>
      <c r="G715" s="6">
        <v>36.82</v>
      </c>
      <c r="H715" s="6">
        <v>37.04</v>
      </c>
      <c r="I715" s="9">
        <v>6.0365067E7</v>
      </c>
      <c r="J715" s="6">
        <v>2.242950974E9</v>
      </c>
    </row>
    <row r="716">
      <c r="A716" s="4" t="s">
        <v>10</v>
      </c>
      <c r="B716" s="5">
        <v>42675.0</v>
      </c>
      <c r="C716" s="6">
        <v>36.62</v>
      </c>
      <c r="D716" s="11">
        <v>-0.3</v>
      </c>
      <c r="E716" s="12">
        <v>-0.0081</v>
      </c>
      <c r="F716" s="6">
        <v>37.06</v>
      </c>
      <c r="G716" s="6">
        <v>36.33</v>
      </c>
      <c r="H716" s="6">
        <v>37.07</v>
      </c>
      <c r="I716" s="9">
        <v>9.0113167E7</v>
      </c>
      <c r="J716" s="6">
        <v>3.32271232827E9</v>
      </c>
    </row>
    <row r="717">
      <c r="A717" s="4" t="s">
        <v>10</v>
      </c>
      <c r="B717" s="5">
        <v>42676.0</v>
      </c>
      <c r="C717" s="6">
        <v>36.18</v>
      </c>
      <c r="D717" s="11">
        <v>-0.44</v>
      </c>
      <c r="E717" s="12">
        <v>-0.0119</v>
      </c>
      <c r="F717" s="6">
        <v>36.48</v>
      </c>
      <c r="G717" s="6">
        <v>36.02</v>
      </c>
      <c r="H717" s="6">
        <v>36.58</v>
      </c>
      <c r="I717" s="9">
        <v>8.2319313E7</v>
      </c>
      <c r="J717" s="6">
        <v>3.00421038473E9</v>
      </c>
    </row>
    <row r="718">
      <c r="A718" s="4" t="s">
        <v>10</v>
      </c>
      <c r="B718" s="5">
        <v>42677.0</v>
      </c>
      <c r="C718" s="6">
        <v>36.08</v>
      </c>
      <c r="D718" s="11">
        <v>-0.1</v>
      </c>
      <c r="E718" s="12">
        <v>-0.0027</v>
      </c>
      <c r="F718" s="6">
        <v>36.22</v>
      </c>
      <c r="G718" s="6">
        <v>35.95</v>
      </c>
      <c r="H718" s="6">
        <v>36.33</v>
      </c>
      <c r="I718" s="9">
        <v>6.7403028E7</v>
      </c>
      <c r="J718" s="6">
        <v>2.4505922918E9</v>
      </c>
    </row>
    <row r="719">
      <c r="A719" s="4" t="s">
        <v>10</v>
      </c>
      <c r="B719" s="5">
        <v>42678.0</v>
      </c>
      <c r="C719" s="6">
        <v>35.71</v>
      </c>
      <c r="D719" s="11">
        <v>-0.37</v>
      </c>
      <c r="E719" s="12">
        <v>-0.0102</v>
      </c>
      <c r="F719" s="6">
        <v>35.79</v>
      </c>
      <c r="G719" s="6">
        <v>35.66</v>
      </c>
      <c r="H719" s="6">
        <v>35.96</v>
      </c>
      <c r="I719" s="9">
        <v>7.855889E7</v>
      </c>
      <c r="J719" s="6">
        <v>2.83099748442E9</v>
      </c>
    </row>
    <row r="720">
      <c r="A720" s="4" t="s">
        <v>10</v>
      </c>
      <c r="B720" s="5">
        <v>42681.0</v>
      </c>
      <c r="C720" s="6">
        <v>37.01</v>
      </c>
      <c r="D720" s="13">
        <f>+1.29</f>
        <v>1.29</v>
      </c>
      <c r="E720" s="14">
        <f>+3.62%</f>
        <v>0.0362</v>
      </c>
      <c r="F720" s="6">
        <v>36.58</v>
      </c>
      <c r="G720" s="6">
        <v>36.53</v>
      </c>
      <c r="H720" s="6">
        <v>37.05</v>
      </c>
      <c r="I720" s="9">
        <v>8.5341263E7</v>
      </c>
      <c r="J720" s="6">
        <v>3.16492381853E9</v>
      </c>
    </row>
    <row r="721">
      <c r="A721" s="4" t="s">
        <v>10</v>
      </c>
      <c r="B721" s="5">
        <v>42682.0</v>
      </c>
      <c r="C721" s="6">
        <v>37.25</v>
      </c>
      <c r="D721" s="13">
        <f>+0.24</f>
        <v>0.24</v>
      </c>
      <c r="E721" s="14">
        <f>+0.64%</f>
        <v>0.0064</v>
      </c>
      <c r="F721" s="6">
        <v>36.84</v>
      </c>
      <c r="G721" s="6">
        <v>36.75</v>
      </c>
      <c r="H721" s="6">
        <v>37.44</v>
      </c>
      <c r="I721" s="9">
        <v>8.3963302E7</v>
      </c>
      <c r="J721" s="6">
        <v>3.13702381694E9</v>
      </c>
    </row>
    <row r="722">
      <c r="A722" s="4" t="s">
        <v>10</v>
      </c>
      <c r="B722" s="5">
        <v>42683.0</v>
      </c>
      <c r="C722" s="6">
        <v>36.04</v>
      </c>
      <c r="D722" s="11">
        <v>-1.2</v>
      </c>
      <c r="E722" s="12">
        <v>-0.0323</v>
      </c>
      <c r="F722" s="6">
        <v>36.12</v>
      </c>
      <c r="G722" s="6">
        <v>35.87</v>
      </c>
      <c r="H722" s="6">
        <v>36.47</v>
      </c>
      <c r="I722" s="9">
        <v>1.93443901E8</v>
      </c>
      <c r="J722" s="6">
        <v>7.02772707147E9</v>
      </c>
    </row>
    <row r="723">
      <c r="A723" s="4" t="s">
        <v>10</v>
      </c>
      <c r="B723" s="5">
        <v>42684.0</v>
      </c>
      <c r="C723" s="6">
        <v>35.01</v>
      </c>
      <c r="D723" s="11">
        <v>-1.03</v>
      </c>
      <c r="E723" s="12">
        <v>-0.0287</v>
      </c>
      <c r="F723" s="6">
        <v>35.7</v>
      </c>
      <c r="G723" s="6">
        <v>34.83</v>
      </c>
      <c r="H723" s="6">
        <v>35.83</v>
      </c>
      <c r="I723" s="9">
        <v>2.06490907E8</v>
      </c>
      <c r="J723" s="6">
        <v>7.30563293314E9</v>
      </c>
    </row>
    <row r="724">
      <c r="A724" s="4" t="s">
        <v>10</v>
      </c>
      <c r="B724" s="5">
        <v>42685.0</v>
      </c>
      <c r="C724" s="6">
        <v>34.34</v>
      </c>
      <c r="D724" s="11">
        <v>-0.67</v>
      </c>
      <c r="E724" s="12">
        <v>-0.019</v>
      </c>
      <c r="F724" s="6">
        <v>34.34</v>
      </c>
      <c r="G724" s="6">
        <v>33.92</v>
      </c>
      <c r="H724" s="6">
        <v>34.63</v>
      </c>
      <c r="I724" s="9">
        <v>1.8211472E8</v>
      </c>
      <c r="J724" s="6">
        <v>6.27649797447E9</v>
      </c>
    </row>
    <row r="725">
      <c r="A725" s="4" t="s">
        <v>10</v>
      </c>
      <c r="B725" s="5">
        <v>42688.0</v>
      </c>
      <c r="C725" s="6">
        <v>34.09</v>
      </c>
      <c r="D725" s="11">
        <v>-0.25</v>
      </c>
      <c r="E725" s="12">
        <v>-0.0072</v>
      </c>
      <c r="F725" s="6">
        <v>34.11</v>
      </c>
      <c r="G725" s="6">
        <v>33.83</v>
      </c>
      <c r="H725" s="6">
        <v>34.29</v>
      </c>
      <c r="I725" s="9">
        <v>1.07881574E8</v>
      </c>
      <c r="J725" s="6">
        <v>3.69809234074E9</v>
      </c>
    </row>
    <row r="726">
      <c r="A726" s="4" t="s">
        <v>10</v>
      </c>
      <c r="B726" s="5">
        <v>42689.0</v>
      </c>
      <c r="C726" s="6">
        <v>34.78</v>
      </c>
      <c r="D726" s="13">
        <f>+0.69</f>
        <v>0.69</v>
      </c>
      <c r="E726" s="14">
        <f>+2.01%</f>
        <v>0.0201</v>
      </c>
      <c r="F726" s="6">
        <v>34.36</v>
      </c>
      <c r="G726" s="6">
        <v>34.34</v>
      </c>
      <c r="H726" s="6">
        <v>34.84</v>
      </c>
      <c r="I726" s="9">
        <v>8.9936999E7</v>
      </c>
      <c r="J726" s="6">
        <v>3.13637761656E9</v>
      </c>
    </row>
    <row r="727">
      <c r="A727" s="4" t="s">
        <v>10</v>
      </c>
      <c r="B727" s="5">
        <v>42690.0</v>
      </c>
      <c r="C727" s="6">
        <v>34.49</v>
      </c>
      <c r="D727" s="11">
        <v>-0.29</v>
      </c>
      <c r="E727" s="12">
        <v>-0.0083</v>
      </c>
      <c r="F727" s="6">
        <v>34.37</v>
      </c>
      <c r="G727" s="6">
        <v>34.31</v>
      </c>
      <c r="H727" s="6">
        <v>34.58</v>
      </c>
      <c r="I727" s="9">
        <v>6.5387916E7</v>
      </c>
      <c r="J727" s="6">
        <v>2.26560585058E9</v>
      </c>
    </row>
    <row r="728">
      <c r="A728" s="4" t="s">
        <v>10</v>
      </c>
      <c r="B728" s="5">
        <v>42691.0</v>
      </c>
      <c r="C728" s="6">
        <v>34.54</v>
      </c>
      <c r="D728" s="13">
        <f>+0.05</f>
        <v>0.05</v>
      </c>
      <c r="E728" s="14">
        <f>+0.14%</f>
        <v>0.0014</v>
      </c>
      <c r="F728" s="6">
        <v>34.61</v>
      </c>
      <c r="G728" s="6">
        <v>34.48</v>
      </c>
      <c r="H728" s="6">
        <v>34.81</v>
      </c>
      <c r="I728" s="9">
        <v>8.0829225E7</v>
      </c>
      <c r="J728" s="6">
        <v>2.81804446372E9</v>
      </c>
    </row>
    <row r="729">
      <c r="A729" s="4" t="s">
        <v>10</v>
      </c>
      <c r="B729" s="5">
        <v>42692.0</v>
      </c>
      <c r="C729" s="6">
        <v>34.38</v>
      </c>
      <c r="D729" s="11">
        <v>-0.16</v>
      </c>
      <c r="E729" s="12">
        <v>-0.0046</v>
      </c>
      <c r="F729" s="6">
        <v>34.61</v>
      </c>
      <c r="G729" s="6">
        <v>34.36</v>
      </c>
      <c r="H729" s="6">
        <v>34.68</v>
      </c>
      <c r="I729" s="9">
        <v>5.1490535E7</v>
      </c>
      <c r="J729" s="6">
        <v>1.78539338482E9</v>
      </c>
    </row>
    <row r="730">
      <c r="A730" s="4" t="s">
        <v>10</v>
      </c>
      <c r="B730" s="5">
        <v>42695.0</v>
      </c>
      <c r="C730" s="6">
        <v>34.72</v>
      </c>
      <c r="D730" s="13">
        <f>+0.34</f>
        <v>0.34</v>
      </c>
      <c r="E730" s="14">
        <f>+0.98%</f>
        <v>0.0098</v>
      </c>
      <c r="F730" s="6">
        <v>34.69</v>
      </c>
      <c r="G730" s="6">
        <v>34.62</v>
      </c>
      <c r="H730" s="6">
        <v>34.82</v>
      </c>
      <c r="I730" s="9">
        <v>4.5251832E7</v>
      </c>
      <c r="J730" s="6">
        <v>1.58002573397E9</v>
      </c>
    </row>
    <row r="731">
      <c r="A731" s="4" t="s">
        <v>10</v>
      </c>
      <c r="B731" s="5">
        <v>42696.0</v>
      </c>
      <c r="C731" s="6">
        <v>35.25</v>
      </c>
      <c r="D731" s="13">
        <f>+0.53</f>
        <v>0.53</v>
      </c>
      <c r="E731" s="14">
        <f>+1.52%</f>
        <v>0.0152</v>
      </c>
      <c r="F731" s="6">
        <v>35.23</v>
      </c>
      <c r="G731" s="6">
        <v>34.99</v>
      </c>
      <c r="H731" s="6">
        <v>35.27</v>
      </c>
      <c r="I731" s="9">
        <v>6.150305E7</v>
      </c>
      <c r="J731" s="6">
        <v>2.17600249284E9</v>
      </c>
    </row>
    <row r="732">
      <c r="A732" s="4" t="s">
        <v>10</v>
      </c>
      <c r="B732" s="5">
        <v>42697.0</v>
      </c>
      <c r="C732" s="6">
        <v>34.87</v>
      </c>
      <c r="D732" s="11">
        <v>-0.38</v>
      </c>
      <c r="E732" s="12">
        <v>-0.0107</v>
      </c>
      <c r="F732" s="6">
        <v>34.75</v>
      </c>
      <c r="G732" s="6">
        <v>34.67</v>
      </c>
      <c r="H732" s="6">
        <v>34.92</v>
      </c>
      <c r="I732" s="9">
        <v>4.3495581E7</v>
      </c>
      <c r="J732" s="6">
        <v>1.52376822798E9</v>
      </c>
    </row>
    <row r="733">
      <c r="A733" s="4" t="s">
        <v>10</v>
      </c>
      <c r="B733" s="5">
        <v>42699.0</v>
      </c>
      <c r="C733" s="6">
        <v>35.04</v>
      </c>
      <c r="D733" s="13">
        <f>+0.17</f>
        <v>0.17</v>
      </c>
      <c r="E733" s="14">
        <f>+0.48%</f>
        <v>0.0048</v>
      </c>
      <c r="F733" s="6">
        <v>35.07</v>
      </c>
      <c r="G733" s="6">
        <v>34.99</v>
      </c>
      <c r="H733" s="6">
        <v>35.1</v>
      </c>
      <c r="I733" s="9">
        <v>2.8572724E7</v>
      </c>
      <c r="J733" s="6">
        <v>1.00699321836E9</v>
      </c>
    </row>
    <row r="734">
      <c r="A734" s="4" t="s">
        <v>10</v>
      </c>
      <c r="B734" s="5">
        <v>42702.0</v>
      </c>
      <c r="C734" s="6">
        <v>35.18</v>
      </c>
      <c r="D734" s="13">
        <f>+0.14</f>
        <v>0.14</v>
      </c>
      <c r="E734" s="14">
        <f>+0.4%</f>
        <v>0.004</v>
      </c>
      <c r="F734" s="6">
        <v>35.18</v>
      </c>
      <c r="G734" s="6">
        <v>35.13</v>
      </c>
      <c r="H734" s="6">
        <v>35.32</v>
      </c>
      <c r="I734" s="9">
        <v>5.0952962E7</v>
      </c>
      <c r="J734" s="6">
        <v>1.80462966233E9</v>
      </c>
    </row>
    <row r="735">
      <c r="A735" s="4" t="s">
        <v>10</v>
      </c>
      <c r="B735" s="5">
        <v>42703.0</v>
      </c>
      <c r="C735" s="6">
        <v>35.23</v>
      </c>
      <c r="D735" s="13">
        <f>+0.05</f>
        <v>0.05</v>
      </c>
      <c r="E735" s="14">
        <f>+0.14%</f>
        <v>0.0014</v>
      </c>
      <c r="F735" s="6">
        <v>35.07</v>
      </c>
      <c r="G735" s="6">
        <v>35.03</v>
      </c>
      <c r="H735" s="6">
        <v>35.34</v>
      </c>
      <c r="I735" s="9">
        <v>3.6457747E7</v>
      </c>
      <c r="J735" s="6">
        <v>1.29160863996E9</v>
      </c>
    </row>
    <row r="736">
      <c r="A736" s="4" t="s">
        <v>10</v>
      </c>
      <c r="B736" s="5">
        <v>42704.0</v>
      </c>
      <c r="C736" s="6">
        <v>35.29</v>
      </c>
      <c r="D736" s="13">
        <f>+0.06</f>
        <v>0.06</v>
      </c>
      <c r="E736" s="14">
        <f>+0.17%</f>
        <v>0.0017</v>
      </c>
      <c r="F736" s="6">
        <v>35.39</v>
      </c>
      <c r="G736" s="6">
        <v>35.27</v>
      </c>
      <c r="H736" s="6">
        <v>35.44</v>
      </c>
      <c r="I736" s="9">
        <v>8.6930273E7</v>
      </c>
      <c r="J736" s="6">
        <v>3.09049350196E9</v>
      </c>
    </row>
    <row r="737">
      <c r="A737" s="4" t="s">
        <v>10</v>
      </c>
      <c r="B737" s="5">
        <v>42705.0</v>
      </c>
      <c r="C737" s="6">
        <v>34.87</v>
      </c>
      <c r="D737" s="11">
        <v>-0.42</v>
      </c>
      <c r="E737" s="12">
        <v>-0.0118</v>
      </c>
      <c r="F737" s="6">
        <v>35.19</v>
      </c>
      <c r="G737" s="6">
        <v>34.86</v>
      </c>
      <c r="H737" s="6">
        <v>35.27</v>
      </c>
      <c r="I737" s="9">
        <v>8.0947539E7</v>
      </c>
      <c r="J737" s="6">
        <v>2.85021138198E9</v>
      </c>
    </row>
    <row r="738">
      <c r="A738" s="4" t="s">
        <v>10</v>
      </c>
      <c r="B738" s="5">
        <v>42706.0</v>
      </c>
      <c r="C738" s="6">
        <v>34.91</v>
      </c>
      <c r="D738" s="13">
        <f>+0.04</f>
        <v>0.04</v>
      </c>
      <c r="E738" s="14">
        <f>+0.11%</f>
        <v>0.0011</v>
      </c>
      <c r="F738" s="6">
        <v>34.87</v>
      </c>
      <c r="G738" s="6">
        <v>34.85</v>
      </c>
      <c r="H738" s="6">
        <v>35.08</v>
      </c>
      <c r="I738" s="9">
        <v>5.8727461E7</v>
      </c>
      <c r="J738" s="6">
        <v>2.06503728186E9</v>
      </c>
    </row>
    <row r="739">
      <c r="A739" s="4" t="s">
        <v>10</v>
      </c>
      <c r="B739" s="5">
        <v>42709.0</v>
      </c>
      <c r="C739" s="6">
        <v>35.2</v>
      </c>
      <c r="D739" s="13">
        <f>+0.29</f>
        <v>0.29</v>
      </c>
      <c r="E739" s="14">
        <f>+0.83%</f>
        <v>0.0083</v>
      </c>
      <c r="F739" s="6">
        <v>35.08</v>
      </c>
      <c r="G739" s="6">
        <v>35.06</v>
      </c>
      <c r="H739" s="6">
        <v>35.23</v>
      </c>
      <c r="I739" s="9">
        <v>5.3275059E7</v>
      </c>
      <c r="J739" s="6">
        <v>1.8842268694E9</v>
      </c>
    </row>
    <row r="740">
      <c r="A740" s="4" t="s">
        <v>10</v>
      </c>
      <c r="B740" s="5">
        <v>42710.0</v>
      </c>
      <c r="C740" s="6">
        <v>35.39</v>
      </c>
      <c r="D740" s="13">
        <f>+0.19</f>
        <v>0.19</v>
      </c>
      <c r="E740" s="14">
        <f>+0.54%</f>
        <v>0.0054</v>
      </c>
      <c r="F740" s="6">
        <v>35.31</v>
      </c>
      <c r="G740" s="6">
        <v>35.22</v>
      </c>
      <c r="H740" s="6">
        <v>35.4</v>
      </c>
      <c r="I740" s="9">
        <v>4.8356889E7</v>
      </c>
      <c r="J740" s="6">
        <v>1.71852294648E9</v>
      </c>
    </row>
    <row r="741">
      <c r="A741" s="4" t="s">
        <v>10</v>
      </c>
      <c r="B741" s="5">
        <v>42711.0</v>
      </c>
      <c r="C741" s="6">
        <v>35.98</v>
      </c>
      <c r="D741" s="13">
        <f>+0.6</f>
        <v>0.6</v>
      </c>
      <c r="E741" s="14">
        <f>+1.69%</f>
        <v>0.0169</v>
      </c>
      <c r="F741" s="6">
        <v>35.61</v>
      </c>
      <c r="G741" s="6">
        <v>35.54</v>
      </c>
      <c r="H741" s="6">
        <v>36.03</v>
      </c>
      <c r="I741" s="9">
        <v>6.1773286E7</v>
      </c>
      <c r="J741" s="6">
        <v>2.22542062997E9</v>
      </c>
    </row>
    <row r="742">
      <c r="A742" s="4" t="s">
        <v>10</v>
      </c>
      <c r="B742" s="5">
        <v>42712.0</v>
      </c>
      <c r="C742" s="6">
        <v>36.14</v>
      </c>
      <c r="D742" s="13">
        <f>+0.16</f>
        <v>0.16</v>
      </c>
      <c r="E742" s="14">
        <f>+0.44%</f>
        <v>0.0044</v>
      </c>
      <c r="F742" s="6">
        <v>35.88</v>
      </c>
      <c r="G742" s="6">
        <v>35.86</v>
      </c>
      <c r="H742" s="6">
        <v>36.19</v>
      </c>
      <c r="I742" s="9">
        <v>6.0291791E7</v>
      </c>
      <c r="J742" s="6">
        <v>2.18640166569E9</v>
      </c>
    </row>
    <row r="743">
      <c r="A743" s="4" t="s">
        <v>10</v>
      </c>
      <c r="B743" s="5">
        <v>42713.0</v>
      </c>
      <c r="C743" s="6">
        <v>35.95</v>
      </c>
      <c r="D743" s="11">
        <v>-0.19</v>
      </c>
      <c r="E743" s="12">
        <v>-0.0052</v>
      </c>
      <c r="F743" s="6">
        <v>35.92</v>
      </c>
      <c r="G743" s="6">
        <v>35.85</v>
      </c>
      <c r="H743" s="6">
        <v>36.06</v>
      </c>
      <c r="I743" s="9">
        <v>6.0173351E7</v>
      </c>
      <c r="J743" s="6">
        <v>2.17785220952E9</v>
      </c>
    </row>
    <row r="744">
      <c r="A744" s="4" t="s">
        <v>10</v>
      </c>
      <c r="B744" s="5">
        <v>42716.0</v>
      </c>
      <c r="C744" s="6">
        <v>35.71</v>
      </c>
      <c r="D744" s="11">
        <v>-0.24</v>
      </c>
      <c r="E744" s="12">
        <v>-0.0066</v>
      </c>
      <c r="F744" s="6">
        <v>35.75</v>
      </c>
      <c r="G744" s="6">
        <v>35.62</v>
      </c>
      <c r="H744" s="6">
        <v>35.88</v>
      </c>
      <c r="I744" s="9">
        <v>4.0766342E7</v>
      </c>
      <c r="J744" s="6">
        <v>1.46542347989E9</v>
      </c>
    </row>
    <row r="745">
      <c r="A745" s="4" t="s">
        <v>10</v>
      </c>
      <c r="B745" s="5">
        <v>42717.0</v>
      </c>
      <c r="C745" s="6">
        <v>36.11</v>
      </c>
      <c r="D745" s="13">
        <f>+0.4</f>
        <v>0.4</v>
      </c>
      <c r="E745" s="14">
        <f>+1.11%</f>
        <v>0.0111</v>
      </c>
      <c r="F745" s="6">
        <v>35.92</v>
      </c>
      <c r="G745" s="6">
        <v>35.91</v>
      </c>
      <c r="H745" s="6">
        <v>36.19</v>
      </c>
      <c r="I745" s="9">
        <v>4.8943238E7</v>
      </c>
      <c r="J745" s="6">
        <v>1.77622043972E9</v>
      </c>
    </row>
    <row r="746">
      <c r="A746" s="4" t="s">
        <v>10</v>
      </c>
      <c r="B746" s="5">
        <v>42718.0</v>
      </c>
      <c r="C746" s="6">
        <v>35.04</v>
      </c>
      <c r="D746" s="11">
        <v>-1.07</v>
      </c>
      <c r="E746" s="12">
        <v>-0.0297</v>
      </c>
      <c r="F746" s="6">
        <v>35.82</v>
      </c>
      <c r="G746" s="6">
        <v>35.03</v>
      </c>
      <c r="H746" s="6">
        <v>35.95</v>
      </c>
      <c r="I746" s="9">
        <v>9.5189974E7</v>
      </c>
      <c r="J746" s="6">
        <v>3.39531827353E9</v>
      </c>
    </row>
    <row r="747">
      <c r="A747" s="4" t="s">
        <v>10</v>
      </c>
      <c r="B747" s="5">
        <v>42719.0</v>
      </c>
      <c r="C747" s="6">
        <v>35.1</v>
      </c>
      <c r="D747" s="13">
        <f>+0.06</f>
        <v>0.06</v>
      </c>
      <c r="E747" s="14">
        <f>+0.17%</f>
        <v>0.0017</v>
      </c>
      <c r="F747" s="6">
        <v>35.06</v>
      </c>
      <c r="G747" s="6">
        <v>34.96</v>
      </c>
      <c r="H747" s="6">
        <v>35.24</v>
      </c>
      <c r="I747" s="9">
        <v>6.8897045E7</v>
      </c>
      <c r="J747" s="6">
        <v>2.43244536852E9</v>
      </c>
    </row>
    <row r="748">
      <c r="A748" s="4" t="s">
        <v>10</v>
      </c>
      <c r="B748" s="5">
        <v>42720.0</v>
      </c>
      <c r="C748" s="6">
        <v>34.94</v>
      </c>
      <c r="D748" s="11">
        <v>-0.16</v>
      </c>
      <c r="E748" s="12">
        <v>-0.0045</v>
      </c>
      <c r="F748" s="6">
        <v>35.02</v>
      </c>
      <c r="G748" s="6">
        <v>34.84</v>
      </c>
      <c r="H748" s="6">
        <v>35.13</v>
      </c>
      <c r="I748" s="9">
        <v>7.5471111E7</v>
      </c>
      <c r="J748" s="6">
        <v>2.65412021953E9</v>
      </c>
    </row>
    <row r="749">
      <c r="A749" s="4" t="s">
        <v>10</v>
      </c>
      <c r="B749" s="5">
        <v>42723.0</v>
      </c>
      <c r="C749" s="6">
        <v>34.7</v>
      </c>
      <c r="D749" s="11">
        <v>-0.24</v>
      </c>
      <c r="E749" s="12">
        <v>-0.0068</v>
      </c>
      <c r="F749" s="6">
        <v>34.96</v>
      </c>
      <c r="G749" s="6">
        <v>34.7</v>
      </c>
      <c r="H749" s="6">
        <v>34.97</v>
      </c>
      <c r="I749" s="9">
        <v>4.5241667E7</v>
      </c>
      <c r="J749" s="6">
        <v>1.58573395939E9</v>
      </c>
    </row>
    <row r="750">
      <c r="A750" s="4" t="s">
        <v>10</v>
      </c>
      <c r="B750" s="5">
        <v>42724.0</v>
      </c>
      <c r="C750" s="6">
        <v>34.82</v>
      </c>
      <c r="D750" s="13">
        <f>+0.12</f>
        <v>0.12</v>
      </c>
      <c r="E750" s="14">
        <f>+0.34%</f>
        <v>0.0034</v>
      </c>
      <c r="F750" s="6">
        <v>34.8</v>
      </c>
      <c r="G750" s="6">
        <v>34.73</v>
      </c>
      <c r="H750" s="6">
        <v>34.88</v>
      </c>
      <c r="I750" s="9">
        <v>3.9157788E7</v>
      </c>
      <c r="J750" s="6">
        <v>1.37143324429E9</v>
      </c>
    </row>
    <row r="751">
      <c r="A751" s="4" t="s">
        <v>10</v>
      </c>
      <c r="B751" s="5">
        <v>42725.0</v>
      </c>
      <c r="C751" s="6">
        <v>34.28</v>
      </c>
      <c r="D751" s="11">
        <v>-0.54</v>
      </c>
      <c r="E751" s="12">
        <v>-0.0154</v>
      </c>
      <c r="F751" s="6">
        <v>34.48</v>
      </c>
      <c r="G751" s="6">
        <v>34.25</v>
      </c>
      <c r="H751" s="6">
        <v>34.49</v>
      </c>
      <c r="I751" s="9">
        <v>5.2040637E7</v>
      </c>
      <c r="J751" s="6">
        <v>1.79794383235E9</v>
      </c>
    </row>
    <row r="752">
      <c r="A752" s="4" t="s">
        <v>10</v>
      </c>
      <c r="B752" s="5">
        <v>42726.0</v>
      </c>
      <c r="C752" s="6">
        <v>33.88</v>
      </c>
      <c r="D752" s="11">
        <v>-0.41</v>
      </c>
      <c r="E752" s="12">
        <v>-0.0119</v>
      </c>
      <c r="F752" s="6">
        <v>33.92</v>
      </c>
      <c r="G752" s="6">
        <v>33.74</v>
      </c>
      <c r="H752" s="6">
        <v>33.94</v>
      </c>
      <c r="I752" s="9">
        <v>4.8802817E7</v>
      </c>
      <c r="J752" s="6">
        <v>1.66189292908E9</v>
      </c>
    </row>
    <row r="753">
      <c r="A753" s="4" t="s">
        <v>10</v>
      </c>
      <c r="B753" s="5">
        <v>42727.0</v>
      </c>
      <c r="C753" s="6">
        <v>34.07</v>
      </c>
      <c r="D753" s="13">
        <f>+0.2</f>
        <v>0.2</v>
      </c>
      <c r="E753" s="14">
        <f>+0.59%</f>
        <v>0.0059</v>
      </c>
      <c r="F753" s="6">
        <v>33.91</v>
      </c>
      <c r="G753" s="6">
        <v>33.88</v>
      </c>
      <c r="H753" s="6">
        <v>34.07</v>
      </c>
      <c r="I753" s="9">
        <v>3.206291E7</v>
      </c>
      <c r="J753" s="6">
        <v>1.09706089428E9</v>
      </c>
    </row>
    <row r="754">
      <c r="A754" s="4" t="s">
        <v>10</v>
      </c>
      <c r="B754" s="5">
        <v>42731.0</v>
      </c>
      <c r="C754" s="6">
        <v>34.22</v>
      </c>
      <c r="D754" s="13">
        <f>+0.15</f>
        <v>0.15</v>
      </c>
      <c r="E754" s="14">
        <f>+0.44%</f>
        <v>0.0044</v>
      </c>
      <c r="F754" s="6">
        <v>34.15</v>
      </c>
      <c r="G754" s="6">
        <v>34.14</v>
      </c>
      <c r="H754" s="6">
        <v>34.26</v>
      </c>
      <c r="I754" s="9">
        <v>2.5959884E7</v>
      </c>
      <c r="J754" s="6">
        <v>8.9386743978E8</v>
      </c>
    </row>
    <row r="755">
      <c r="A755" s="4" t="s">
        <v>10</v>
      </c>
      <c r="B755" s="5">
        <v>42732.0</v>
      </c>
      <c r="C755" s="6">
        <v>34.48</v>
      </c>
      <c r="D755" s="13">
        <f>+0.26</f>
        <v>0.26</v>
      </c>
      <c r="E755" s="14">
        <f>+0.76%</f>
        <v>0.0076</v>
      </c>
      <c r="F755" s="6">
        <v>34.51</v>
      </c>
      <c r="G755" s="6">
        <v>34.39</v>
      </c>
      <c r="H755" s="6">
        <v>34.55</v>
      </c>
      <c r="I755" s="9">
        <v>3.3745605E7</v>
      </c>
      <c r="J755" s="6">
        <v>1.1704077589E9</v>
      </c>
    </row>
    <row r="756">
      <c r="A756" s="4" t="s">
        <v>10</v>
      </c>
      <c r="B756" s="5">
        <v>42733.0</v>
      </c>
      <c r="C756" s="6">
        <v>35.05</v>
      </c>
      <c r="D756" s="13">
        <f>+0.57</f>
        <v>0.57</v>
      </c>
      <c r="E756" s="14">
        <f>+1.64%</f>
        <v>0.0164</v>
      </c>
      <c r="F756" s="6">
        <v>34.83</v>
      </c>
      <c r="G756" s="6">
        <v>34.81</v>
      </c>
      <c r="H756" s="6">
        <v>35.09</v>
      </c>
      <c r="I756" s="9">
        <v>4.8465533E7</v>
      </c>
      <c r="J756" s="6">
        <v>1.70607091116E9</v>
      </c>
    </row>
    <row r="757">
      <c r="A757" s="4" t="s">
        <v>10</v>
      </c>
      <c r="B757" s="5">
        <v>42734.0</v>
      </c>
      <c r="C757" s="6">
        <v>34.8</v>
      </c>
      <c r="D757" s="11">
        <v>-0.25</v>
      </c>
      <c r="E757" s="12">
        <v>-0.0071</v>
      </c>
      <c r="F757" s="6">
        <v>35.04</v>
      </c>
      <c r="G757" s="6">
        <v>34.7</v>
      </c>
      <c r="H757" s="6">
        <v>35.06</v>
      </c>
      <c r="I757" s="9">
        <v>6.0515635E7</v>
      </c>
      <c r="J757" s="6">
        <v>2.12118607533E9</v>
      </c>
    </row>
    <row r="758">
      <c r="A758" s="4" t="s">
        <v>10</v>
      </c>
      <c r="B758" s="5">
        <v>42738.0</v>
      </c>
      <c r="C758" s="6">
        <v>35.22</v>
      </c>
      <c r="D758" s="13">
        <f>+0.42</f>
        <v>0.42</v>
      </c>
      <c r="E758" s="14">
        <f>+1.2%</f>
        <v>0.012</v>
      </c>
      <c r="F758" s="6">
        <v>35.18</v>
      </c>
      <c r="G758" s="6">
        <v>35.09</v>
      </c>
      <c r="H758" s="6">
        <v>35.44</v>
      </c>
      <c r="I758" s="9">
        <v>6.4483744E7</v>
      </c>
      <c r="J758" s="6">
        <v>2.28497188991E9</v>
      </c>
    </row>
    <row r="759">
      <c r="A759" s="4" t="s">
        <v>10</v>
      </c>
      <c r="B759" s="5">
        <v>42739.0</v>
      </c>
      <c r="C759" s="6">
        <v>35.49</v>
      </c>
      <c r="D759" s="13">
        <f>+0.27</f>
        <v>0.27</v>
      </c>
      <c r="E759" s="14">
        <f>+0.76%</f>
        <v>0.0076</v>
      </c>
      <c r="F759" s="6">
        <v>35.42</v>
      </c>
      <c r="G759" s="6">
        <v>35.4</v>
      </c>
      <c r="H759" s="6">
        <v>35.56</v>
      </c>
      <c r="I759" s="9">
        <v>8.3072622E7</v>
      </c>
      <c r="J759" s="6">
        <v>2.96451696018E9</v>
      </c>
    </row>
    <row r="760">
      <c r="A760" s="4" t="s">
        <v>10</v>
      </c>
      <c r="B760" s="5">
        <v>42740.0</v>
      </c>
      <c r="C760" s="6">
        <v>35.87</v>
      </c>
      <c r="D760" s="13">
        <f>+0.39</f>
        <v>0.39</v>
      </c>
      <c r="E760" s="14">
        <f>+1.09%</f>
        <v>0.0109</v>
      </c>
      <c r="F760" s="6">
        <v>35.74</v>
      </c>
      <c r="G760" s="6">
        <v>35.72</v>
      </c>
      <c r="H760" s="6">
        <v>35.93</v>
      </c>
      <c r="I760" s="9">
        <v>6.0303238E7</v>
      </c>
      <c r="J760" s="6">
        <v>2.17449170084E9</v>
      </c>
    </row>
    <row r="761">
      <c r="A761" s="4" t="s">
        <v>10</v>
      </c>
      <c r="B761" s="5">
        <v>42741.0</v>
      </c>
      <c r="C761" s="6">
        <v>35.72</v>
      </c>
      <c r="D761" s="11">
        <v>-0.15</v>
      </c>
      <c r="E761" s="12">
        <v>-0.0042</v>
      </c>
      <c r="F761" s="6">
        <v>35.75</v>
      </c>
      <c r="G761" s="6">
        <v>35.63</v>
      </c>
      <c r="H761" s="6">
        <v>35.78</v>
      </c>
      <c r="I761" s="9">
        <v>3.313217E7</v>
      </c>
      <c r="J761" s="6">
        <v>1.19023158472E9</v>
      </c>
    </row>
    <row r="762">
      <c r="A762" s="4" t="s">
        <v>10</v>
      </c>
      <c r="B762" s="5">
        <v>42744.0</v>
      </c>
      <c r="C762" s="6">
        <v>35.69</v>
      </c>
      <c r="D762" s="11">
        <v>-0.03</v>
      </c>
      <c r="E762" s="12">
        <v>-8.0E-4</v>
      </c>
      <c r="F762" s="6">
        <v>35.7</v>
      </c>
      <c r="G762" s="6">
        <v>35.65</v>
      </c>
      <c r="H762" s="6">
        <v>35.78</v>
      </c>
      <c r="I762" s="9">
        <v>3.3950788E7</v>
      </c>
      <c r="J762" s="6">
        <v>1.21950556349E9</v>
      </c>
    </row>
    <row r="763">
      <c r="A763" s="4" t="s">
        <v>10</v>
      </c>
      <c r="B763" s="5">
        <v>42745.0</v>
      </c>
      <c r="C763" s="6">
        <v>35.9</v>
      </c>
      <c r="D763" s="13">
        <f>+0.21</f>
        <v>0.21</v>
      </c>
      <c r="E763" s="14">
        <f>+0.58%</f>
        <v>0.0058</v>
      </c>
      <c r="F763" s="6">
        <v>35.91</v>
      </c>
      <c r="G763" s="6">
        <v>35.88</v>
      </c>
      <c r="H763" s="6">
        <v>36.1</v>
      </c>
      <c r="I763" s="9">
        <v>4.6621738E7</v>
      </c>
      <c r="J763" s="6">
        <v>1.68829890026E9</v>
      </c>
    </row>
    <row r="764">
      <c r="A764" s="4" t="s">
        <v>10</v>
      </c>
      <c r="B764" s="5">
        <v>42746.0</v>
      </c>
      <c r="C764" s="6">
        <v>36.33</v>
      </c>
      <c r="D764" s="13">
        <f>+0.43</f>
        <v>0.43</v>
      </c>
      <c r="E764" s="14">
        <f>+1.19%</f>
        <v>0.0119</v>
      </c>
      <c r="F764" s="6">
        <v>35.97</v>
      </c>
      <c r="G764" s="6">
        <v>35.83</v>
      </c>
      <c r="H764" s="6">
        <v>36.36</v>
      </c>
      <c r="I764" s="9">
        <v>9.2509308E7</v>
      </c>
      <c r="J764" s="6">
        <v>3.36080463456E9</v>
      </c>
    </row>
    <row r="765">
      <c r="A765" s="4" t="s">
        <v>10</v>
      </c>
      <c r="B765" s="5">
        <v>42747.0</v>
      </c>
      <c r="C765" s="6">
        <v>36.49</v>
      </c>
      <c r="D765" s="13">
        <f>+0.16</f>
        <v>0.16</v>
      </c>
      <c r="E765" s="14">
        <f>+0.44%</f>
        <v>0.0044</v>
      </c>
      <c r="F765" s="6">
        <v>36.48</v>
      </c>
      <c r="G765" s="6">
        <v>36.3</v>
      </c>
      <c r="H765" s="6">
        <v>36.49</v>
      </c>
      <c r="I765" s="9">
        <v>3.831813E7</v>
      </c>
      <c r="J765" s="6">
        <v>1.40377956563E9</v>
      </c>
    </row>
    <row r="766">
      <c r="A766" s="4" t="s">
        <v>10</v>
      </c>
      <c r="B766" s="5">
        <v>42748.0</v>
      </c>
      <c r="C766" s="6">
        <v>36.46</v>
      </c>
      <c r="D766" s="11">
        <v>-0.03</v>
      </c>
      <c r="E766" s="12">
        <v>-8.0E-4</v>
      </c>
      <c r="F766" s="6">
        <v>36.35</v>
      </c>
      <c r="G766" s="6">
        <v>36.31</v>
      </c>
      <c r="H766" s="6">
        <v>36.49</v>
      </c>
      <c r="I766" s="9">
        <v>3.5241962E7</v>
      </c>
      <c r="J766" s="6">
        <v>1.29125722206E9</v>
      </c>
    </row>
    <row r="767">
      <c r="A767" s="4" t="s">
        <v>10</v>
      </c>
      <c r="B767" s="5">
        <v>42752.0</v>
      </c>
      <c r="C767" s="6">
        <v>36.44</v>
      </c>
      <c r="D767" s="11">
        <v>-0.02</v>
      </c>
      <c r="E767" s="12">
        <v>-5.0E-4</v>
      </c>
      <c r="F767" s="6">
        <v>36.38</v>
      </c>
      <c r="G767" s="6">
        <v>36.33</v>
      </c>
      <c r="H767" s="6">
        <v>36.5</v>
      </c>
      <c r="I767" s="9">
        <v>3.8367034E7</v>
      </c>
      <c r="J767" s="6">
        <v>1.40590220572E9</v>
      </c>
    </row>
    <row r="768">
      <c r="A768" s="4" t="s">
        <v>10</v>
      </c>
      <c r="B768" s="5">
        <v>42753.0</v>
      </c>
      <c r="C768" s="6">
        <v>36.24</v>
      </c>
      <c r="D768" s="11">
        <v>-0.2</v>
      </c>
      <c r="E768" s="12">
        <v>-0.0055</v>
      </c>
      <c r="F768" s="6">
        <v>36.46</v>
      </c>
      <c r="G768" s="6">
        <v>36.17</v>
      </c>
      <c r="H768" s="6">
        <v>36.47</v>
      </c>
      <c r="I768" s="9">
        <v>3.7054165E7</v>
      </c>
      <c r="J768" s="6">
        <v>1.35369139458E9</v>
      </c>
    </row>
    <row r="769">
      <c r="A769" s="4" t="s">
        <v>10</v>
      </c>
      <c r="B769" s="5">
        <v>42754.0</v>
      </c>
      <c r="C769" s="6">
        <v>36.13</v>
      </c>
      <c r="D769" s="11">
        <v>-0.11</v>
      </c>
      <c r="E769" s="12">
        <v>-0.003</v>
      </c>
      <c r="F769" s="6">
        <v>36.25</v>
      </c>
      <c r="G769" s="6">
        <v>35.98</v>
      </c>
      <c r="H769" s="6">
        <v>36.26</v>
      </c>
      <c r="I769" s="9">
        <v>5.2877043E7</v>
      </c>
      <c r="J769" s="6">
        <v>1.920798135E9</v>
      </c>
    </row>
    <row r="770">
      <c r="A770" s="4" t="s">
        <v>10</v>
      </c>
      <c r="B770" s="5">
        <v>42755.0</v>
      </c>
      <c r="C770" s="6">
        <v>36.2</v>
      </c>
      <c r="D770" s="13">
        <f>+0.07</f>
        <v>0.07</v>
      </c>
      <c r="E770" s="14">
        <f>+0.19%</f>
        <v>0.0019</v>
      </c>
      <c r="F770" s="6">
        <v>36.17</v>
      </c>
      <c r="G770" s="6">
        <v>36.0</v>
      </c>
      <c r="H770" s="6">
        <v>36.25</v>
      </c>
      <c r="I770" s="9">
        <v>5.9295635E7</v>
      </c>
      <c r="J770" s="6">
        <v>2.15609163104E9</v>
      </c>
    </row>
    <row r="771">
      <c r="A771" s="4" t="s">
        <v>10</v>
      </c>
      <c r="B771" s="5">
        <v>42758.0</v>
      </c>
      <c r="C771" s="6">
        <v>36.74</v>
      </c>
      <c r="D771" s="13">
        <f>+0.54</f>
        <v>0.54</v>
      </c>
      <c r="E771" s="14">
        <f>+1.48%</f>
        <v>0.0148</v>
      </c>
      <c r="F771" s="6">
        <v>36.45</v>
      </c>
      <c r="G771" s="6">
        <v>36.43</v>
      </c>
      <c r="H771" s="6">
        <v>36.75</v>
      </c>
      <c r="I771" s="9">
        <v>5.140181E7</v>
      </c>
      <c r="J771" s="6">
        <v>1.89143522449E9</v>
      </c>
    </row>
    <row r="772">
      <c r="A772" s="4" t="s">
        <v>10</v>
      </c>
      <c r="B772" s="5">
        <v>42759.0</v>
      </c>
      <c r="C772" s="6">
        <v>36.97</v>
      </c>
      <c r="D772" s="13">
        <f>+0.23</f>
        <v>0.23</v>
      </c>
      <c r="E772" s="14">
        <f>+0.62%</f>
        <v>0.0062</v>
      </c>
      <c r="F772" s="6">
        <v>36.9</v>
      </c>
      <c r="G772" s="6">
        <v>36.88</v>
      </c>
      <c r="H772" s="6">
        <v>37.11</v>
      </c>
      <c r="I772" s="9">
        <v>4.5519946E7</v>
      </c>
      <c r="J772" s="6">
        <v>1.69462447164E9</v>
      </c>
    </row>
    <row r="773">
      <c r="A773" s="4" t="s">
        <v>10</v>
      </c>
      <c r="B773" s="5">
        <v>42760.0</v>
      </c>
      <c r="C773" s="6">
        <v>37.37</v>
      </c>
      <c r="D773" s="13">
        <f>+0.41</f>
        <v>0.41</v>
      </c>
      <c r="E773" s="14">
        <f>+1.1%</f>
        <v>0.011</v>
      </c>
      <c r="F773" s="6">
        <v>37.22</v>
      </c>
      <c r="G773" s="6">
        <v>37.14</v>
      </c>
      <c r="H773" s="6">
        <v>37.39</v>
      </c>
      <c r="I773" s="9">
        <v>4.2660765E7</v>
      </c>
      <c r="J773" s="6">
        <v>1.59899108833E9</v>
      </c>
    </row>
    <row r="774">
      <c r="A774" s="4" t="s">
        <v>10</v>
      </c>
      <c r="B774" s="5">
        <v>42761.0</v>
      </c>
      <c r="C774" s="6">
        <v>37.22</v>
      </c>
      <c r="D774" s="11">
        <v>-0.16</v>
      </c>
      <c r="E774" s="12">
        <v>-0.0043</v>
      </c>
      <c r="F774" s="6">
        <v>37.36</v>
      </c>
      <c r="G774" s="6">
        <v>37.19</v>
      </c>
      <c r="H774" s="6">
        <v>37.38</v>
      </c>
      <c r="I774" s="9">
        <v>4.3300073E7</v>
      </c>
      <c r="J774" s="6">
        <v>1.62302723166E9</v>
      </c>
    </row>
    <row r="775">
      <c r="A775" s="4" t="s">
        <v>10</v>
      </c>
      <c r="B775" s="5">
        <v>42762.0</v>
      </c>
      <c r="C775" s="6">
        <v>37.25</v>
      </c>
      <c r="D775" s="13">
        <f>+0.03</f>
        <v>0.03</v>
      </c>
      <c r="E775" s="14">
        <f>+0.08%</f>
        <v>0.0008</v>
      </c>
      <c r="F775" s="6">
        <v>37.22</v>
      </c>
      <c r="G775" s="6">
        <v>37.1</v>
      </c>
      <c r="H775" s="6">
        <v>37.3</v>
      </c>
      <c r="I775" s="9">
        <v>3.0457512E7</v>
      </c>
      <c r="J775" s="6">
        <v>1.13967862146E9</v>
      </c>
    </row>
    <row r="776">
      <c r="A776" s="4" t="s">
        <v>10</v>
      </c>
      <c r="B776" s="5">
        <v>42765.0</v>
      </c>
      <c r="C776" s="6">
        <v>37.05</v>
      </c>
      <c r="D776" s="11">
        <v>-0.2</v>
      </c>
      <c r="E776" s="12">
        <v>-0.0053</v>
      </c>
      <c r="F776" s="6">
        <v>36.98</v>
      </c>
      <c r="G776" s="6">
        <v>36.89</v>
      </c>
      <c r="H776" s="6">
        <v>37.06</v>
      </c>
      <c r="I776" s="9">
        <v>3.4712017E7</v>
      </c>
      <c r="J776" s="6">
        <v>1.29116292506E9</v>
      </c>
    </row>
    <row r="777">
      <c r="A777" s="4" t="s">
        <v>10</v>
      </c>
      <c r="B777" s="5">
        <v>42766.0</v>
      </c>
      <c r="C777" s="6">
        <v>37.12</v>
      </c>
      <c r="D777" s="13">
        <f>+0.07</f>
        <v>0.07</v>
      </c>
      <c r="E777" s="14">
        <f>+0.19%</f>
        <v>0.0019</v>
      </c>
      <c r="F777" s="6">
        <v>37.09</v>
      </c>
      <c r="G777" s="6">
        <v>36.98</v>
      </c>
      <c r="H777" s="6">
        <v>37.19</v>
      </c>
      <c r="I777" s="9">
        <v>6.7258608E7</v>
      </c>
      <c r="J777" s="6">
        <v>2.50981519504E9</v>
      </c>
    </row>
    <row r="778">
      <c r="A778" s="4" t="s">
        <v>10</v>
      </c>
      <c r="B778" s="5">
        <v>42767.0</v>
      </c>
      <c r="C778" s="6">
        <v>37.14</v>
      </c>
      <c r="D778" s="13">
        <f>+0.02</f>
        <v>0.02</v>
      </c>
      <c r="E778" s="14">
        <f>+0.05%</f>
        <v>0.0005</v>
      </c>
      <c r="F778" s="6">
        <v>37.27</v>
      </c>
      <c r="G778" s="6">
        <v>37.04</v>
      </c>
      <c r="H778" s="6">
        <v>37.33</v>
      </c>
      <c r="I778" s="9">
        <v>5.432152E7</v>
      </c>
      <c r="J778" s="6">
        <v>2.03190511032E9</v>
      </c>
    </row>
    <row r="779">
      <c r="A779" s="4" t="s">
        <v>10</v>
      </c>
      <c r="B779" s="5">
        <v>42768.0</v>
      </c>
      <c r="C779" s="6">
        <v>37.3</v>
      </c>
      <c r="D779" s="13">
        <f>+0.16</f>
        <v>0.16</v>
      </c>
      <c r="E779" s="14">
        <f>+0.43%</f>
        <v>0.0043</v>
      </c>
      <c r="F779" s="6">
        <v>37.26</v>
      </c>
      <c r="G779" s="6">
        <v>37.2</v>
      </c>
      <c r="H779" s="6">
        <v>37.33</v>
      </c>
      <c r="I779" s="9">
        <v>2.6814047E7</v>
      </c>
      <c r="J779" s="6">
        <v>1.00565146106E9</v>
      </c>
    </row>
    <row r="780">
      <c r="A780" s="4" t="s">
        <v>10</v>
      </c>
      <c r="B780" s="5">
        <v>42769.0</v>
      </c>
      <c r="C780" s="6">
        <v>37.52</v>
      </c>
      <c r="D780" s="13">
        <f>+0.23</f>
        <v>0.23</v>
      </c>
      <c r="E780" s="14">
        <f>+0.61%</f>
        <v>0.0061</v>
      </c>
      <c r="F780" s="6">
        <v>37.46</v>
      </c>
      <c r="G780" s="6">
        <v>37.37</v>
      </c>
      <c r="H780" s="6">
        <v>37.59</v>
      </c>
      <c r="I780" s="9">
        <v>3.4305228E7</v>
      </c>
      <c r="J780" s="6">
        <v>1.29457594622E9</v>
      </c>
    </row>
    <row r="781">
      <c r="A781" s="4" t="s">
        <v>10</v>
      </c>
      <c r="B781" s="5">
        <v>42772.0</v>
      </c>
      <c r="C781" s="6">
        <v>37.43</v>
      </c>
      <c r="D781" s="11">
        <v>-0.09</v>
      </c>
      <c r="E781" s="12">
        <v>-0.0024</v>
      </c>
      <c r="F781" s="6">
        <v>37.48</v>
      </c>
      <c r="G781" s="6">
        <v>37.4</v>
      </c>
      <c r="H781" s="6">
        <v>37.52</v>
      </c>
      <c r="I781" s="9">
        <v>3.0250115E7</v>
      </c>
      <c r="J781" s="6">
        <v>1.14001213259E9</v>
      </c>
    </row>
    <row r="782">
      <c r="A782" s="4" t="s">
        <v>10</v>
      </c>
      <c r="B782" s="5">
        <v>42773.0</v>
      </c>
      <c r="C782" s="6">
        <v>37.25</v>
      </c>
      <c r="D782" s="11">
        <v>-0.19</v>
      </c>
      <c r="E782" s="12">
        <v>-0.005</v>
      </c>
      <c r="F782" s="6">
        <v>37.35</v>
      </c>
      <c r="G782" s="6">
        <v>37.21</v>
      </c>
      <c r="H782" s="6">
        <v>37.39</v>
      </c>
      <c r="I782" s="9">
        <v>3.1693709E7</v>
      </c>
      <c r="J782" s="6">
        <v>1.18862153448E9</v>
      </c>
    </row>
    <row r="783">
      <c r="A783" s="4" t="s">
        <v>10</v>
      </c>
      <c r="B783" s="5">
        <v>42774.0</v>
      </c>
      <c r="C783" s="6">
        <v>37.47</v>
      </c>
      <c r="D783" s="13">
        <f>+0.23</f>
        <v>0.23</v>
      </c>
      <c r="E783" s="14">
        <f>+0.61%</f>
        <v>0.0061</v>
      </c>
      <c r="F783" s="6">
        <v>37.27</v>
      </c>
      <c r="G783" s="6">
        <v>37.26</v>
      </c>
      <c r="H783" s="6">
        <v>37.51</v>
      </c>
      <c r="I783" s="9">
        <v>3.7862935E7</v>
      </c>
      <c r="J783" s="6">
        <v>1.42495666033E9</v>
      </c>
    </row>
    <row r="784">
      <c r="A784" s="4" t="s">
        <v>10</v>
      </c>
      <c r="B784" s="5">
        <v>42775.0</v>
      </c>
      <c r="C784" s="6">
        <v>37.64</v>
      </c>
      <c r="D784" s="13">
        <f>+0.17</f>
        <v>0.17</v>
      </c>
      <c r="E784" s="14">
        <f>+0.45%</f>
        <v>0.0045</v>
      </c>
      <c r="F784" s="6">
        <v>37.63</v>
      </c>
      <c r="G784" s="6">
        <v>37.58</v>
      </c>
      <c r="H784" s="6">
        <v>37.71</v>
      </c>
      <c r="I784" s="9">
        <v>3.8286651E7</v>
      </c>
      <c r="J784" s="6">
        <v>1.45046028083E9</v>
      </c>
    </row>
    <row r="785">
      <c r="A785" s="4" t="s">
        <v>10</v>
      </c>
      <c r="B785" s="5">
        <v>42776.0</v>
      </c>
      <c r="C785" s="6">
        <v>37.99</v>
      </c>
      <c r="D785" s="13">
        <f>+0.35</f>
        <v>0.35</v>
      </c>
      <c r="E785" s="14">
        <f>+0.92%</f>
        <v>0.0092</v>
      </c>
      <c r="F785" s="6">
        <v>37.73</v>
      </c>
      <c r="G785" s="6">
        <v>37.71</v>
      </c>
      <c r="H785" s="6">
        <v>37.99</v>
      </c>
      <c r="I785" s="9">
        <v>3.8798731E7</v>
      </c>
      <c r="J785" s="6">
        <v>1.47920910168E9</v>
      </c>
    </row>
    <row r="786">
      <c r="A786" s="4" t="s">
        <v>10</v>
      </c>
      <c r="B786" s="5">
        <v>42779.0</v>
      </c>
      <c r="C786" s="6">
        <v>38.11</v>
      </c>
      <c r="D786" s="13">
        <f>+0.12</f>
        <v>0.12</v>
      </c>
      <c r="E786" s="14">
        <f>+0.31%</f>
        <v>0.0031</v>
      </c>
      <c r="F786" s="6">
        <v>37.99</v>
      </c>
      <c r="G786" s="6">
        <v>37.98</v>
      </c>
      <c r="H786" s="6">
        <v>38.15</v>
      </c>
      <c r="I786" s="9">
        <v>3.4006963E7</v>
      </c>
      <c r="J786" s="6">
        <v>1.30299759373E9</v>
      </c>
    </row>
    <row r="787">
      <c r="A787" s="4" t="s">
        <v>10</v>
      </c>
      <c r="B787" s="5">
        <v>42780.0</v>
      </c>
      <c r="C787" s="6">
        <v>38.15</v>
      </c>
      <c r="D787" s="13">
        <f>+0.04</f>
        <v>0.04</v>
      </c>
      <c r="E787" s="14">
        <f>+0.1%</f>
        <v>0.001</v>
      </c>
      <c r="F787" s="6">
        <v>38.11</v>
      </c>
      <c r="G787" s="6">
        <v>37.8</v>
      </c>
      <c r="H787" s="6">
        <v>38.15</v>
      </c>
      <c r="I787" s="9">
        <v>5.5327347E7</v>
      </c>
      <c r="J787" s="6">
        <v>2.11513370491E9</v>
      </c>
    </row>
    <row r="788">
      <c r="A788" s="4" t="s">
        <v>10</v>
      </c>
      <c r="B788" s="5">
        <v>42781.0</v>
      </c>
      <c r="C788" s="6">
        <v>38.46</v>
      </c>
      <c r="D788" s="13">
        <f>+0.31</f>
        <v>0.31</v>
      </c>
      <c r="E788" s="14">
        <f>+0.81%</f>
        <v>0.0081</v>
      </c>
      <c r="F788" s="6">
        <v>38.16</v>
      </c>
      <c r="G788" s="6">
        <v>38.12</v>
      </c>
      <c r="H788" s="6">
        <v>38.48</v>
      </c>
      <c r="I788" s="9">
        <v>4.9527259E7</v>
      </c>
      <c r="J788" s="6">
        <v>1.9105912789E9</v>
      </c>
    </row>
    <row r="789">
      <c r="A789" s="4" t="s">
        <v>10</v>
      </c>
      <c r="B789" s="5">
        <v>42782.0</v>
      </c>
      <c r="C789" s="6">
        <v>38.32</v>
      </c>
      <c r="D789" s="11">
        <v>-0.14</v>
      </c>
      <c r="E789" s="12">
        <v>-0.0036</v>
      </c>
      <c r="F789" s="6">
        <v>38.5</v>
      </c>
      <c r="G789" s="6">
        <v>38.29</v>
      </c>
      <c r="H789" s="6">
        <v>38.5</v>
      </c>
      <c r="I789" s="9">
        <v>4.2986824E7</v>
      </c>
      <c r="J789" s="6">
        <v>1.65926285217E9</v>
      </c>
    </row>
    <row r="790">
      <c r="A790" s="4" t="s">
        <v>10</v>
      </c>
      <c r="B790" s="5">
        <v>42783.0</v>
      </c>
      <c r="C790" s="6">
        <v>38.16</v>
      </c>
      <c r="D790" s="11">
        <v>-0.16</v>
      </c>
      <c r="E790" s="12">
        <v>-0.0042</v>
      </c>
      <c r="F790" s="6">
        <v>38.02</v>
      </c>
      <c r="G790" s="6">
        <v>37.99</v>
      </c>
      <c r="H790" s="6">
        <v>38.17</v>
      </c>
      <c r="I790" s="9">
        <v>5.4880654E7</v>
      </c>
      <c r="J790" s="6">
        <v>2.10344845425E9</v>
      </c>
    </row>
    <row r="791">
      <c r="A791" s="4" t="s">
        <v>10</v>
      </c>
      <c r="B791" s="5">
        <v>42787.0</v>
      </c>
      <c r="C791" s="6">
        <v>38.58</v>
      </c>
      <c r="D791" s="13">
        <f>+0.42</f>
        <v>0.42</v>
      </c>
      <c r="E791" s="14">
        <f>+1.09%</f>
        <v>0.0109</v>
      </c>
      <c r="F791" s="6">
        <v>38.39</v>
      </c>
      <c r="G791" s="6">
        <v>38.36</v>
      </c>
      <c r="H791" s="6">
        <v>38.59</v>
      </c>
      <c r="I791" s="9">
        <v>4.2603681E7</v>
      </c>
      <c r="J791" s="6">
        <v>1.64986133232E9</v>
      </c>
    </row>
    <row r="792">
      <c r="A792" s="4" t="s">
        <v>10</v>
      </c>
      <c r="B792" s="5">
        <v>42788.0</v>
      </c>
      <c r="C792" s="6">
        <v>38.7</v>
      </c>
      <c r="D792" s="13">
        <f>+0.12</f>
        <v>0.12</v>
      </c>
      <c r="E792" s="14">
        <f>+0.31%</f>
        <v>0.0031</v>
      </c>
      <c r="F792" s="6">
        <v>38.52</v>
      </c>
      <c r="G792" s="6">
        <v>38.5</v>
      </c>
      <c r="H792" s="6">
        <v>38.7</v>
      </c>
      <c r="I792" s="9">
        <v>3.9083504E7</v>
      </c>
      <c r="J792" s="6">
        <v>1.51822123022E9</v>
      </c>
    </row>
    <row r="793">
      <c r="A793" s="4" t="s">
        <v>10</v>
      </c>
      <c r="B793" s="5">
        <v>42789.0</v>
      </c>
      <c r="C793" s="6">
        <v>38.71</v>
      </c>
      <c r="D793" s="13">
        <f>+0.01</f>
        <v>0.01</v>
      </c>
      <c r="E793" s="14">
        <f>+0.03%</f>
        <v>0.0003</v>
      </c>
      <c r="F793" s="6">
        <v>38.9</v>
      </c>
      <c r="G793" s="6">
        <v>38.65</v>
      </c>
      <c r="H793" s="6">
        <v>38.92</v>
      </c>
      <c r="I793" s="9">
        <v>4.6763059E7</v>
      </c>
      <c r="J793" s="6">
        <v>1.82268049385E9</v>
      </c>
    </row>
    <row r="794">
      <c r="A794" s="4" t="s">
        <v>10</v>
      </c>
      <c r="B794" s="5">
        <v>42790.0</v>
      </c>
      <c r="C794" s="6">
        <v>38.25</v>
      </c>
      <c r="D794" s="11">
        <v>-0.46</v>
      </c>
      <c r="E794" s="12">
        <v>-0.0118</v>
      </c>
      <c r="F794" s="6">
        <v>38.24</v>
      </c>
      <c r="G794" s="6">
        <v>38.19</v>
      </c>
      <c r="H794" s="6">
        <v>38.33</v>
      </c>
      <c r="I794" s="9">
        <v>4.4575133E7</v>
      </c>
      <c r="J794" s="6">
        <v>1.71538391365E9</v>
      </c>
    </row>
    <row r="795">
      <c r="A795" s="4" t="s">
        <v>10</v>
      </c>
      <c r="B795" s="5">
        <v>42793.0</v>
      </c>
      <c r="C795" s="6">
        <v>38.13</v>
      </c>
      <c r="D795" s="11">
        <v>-0.12</v>
      </c>
      <c r="E795" s="12">
        <v>-0.0031</v>
      </c>
      <c r="F795" s="6">
        <v>38.14</v>
      </c>
      <c r="G795" s="6">
        <v>38.04</v>
      </c>
      <c r="H795" s="6">
        <v>38.25</v>
      </c>
      <c r="I795" s="9">
        <v>5.3625475E7</v>
      </c>
      <c r="J795" s="6">
        <v>2.05718518256E9</v>
      </c>
    </row>
    <row r="796">
      <c r="A796" s="4" t="s">
        <v>10</v>
      </c>
      <c r="B796" s="5">
        <v>42794.0</v>
      </c>
      <c r="C796" s="6">
        <v>37.76</v>
      </c>
      <c r="D796" s="11">
        <v>-0.37</v>
      </c>
      <c r="E796" s="12">
        <v>-0.0096</v>
      </c>
      <c r="F796" s="6">
        <v>38.09</v>
      </c>
      <c r="G796" s="6">
        <v>37.75</v>
      </c>
      <c r="H796" s="6">
        <v>38.1</v>
      </c>
      <c r="I796" s="9">
        <v>7.150889E7</v>
      </c>
      <c r="J796" s="6">
        <v>2.72390962818E9</v>
      </c>
    </row>
    <row r="797">
      <c r="A797" s="4" t="s">
        <v>10</v>
      </c>
      <c r="B797" s="5">
        <v>42795.0</v>
      </c>
      <c r="C797" s="6">
        <v>38.35</v>
      </c>
      <c r="D797" s="13">
        <f>+0.59</f>
        <v>0.59</v>
      </c>
      <c r="E797" s="14">
        <f>+1.55%</f>
        <v>0.0155</v>
      </c>
      <c r="F797" s="6">
        <v>38.07</v>
      </c>
      <c r="G797" s="6">
        <v>38.05</v>
      </c>
      <c r="H797" s="6">
        <v>38.37</v>
      </c>
      <c r="I797" s="9">
        <v>9.396628E7</v>
      </c>
      <c r="J797" s="6">
        <v>3.61565073036E9</v>
      </c>
    </row>
    <row r="798">
      <c r="A798" s="4" t="s">
        <v>10</v>
      </c>
      <c r="B798" s="5">
        <v>42796.0</v>
      </c>
      <c r="C798" s="6">
        <v>37.67</v>
      </c>
      <c r="D798" s="11">
        <v>-0.68</v>
      </c>
      <c r="E798" s="12">
        <v>-0.0176</v>
      </c>
      <c r="F798" s="6">
        <v>37.97</v>
      </c>
      <c r="G798" s="6">
        <v>37.66</v>
      </c>
      <c r="H798" s="6">
        <v>38.04</v>
      </c>
      <c r="I798" s="9">
        <v>6.3517956E7</v>
      </c>
      <c r="J798" s="6">
        <v>2.41619081893E9</v>
      </c>
    </row>
    <row r="799">
      <c r="A799" s="4" t="s">
        <v>10</v>
      </c>
      <c r="B799" s="5">
        <v>42797.0</v>
      </c>
      <c r="C799" s="6">
        <v>37.96</v>
      </c>
      <c r="D799" s="13">
        <f>+0.29</f>
        <v>0.29</v>
      </c>
      <c r="E799" s="14">
        <f>+0.77%</f>
        <v>0.0077</v>
      </c>
      <c r="F799" s="6">
        <v>37.85</v>
      </c>
      <c r="G799" s="6">
        <v>37.73</v>
      </c>
      <c r="H799" s="6">
        <v>38.0</v>
      </c>
      <c r="I799" s="9">
        <v>5.4969881E7</v>
      </c>
      <c r="J799" s="6">
        <v>2.09367690984E9</v>
      </c>
    </row>
    <row r="800">
      <c r="A800" s="4" t="s">
        <v>10</v>
      </c>
      <c r="B800" s="5">
        <v>42800.0</v>
      </c>
      <c r="C800" s="6">
        <v>37.98</v>
      </c>
      <c r="D800" s="13">
        <f>+0.02</f>
        <v>0.02</v>
      </c>
      <c r="E800" s="14">
        <f>+0.05%</f>
        <v>0.0005</v>
      </c>
      <c r="F800" s="6">
        <v>38.02</v>
      </c>
      <c r="G800" s="6">
        <v>37.86</v>
      </c>
      <c r="H800" s="6">
        <v>38.03</v>
      </c>
      <c r="I800" s="9">
        <v>3.045576E7</v>
      </c>
      <c r="J800" s="6">
        <v>1.16270350387E9</v>
      </c>
    </row>
    <row r="801">
      <c r="A801" s="4" t="s">
        <v>10</v>
      </c>
      <c r="B801" s="5">
        <v>42801.0</v>
      </c>
      <c r="C801" s="6">
        <v>38.02</v>
      </c>
      <c r="D801" s="13">
        <f>+0.04</f>
        <v>0.04</v>
      </c>
      <c r="E801" s="14">
        <f>+0.1%</f>
        <v>0.001</v>
      </c>
      <c r="F801" s="6">
        <v>38.1</v>
      </c>
      <c r="G801" s="6">
        <v>37.95</v>
      </c>
      <c r="H801" s="6">
        <v>38.12</v>
      </c>
      <c r="I801" s="9">
        <v>4.3470406E7</v>
      </c>
      <c r="J801" s="6">
        <v>1.66420570605E9</v>
      </c>
    </row>
    <row r="802">
      <c r="A802" s="4" t="s">
        <v>10</v>
      </c>
      <c r="B802" s="5">
        <v>42802.0</v>
      </c>
      <c r="C802" s="6">
        <v>37.66</v>
      </c>
      <c r="D802" s="11">
        <v>-0.36</v>
      </c>
      <c r="E802" s="12">
        <v>-0.0094</v>
      </c>
      <c r="F802" s="6">
        <v>37.93</v>
      </c>
      <c r="G802" s="6">
        <v>37.63</v>
      </c>
      <c r="H802" s="6">
        <v>37.99</v>
      </c>
      <c r="I802" s="9">
        <v>6.0587032E7</v>
      </c>
      <c r="J802" s="6">
        <v>2.30393003199E9</v>
      </c>
    </row>
    <row r="803">
      <c r="A803" s="4" t="s">
        <v>10</v>
      </c>
      <c r="B803" s="5">
        <v>42803.0</v>
      </c>
      <c r="C803" s="6">
        <v>37.36</v>
      </c>
      <c r="D803" s="11">
        <v>-0.3</v>
      </c>
      <c r="E803" s="12">
        <v>-0.0079</v>
      </c>
      <c r="F803" s="6">
        <v>37.47</v>
      </c>
      <c r="G803" s="6">
        <v>37.17</v>
      </c>
      <c r="H803" s="6">
        <v>37.53</v>
      </c>
      <c r="I803" s="9">
        <v>6.4159105E7</v>
      </c>
      <c r="J803" s="6">
        <v>2.41204191995E9</v>
      </c>
    </row>
    <row r="804">
      <c r="A804" s="4" t="s">
        <v>10</v>
      </c>
      <c r="B804" s="5">
        <v>42804.0</v>
      </c>
      <c r="C804" s="6">
        <v>37.78</v>
      </c>
      <c r="D804" s="13">
        <f>+0.42</f>
        <v>0.42</v>
      </c>
      <c r="E804" s="14">
        <f>+1.12%</f>
        <v>0.0112</v>
      </c>
      <c r="F804" s="6">
        <v>37.66</v>
      </c>
      <c r="G804" s="6">
        <v>37.57</v>
      </c>
      <c r="H804" s="6">
        <v>37.78</v>
      </c>
      <c r="I804" s="9">
        <v>4.5184899E7</v>
      </c>
      <c r="J804" s="6">
        <v>1.71295127866E9</v>
      </c>
    </row>
    <row r="805">
      <c r="A805" s="4" t="s">
        <v>10</v>
      </c>
      <c r="B805" s="5">
        <v>42807.0</v>
      </c>
      <c r="C805" s="6">
        <v>38.31</v>
      </c>
      <c r="D805" s="13">
        <f>+0.53</f>
        <v>0.53</v>
      </c>
      <c r="E805" s="14">
        <f>+1.39%</f>
        <v>0.0139</v>
      </c>
      <c r="F805" s="6">
        <v>38.17</v>
      </c>
      <c r="G805" s="6">
        <v>38.14</v>
      </c>
      <c r="H805" s="6">
        <v>38.34</v>
      </c>
      <c r="I805" s="9">
        <v>4.240589E7</v>
      </c>
      <c r="J805" s="6">
        <v>1.63155659599E9</v>
      </c>
    </row>
    <row r="806">
      <c r="A806" s="4" t="s">
        <v>10</v>
      </c>
      <c r="B806" s="5">
        <v>42808.0</v>
      </c>
      <c r="C806" s="6">
        <v>38.09</v>
      </c>
      <c r="D806" s="11">
        <v>-0.22</v>
      </c>
      <c r="E806" s="12">
        <v>-0.0057</v>
      </c>
      <c r="F806" s="6">
        <v>38.19</v>
      </c>
      <c r="G806" s="6">
        <v>38.06</v>
      </c>
      <c r="H806" s="6">
        <v>38.24</v>
      </c>
      <c r="I806" s="9">
        <v>5.6600251E7</v>
      </c>
      <c r="J806" s="6">
        <v>2.17209095569E9</v>
      </c>
    </row>
    <row r="807">
      <c r="A807" s="4" t="s">
        <v>10</v>
      </c>
      <c r="B807" s="5">
        <v>42809.0</v>
      </c>
      <c r="C807" s="6">
        <v>39.08</v>
      </c>
      <c r="D807" s="13">
        <f>+0.99</f>
        <v>0.99</v>
      </c>
      <c r="E807" s="14">
        <f>+2.61%</f>
        <v>0.0261</v>
      </c>
      <c r="F807" s="6">
        <v>38.28</v>
      </c>
      <c r="G807" s="6">
        <v>38.18</v>
      </c>
      <c r="H807" s="6">
        <v>39.15</v>
      </c>
      <c r="I807" s="9">
        <v>1.24080884E8</v>
      </c>
      <c r="J807" s="6">
        <v>4.83958482093E9</v>
      </c>
    </row>
    <row r="808">
      <c r="A808" s="4" t="s">
        <v>10</v>
      </c>
      <c r="B808" s="5">
        <v>42810.0</v>
      </c>
      <c r="C808" s="6">
        <v>39.32</v>
      </c>
      <c r="D808" s="13">
        <f>+0.24</f>
        <v>0.24</v>
      </c>
      <c r="E808" s="14">
        <f>+0.61%</f>
        <v>0.0061</v>
      </c>
      <c r="F808" s="6">
        <v>39.36</v>
      </c>
      <c r="G808" s="6">
        <v>39.2</v>
      </c>
      <c r="H808" s="6">
        <v>39.41</v>
      </c>
      <c r="I808" s="9">
        <v>1.37911751E8</v>
      </c>
      <c r="J808" s="6">
        <v>5.45506960285E9</v>
      </c>
    </row>
    <row r="809">
      <c r="A809" s="4" t="s">
        <v>10</v>
      </c>
      <c r="B809" s="5">
        <v>42811.0</v>
      </c>
      <c r="C809" s="6">
        <v>39.25</v>
      </c>
      <c r="D809" s="11">
        <v>-0.07</v>
      </c>
      <c r="E809" s="12">
        <v>-0.0018</v>
      </c>
      <c r="F809" s="6">
        <v>39.36</v>
      </c>
      <c r="G809" s="6">
        <v>39.22</v>
      </c>
      <c r="H809" s="6">
        <v>39.38</v>
      </c>
      <c r="I809" s="9">
        <v>6.826794E7</v>
      </c>
      <c r="J809" s="6">
        <v>2.69891251188E9</v>
      </c>
    </row>
    <row r="810">
      <c r="A810" s="4" t="s">
        <v>10</v>
      </c>
      <c r="B810" s="5">
        <v>42814.0</v>
      </c>
      <c r="C810" s="6">
        <v>39.75</v>
      </c>
      <c r="D810" s="13">
        <f>+0.49</f>
        <v>0.49</v>
      </c>
      <c r="E810" s="14">
        <f>+1.25%</f>
        <v>0.0125</v>
      </c>
      <c r="F810" s="6">
        <v>39.5</v>
      </c>
      <c r="G810" s="6">
        <v>39.44</v>
      </c>
      <c r="H810" s="6">
        <v>39.82</v>
      </c>
      <c r="I810" s="9">
        <v>7.0310042E7</v>
      </c>
      <c r="J810" s="6">
        <v>2.80819851329E9</v>
      </c>
    </row>
    <row r="811">
      <c r="A811" s="4" t="s">
        <v>10</v>
      </c>
      <c r="B811" s="5">
        <v>42815.0</v>
      </c>
      <c r="C811" s="6">
        <v>39.27</v>
      </c>
      <c r="D811" s="11">
        <v>-0.47</v>
      </c>
      <c r="E811" s="12">
        <v>-0.0119</v>
      </c>
      <c r="F811" s="6">
        <v>39.91</v>
      </c>
      <c r="G811" s="6">
        <v>39.24</v>
      </c>
      <c r="H811" s="6">
        <v>39.99</v>
      </c>
      <c r="I811" s="9">
        <v>7.1712924E7</v>
      </c>
      <c r="J811" s="6">
        <v>2.8504693896E9</v>
      </c>
    </row>
    <row r="812">
      <c r="A812" s="4" t="s">
        <v>10</v>
      </c>
      <c r="B812" s="5">
        <v>42816.0</v>
      </c>
      <c r="C812" s="6">
        <v>39.46</v>
      </c>
      <c r="D812" s="13">
        <f>+0.19</f>
        <v>0.19</v>
      </c>
      <c r="E812" s="14">
        <f>+0.48%</f>
        <v>0.0048</v>
      </c>
      <c r="F812" s="6">
        <v>39.24</v>
      </c>
      <c r="G812" s="6">
        <v>39.14</v>
      </c>
      <c r="H812" s="6">
        <v>39.55</v>
      </c>
      <c r="I812" s="9">
        <v>7.013405E7</v>
      </c>
      <c r="J812" s="6">
        <v>2.77847339685E9</v>
      </c>
    </row>
    <row r="813">
      <c r="A813" s="4" t="s">
        <v>10</v>
      </c>
      <c r="B813" s="5">
        <v>42817.0</v>
      </c>
      <c r="C813" s="6">
        <v>39.47</v>
      </c>
      <c r="D813" s="13">
        <f>+0.01</f>
        <v>0.01</v>
      </c>
      <c r="E813" s="14">
        <f>+0.03%</f>
        <v>0.0003</v>
      </c>
      <c r="F813" s="6">
        <v>39.32</v>
      </c>
      <c r="G813" s="6">
        <v>39.31</v>
      </c>
      <c r="H813" s="6">
        <v>39.61</v>
      </c>
      <c r="I813" s="9">
        <v>5.3877548E7</v>
      </c>
      <c r="J813" s="6">
        <v>2.13816042146E9</v>
      </c>
    </row>
    <row r="814">
      <c r="A814" s="4" t="s">
        <v>10</v>
      </c>
      <c r="B814" s="5">
        <v>42818.0</v>
      </c>
      <c r="C814" s="6">
        <v>39.57</v>
      </c>
      <c r="D814" s="13">
        <f>+0.1</f>
        <v>0.1</v>
      </c>
      <c r="E814" s="14">
        <f>+0.25%</f>
        <v>0.0025</v>
      </c>
      <c r="F814" s="6">
        <v>39.44</v>
      </c>
      <c r="G814" s="6">
        <v>39.43</v>
      </c>
      <c r="H814" s="6">
        <v>39.64</v>
      </c>
      <c r="I814" s="9">
        <v>6.8871398E7</v>
      </c>
      <c r="J814" s="6">
        <v>2.7283305492E9</v>
      </c>
    </row>
    <row r="815">
      <c r="A815" s="4" t="s">
        <v>10</v>
      </c>
      <c r="B815" s="5">
        <v>42821.0</v>
      </c>
      <c r="C815" s="6">
        <v>39.46</v>
      </c>
      <c r="D815" s="11">
        <v>-0.11</v>
      </c>
      <c r="E815" s="12">
        <v>-0.0028</v>
      </c>
      <c r="F815" s="6">
        <v>39.31</v>
      </c>
      <c r="G815" s="6">
        <v>39.19</v>
      </c>
      <c r="H815" s="6">
        <v>39.53</v>
      </c>
      <c r="I815" s="9">
        <v>5.2896682E7</v>
      </c>
      <c r="J815" s="6">
        <v>2.09616392705E9</v>
      </c>
    </row>
    <row r="816">
      <c r="A816" s="4" t="s">
        <v>10</v>
      </c>
      <c r="B816" s="5">
        <v>42822.0</v>
      </c>
      <c r="C816" s="6">
        <v>39.57</v>
      </c>
      <c r="D816" s="13">
        <f>+0.11</f>
        <v>0.11</v>
      </c>
      <c r="E816" s="14">
        <f>+0.28%</f>
        <v>0.0028</v>
      </c>
      <c r="F816" s="6">
        <v>39.43</v>
      </c>
      <c r="G816" s="6">
        <v>39.43</v>
      </c>
      <c r="H816" s="6">
        <v>39.69</v>
      </c>
      <c r="I816" s="9">
        <v>5.1799005E7</v>
      </c>
      <c r="J816" s="6">
        <v>2.06130061304E9</v>
      </c>
    </row>
    <row r="817">
      <c r="A817" s="4" t="s">
        <v>10</v>
      </c>
      <c r="B817" s="5">
        <v>42823.0</v>
      </c>
      <c r="C817" s="6">
        <v>39.64</v>
      </c>
      <c r="D817" s="13">
        <f>+0.07</f>
        <v>0.07</v>
      </c>
      <c r="E817" s="14">
        <f>+0.18%</f>
        <v>0.0018</v>
      </c>
      <c r="F817" s="6">
        <v>39.48</v>
      </c>
      <c r="G817" s="6">
        <v>39.4</v>
      </c>
      <c r="H817" s="6">
        <v>39.67</v>
      </c>
      <c r="I817" s="9">
        <v>3.6856977E7</v>
      </c>
      <c r="J817" s="6">
        <v>1.46710615341E9</v>
      </c>
    </row>
    <row r="818">
      <c r="A818" s="4" t="s">
        <v>10</v>
      </c>
      <c r="B818" s="5">
        <v>42824.0</v>
      </c>
      <c r="C818" s="6">
        <v>39.43</v>
      </c>
      <c r="D818" s="11">
        <v>-0.21</v>
      </c>
      <c r="E818" s="12">
        <v>-0.0053</v>
      </c>
      <c r="F818" s="6">
        <v>39.48</v>
      </c>
      <c r="G818" s="6">
        <v>39.4</v>
      </c>
      <c r="H818" s="6">
        <v>39.6</v>
      </c>
      <c r="I818" s="9">
        <v>3.3282533E7</v>
      </c>
      <c r="J818" s="6">
        <v>1.32201154961E9</v>
      </c>
    </row>
    <row r="819">
      <c r="A819" s="4" t="s">
        <v>10</v>
      </c>
      <c r="B819" s="5">
        <v>42825.0</v>
      </c>
      <c r="C819" s="6">
        <v>39.15</v>
      </c>
      <c r="D819" s="11">
        <v>-0.28</v>
      </c>
      <c r="E819" s="12">
        <v>-0.0071</v>
      </c>
      <c r="F819" s="6">
        <v>39.18</v>
      </c>
      <c r="G819" s="6">
        <v>39.07</v>
      </c>
      <c r="H819" s="6">
        <v>39.24</v>
      </c>
      <c r="I819" s="9">
        <v>9.4971508E7</v>
      </c>
      <c r="J819" s="6">
        <v>3.74141424519E9</v>
      </c>
    </row>
    <row r="820">
      <c r="A820" s="4" t="s">
        <v>10</v>
      </c>
      <c r="B820" s="5">
        <v>42828.0</v>
      </c>
      <c r="C820" s="6">
        <v>39.37</v>
      </c>
      <c r="D820" s="13">
        <f>+0.22</f>
        <v>0.22</v>
      </c>
      <c r="E820" s="14">
        <f>+0.56%</f>
        <v>0.0056</v>
      </c>
      <c r="F820" s="6">
        <v>39.27</v>
      </c>
      <c r="G820" s="6">
        <v>39.13</v>
      </c>
      <c r="H820" s="6">
        <v>39.41</v>
      </c>
      <c r="I820" s="9">
        <v>6.004829E7</v>
      </c>
      <c r="J820" s="6">
        <v>2.37410413999E9</v>
      </c>
    </row>
    <row r="821">
      <c r="A821" s="4" t="s">
        <v>10</v>
      </c>
      <c r="B821" s="5">
        <v>42829.0</v>
      </c>
      <c r="C821" s="6">
        <v>39.39</v>
      </c>
      <c r="D821" s="13">
        <f>+0.02</f>
        <v>0.02</v>
      </c>
      <c r="E821" s="14">
        <f>+0.05%</f>
        <v>0.0005</v>
      </c>
      <c r="F821" s="6">
        <v>39.29</v>
      </c>
      <c r="G821" s="6">
        <v>39.22</v>
      </c>
      <c r="H821" s="6">
        <v>39.45</v>
      </c>
      <c r="I821" s="9">
        <v>4.4136505E7</v>
      </c>
      <c r="J821" s="6">
        <v>1.74746131429E9</v>
      </c>
    </row>
    <row r="822">
      <c r="A822" s="4" t="s">
        <v>10</v>
      </c>
      <c r="B822" s="5">
        <v>42830.0</v>
      </c>
      <c r="C822" s="6">
        <v>39.27</v>
      </c>
      <c r="D822" s="11">
        <v>-0.12</v>
      </c>
      <c r="E822" s="12">
        <v>-0.003</v>
      </c>
      <c r="F822" s="6">
        <v>39.56</v>
      </c>
      <c r="G822" s="6">
        <v>39.25</v>
      </c>
      <c r="H822" s="6">
        <v>39.66</v>
      </c>
      <c r="I822" s="9">
        <v>4.4099174E7</v>
      </c>
      <c r="J822" s="6">
        <v>1.75108091993E9</v>
      </c>
    </row>
    <row r="823">
      <c r="A823" s="4" t="s">
        <v>10</v>
      </c>
      <c r="B823" s="5">
        <v>42831.0</v>
      </c>
      <c r="C823" s="6">
        <v>39.2</v>
      </c>
      <c r="D823" s="11">
        <v>-0.07</v>
      </c>
      <c r="E823" s="12">
        <v>-0.0018</v>
      </c>
      <c r="F823" s="6">
        <v>39.23</v>
      </c>
      <c r="G823" s="6">
        <v>39.08</v>
      </c>
      <c r="H823" s="6">
        <v>39.3</v>
      </c>
      <c r="I823" s="9">
        <v>3.5544831E7</v>
      </c>
      <c r="J823" s="6">
        <v>1.40192668964E9</v>
      </c>
    </row>
    <row r="824">
      <c r="A824" s="4" t="s">
        <v>10</v>
      </c>
      <c r="B824" s="5">
        <v>42832.0</v>
      </c>
      <c r="C824" s="6">
        <v>39.13</v>
      </c>
      <c r="D824" s="11">
        <v>-0.07</v>
      </c>
      <c r="E824" s="12">
        <v>-0.0018</v>
      </c>
      <c r="F824" s="6">
        <v>39.12</v>
      </c>
      <c r="G824" s="6">
        <v>39.09</v>
      </c>
      <c r="H824" s="6">
        <v>39.31</v>
      </c>
      <c r="I824" s="9">
        <v>4.0355764E7</v>
      </c>
      <c r="J824" s="6">
        <v>1.59052626275E9</v>
      </c>
    </row>
    <row r="825">
      <c r="A825" s="4" t="s">
        <v>10</v>
      </c>
      <c r="B825" s="5">
        <v>42835.0</v>
      </c>
      <c r="C825" s="6">
        <v>38.97</v>
      </c>
      <c r="D825" s="11">
        <v>-0.16</v>
      </c>
      <c r="E825" s="12">
        <v>-0.0041</v>
      </c>
      <c r="F825" s="6">
        <v>38.98</v>
      </c>
      <c r="G825" s="6">
        <v>38.86</v>
      </c>
      <c r="H825" s="6">
        <v>39.02</v>
      </c>
      <c r="I825" s="9">
        <v>3.3853798E7</v>
      </c>
      <c r="J825" s="6">
        <v>1.32665545137E9</v>
      </c>
    </row>
    <row r="826">
      <c r="A826" s="4" t="s">
        <v>10</v>
      </c>
      <c r="B826" s="5">
        <v>42836.0</v>
      </c>
      <c r="C826" s="6">
        <v>38.89</v>
      </c>
      <c r="D826" s="11">
        <v>-0.09</v>
      </c>
      <c r="E826" s="12">
        <v>-0.0023</v>
      </c>
      <c r="F826" s="6">
        <v>38.96</v>
      </c>
      <c r="G826" s="6">
        <v>38.66</v>
      </c>
      <c r="H826" s="6">
        <v>39.01</v>
      </c>
      <c r="I826" s="9">
        <v>4.6002845E7</v>
      </c>
      <c r="J826" s="6">
        <v>1.79709739106E9</v>
      </c>
    </row>
    <row r="827">
      <c r="A827" s="4" t="s">
        <v>10</v>
      </c>
      <c r="B827" s="5">
        <v>42837.0</v>
      </c>
      <c r="C827" s="6">
        <v>39.07</v>
      </c>
      <c r="D827" s="13">
        <f>+0.19</f>
        <v>0.19</v>
      </c>
      <c r="E827" s="14">
        <f>+0.49%</f>
        <v>0.0049</v>
      </c>
      <c r="F827" s="6">
        <v>39.05</v>
      </c>
      <c r="G827" s="6">
        <v>38.83</v>
      </c>
      <c r="H827" s="6">
        <v>39.08</v>
      </c>
      <c r="I827" s="9">
        <v>5.5149077E7</v>
      </c>
      <c r="J827" s="6">
        <v>2.16164913846E9</v>
      </c>
    </row>
    <row r="828">
      <c r="A828" s="4" t="s">
        <v>10</v>
      </c>
      <c r="B828" s="5">
        <v>42838.0</v>
      </c>
      <c r="C828" s="6">
        <v>38.91</v>
      </c>
      <c r="D828" s="11">
        <v>-0.17</v>
      </c>
      <c r="E828" s="12">
        <v>-0.0043</v>
      </c>
      <c r="F828" s="6">
        <v>39.16</v>
      </c>
      <c r="G828" s="6">
        <v>38.9</v>
      </c>
      <c r="H828" s="6">
        <v>39.26</v>
      </c>
      <c r="I828" s="9">
        <v>4.8182489E7</v>
      </c>
      <c r="J828" s="6">
        <v>1.89485923373E9</v>
      </c>
    </row>
    <row r="829">
      <c r="A829" s="4" t="s">
        <v>10</v>
      </c>
      <c r="B829" s="5">
        <v>42842.0</v>
      </c>
      <c r="C829" s="6">
        <v>39.31</v>
      </c>
      <c r="D829" s="13">
        <f>+0.41</f>
        <v>0.41</v>
      </c>
      <c r="E829" s="14">
        <f>+1.05%</f>
        <v>0.0105</v>
      </c>
      <c r="F829" s="6">
        <v>39.08</v>
      </c>
      <c r="G829" s="6">
        <v>39.02</v>
      </c>
      <c r="H829" s="6">
        <v>39.31</v>
      </c>
      <c r="I829" s="9">
        <v>2.9862304E7</v>
      </c>
      <c r="J829" s="6">
        <v>1.17821933429E9</v>
      </c>
    </row>
    <row r="830">
      <c r="A830" s="4" t="s">
        <v>10</v>
      </c>
      <c r="B830" s="5">
        <v>42843.0</v>
      </c>
      <c r="C830" s="6">
        <v>38.82</v>
      </c>
      <c r="D830" s="11">
        <v>-0.5</v>
      </c>
      <c r="E830" s="12">
        <v>-0.0126</v>
      </c>
      <c r="F830" s="6">
        <v>38.87</v>
      </c>
      <c r="G830" s="6">
        <v>38.73</v>
      </c>
      <c r="H830" s="6">
        <v>39.0</v>
      </c>
      <c r="I830" s="9">
        <v>5.0889201E7</v>
      </c>
      <c r="J830" s="6">
        <v>1.98967263309E9</v>
      </c>
    </row>
    <row r="831">
      <c r="A831" s="4" t="s">
        <v>10</v>
      </c>
      <c r="B831" s="5">
        <v>42844.0</v>
      </c>
      <c r="C831" s="6">
        <v>38.58</v>
      </c>
      <c r="D831" s="11">
        <v>-0.24</v>
      </c>
      <c r="E831" s="12">
        <v>-0.0061</v>
      </c>
      <c r="F831" s="6">
        <v>38.91</v>
      </c>
      <c r="G831" s="6">
        <v>38.48</v>
      </c>
      <c r="H831" s="6">
        <v>38.93</v>
      </c>
      <c r="I831" s="9">
        <v>5.8751142E7</v>
      </c>
      <c r="J831" s="6">
        <v>2.28588233884E9</v>
      </c>
    </row>
    <row r="832">
      <c r="A832" s="4" t="s">
        <v>10</v>
      </c>
      <c r="B832" s="5">
        <v>42845.0</v>
      </c>
      <c r="C832" s="6">
        <v>39.05</v>
      </c>
      <c r="D832" s="13">
        <f>+0.48</f>
        <v>0.48</v>
      </c>
      <c r="E832" s="14">
        <f>+1.24%</f>
        <v>0.0124</v>
      </c>
      <c r="F832" s="6">
        <v>38.99</v>
      </c>
      <c r="G832" s="6">
        <v>38.88</v>
      </c>
      <c r="H832" s="6">
        <v>39.06</v>
      </c>
      <c r="I832" s="9">
        <v>4.6722886E7</v>
      </c>
      <c r="J832" s="6">
        <v>1.8328940437E9</v>
      </c>
    </row>
    <row r="833">
      <c r="A833" s="4" t="s">
        <v>10</v>
      </c>
      <c r="B833" s="5">
        <v>42846.0</v>
      </c>
      <c r="C833" s="6">
        <v>39.05</v>
      </c>
      <c r="D833" s="11">
        <v>0.0</v>
      </c>
      <c r="E833" s="12">
        <v>0.0</v>
      </c>
      <c r="F833" s="6">
        <v>39.06</v>
      </c>
      <c r="G833" s="6">
        <v>38.98</v>
      </c>
      <c r="H833" s="6">
        <v>39.11</v>
      </c>
      <c r="I833" s="9">
        <v>3.2949549E7</v>
      </c>
      <c r="J833" s="6">
        <v>1.29456756618E9</v>
      </c>
    </row>
    <row r="834">
      <c r="A834" s="4" t="s">
        <v>10</v>
      </c>
      <c r="B834" s="5">
        <v>42849.0</v>
      </c>
      <c r="C834" s="6">
        <v>39.61</v>
      </c>
      <c r="D834" s="13">
        <f>+0.56</f>
        <v>0.56</v>
      </c>
      <c r="E834" s="14">
        <f>+1.43%</f>
        <v>0.0143</v>
      </c>
      <c r="F834" s="6">
        <v>39.63</v>
      </c>
      <c r="G834" s="6">
        <v>39.51</v>
      </c>
      <c r="H834" s="6">
        <v>39.69</v>
      </c>
      <c r="I834" s="9">
        <v>6.354975E7</v>
      </c>
      <c r="J834" s="6">
        <v>2.53216666355E9</v>
      </c>
    </row>
    <row r="835">
      <c r="A835" s="4" t="s">
        <v>10</v>
      </c>
      <c r="B835" s="5">
        <v>42850.0</v>
      </c>
      <c r="C835" s="6">
        <v>39.96</v>
      </c>
      <c r="D835" s="13">
        <f>+0.35</f>
        <v>0.35</v>
      </c>
      <c r="E835" s="14">
        <f>+0.88%</f>
        <v>0.0088</v>
      </c>
      <c r="F835" s="6">
        <v>39.9</v>
      </c>
      <c r="G835" s="6">
        <v>39.86</v>
      </c>
      <c r="H835" s="6">
        <v>40.07</v>
      </c>
      <c r="I835" s="9">
        <v>5.095738E7</v>
      </c>
      <c r="J835" s="6">
        <v>2.04957244827E9</v>
      </c>
    </row>
    <row r="836">
      <c r="A836" s="4" t="s">
        <v>10</v>
      </c>
      <c r="B836" s="5">
        <v>42851.0</v>
      </c>
      <c r="C836" s="6">
        <v>39.81</v>
      </c>
      <c r="D836" s="11">
        <v>-0.15</v>
      </c>
      <c r="E836" s="12">
        <v>-0.0037</v>
      </c>
      <c r="F836" s="6">
        <v>39.89</v>
      </c>
      <c r="G836" s="6">
        <v>39.76</v>
      </c>
      <c r="H836" s="6">
        <v>40.01</v>
      </c>
      <c r="I836" s="9">
        <v>5.6451984E7</v>
      </c>
      <c r="J836" s="6">
        <v>2.2643935276E9</v>
      </c>
    </row>
    <row r="837">
      <c r="A837" s="4" t="s">
        <v>10</v>
      </c>
      <c r="B837" s="5">
        <v>42852.0</v>
      </c>
      <c r="C837" s="6">
        <v>39.76</v>
      </c>
      <c r="D837" s="11">
        <v>-0.05</v>
      </c>
      <c r="E837" s="12">
        <v>-0.0012</v>
      </c>
      <c r="F837" s="6">
        <v>39.89</v>
      </c>
      <c r="G837" s="6">
        <v>39.64</v>
      </c>
      <c r="H837" s="6">
        <v>39.9</v>
      </c>
      <c r="I837" s="9">
        <v>4.2298065E7</v>
      </c>
      <c r="J837" s="6">
        <v>1.69159232454E9</v>
      </c>
    </row>
    <row r="838">
      <c r="A838" s="4" t="s">
        <v>10</v>
      </c>
      <c r="B838" s="5">
        <v>42853.0</v>
      </c>
      <c r="C838" s="6">
        <v>39.82</v>
      </c>
      <c r="D838" s="13">
        <f>+0.06</f>
        <v>0.06</v>
      </c>
      <c r="E838" s="14">
        <f>+0.15%</f>
        <v>0.0015</v>
      </c>
      <c r="F838" s="6">
        <v>39.8</v>
      </c>
      <c r="G838" s="6">
        <v>39.69</v>
      </c>
      <c r="H838" s="6">
        <v>39.89</v>
      </c>
      <c r="I838" s="9">
        <v>5.6635409E7</v>
      </c>
      <c r="J838" s="6">
        <v>2.26767060923E9</v>
      </c>
    </row>
    <row r="839">
      <c r="A839" s="4" t="s">
        <v>10</v>
      </c>
      <c r="B839" s="5">
        <v>42856.0</v>
      </c>
      <c r="C839" s="6">
        <v>40.05</v>
      </c>
      <c r="D839" s="13">
        <f>+0.23</f>
        <v>0.23</v>
      </c>
      <c r="E839" s="14">
        <f>+0.57%</f>
        <v>0.0057</v>
      </c>
      <c r="F839" s="6">
        <v>40.0</v>
      </c>
      <c r="G839" s="6">
        <v>39.91</v>
      </c>
      <c r="H839" s="6">
        <v>40.16</v>
      </c>
      <c r="I839" s="9">
        <v>4.1171016E7</v>
      </c>
      <c r="J839" s="6">
        <v>1.65852011651E9</v>
      </c>
    </row>
    <row r="840">
      <c r="A840" s="4" t="s">
        <v>10</v>
      </c>
      <c r="B840" s="5">
        <v>42857.0</v>
      </c>
      <c r="C840" s="6">
        <v>40.34</v>
      </c>
      <c r="D840" s="13">
        <f>+0.29</f>
        <v>0.29</v>
      </c>
      <c r="E840" s="14">
        <f>+0.72%</f>
        <v>0.0072</v>
      </c>
      <c r="F840" s="6">
        <v>40.22</v>
      </c>
      <c r="G840" s="6">
        <v>40.17</v>
      </c>
      <c r="H840" s="6">
        <v>40.39</v>
      </c>
      <c r="I840" s="9">
        <v>5.5325459E7</v>
      </c>
      <c r="J840" s="6">
        <v>2.24220000025E9</v>
      </c>
    </row>
    <row r="841">
      <c r="A841" s="4" t="s">
        <v>10</v>
      </c>
      <c r="B841" s="5">
        <v>42858.0</v>
      </c>
      <c r="C841" s="6">
        <v>40.07</v>
      </c>
      <c r="D841" s="11">
        <v>-0.27</v>
      </c>
      <c r="E841" s="12">
        <v>-0.0067</v>
      </c>
      <c r="F841" s="6">
        <v>40.17</v>
      </c>
      <c r="G841" s="6">
        <v>39.96</v>
      </c>
      <c r="H841" s="6">
        <v>40.21</v>
      </c>
      <c r="I841" s="9">
        <v>5.8336148E7</v>
      </c>
      <c r="J841" s="6">
        <v>2.35283998718E9</v>
      </c>
    </row>
    <row r="842">
      <c r="A842" s="4" t="s">
        <v>10</v>
      </c>
      <c r="B842" s="5">
        <v>42859.0</v>
      </c>
      <c r="C842" s="6">
        <v>39.62</v>
      </c>
      <c r="D842" s="11">
        <v>-0.45</v>
      </c>
      <c r="E842" s="12">
        <v>-0.0112</v>
      </c>
      <c r="F842" s="6">
        <v>39.85</v>
      </c>
      <c r="G842" s="6">
        <v>39.59</v>
      </c>
      <c r="H842" s="6">
        <v>39.87</v>
      </c>
      <c r="I842" s="9">
        <v>8.1078255E7</v>
      </c>
      <c r="J842" s="6">
        <v>3.23709990887E9</v>
      </c>
    </row>
    <row r="843">
      <c r="A843" s="4" t="s">
        <v>10</v>
      </c>
      <c r="B843" s="5">
        <v>42860.0</v>
      </c>
      <c r="C843" s="6">
        <v>39.95</v>
      </c>
      <c r="D843" s="13">
        <f>+0.33</f>
        <v>0.33</v>
      </c>
      <c r="E843" s="14">
        <f>+0.83%</f>
        <v>0.0083</v>
      </c>
      <c r="F843" s="6">
        <v>39.56</v>
      </c>
      <c r="G843" s="6">
        <v>39.55</v>
      </c>
      <c r="H843" s="6">
        <v>39.95</v>
      </c>
      <c r="I843" s="9">
        <v>5.2581021E7</v>
      </c>
      <c r="J843" s="6">
        <v>2.1040024699E9</v>
      </c>
    </row>
    <row r="844">
      <c r="A844" s="4" t="s">
        <v>10</v>
      </c>
      <c r="B844" s="5">
        <v>42863.0</v>
      </c>
      <c r="C844" s="6">
        <v>39.94</v>
      </c>
      <c r="D844" s="11">
        <v>-0.01</v>
      </c>
      <c r="E844" s="12">
        <v>-2.0E-4</v>
      </c>
      <c r="F844" s="6">
        <v>40.06</v>
      </c>
      <c r="G844" s="6">
        <v>39.91</v>
      </c>
      <c r="H844" s="6">
        <v>40.16</v>
      </c>
      <c r="I844" s="9">
        <v>3.5951542E7</v>
      </c>
      <c r="J844" s="6">
        <v>1.44653130073E9</v>
      </c>
    </row>
    <row r="845">
      <c r="A845" s="4" t="s">
        <v>10</v>
      </c>
      <c r="B845" s="5">
        <v>42864.0</v>
      </c>
      <c r="C845" s="6">
        <v>40.45</v>
      </c>
      <c r="D845" s="13">
        <f>+0.51</f>
        <v>0.51</v>
      </c>
      <c r="E845" s="14">
        <f>+1.27%</f>
        <v>0.0127</v>
      </c>
      <c r="F845" s="6">
        <v>40.25</v>
      </c>
      <c r="G845" s="6">
        <v>40.22</v>
      </c>
      <c r="H845" s="6">
        <v>40.57</v>
      </c>
      <c r="I845" s="9">
        <v>7.0127299E7</v>
      </c>
      <c r="J845" s="6">
        <v>2.85337035335E9</v>
      </c>
    </row>
    <row r="846">
      <c r="A846" s="4" t="s">
        <v>10</v>
      </c>
      <c r="B846" s="5">
        <v>42865.0</v>
      </c>
      <c r="C846" s="6">
        <v>40.71</v>
      </c>
      <c r="D846" s="13">
        <f>+0.27</f>
        <v>0.27</v>
      </c>
      <c r="E846" s="14">
        <f>+0.66%</f>
        <v>0.0066</v>
      </c>
      <c r="F846" s="6">
        <v>40.57</v>
      </c>
      <c r="G846" s="6">
        <v>40.52</v>
      </c>
      <c r="H846" s="6">
        <v>40.71</v>
      </c>
      <c r="I846" s="9">
        <v>4.7629112E7</v>
      </c>
      <c r="J846" s="6">
        <v>1.94731414129E9</v>
      </c>
    </row>
    <row r="847">
      <c r="A847" s="4" t="s">
        <v>10</v>
      </c>
      <c r="B847" s="5">
        <v>42866.0</v>
      </c>
      <c r="C847" s="6">
        <v>40.8</v>
      </c>
      <c r="D847" s="13">
        <f>+0.09</f>
        <v>0.09</v>
      </c>
      <c r="E847" s="14">
        <f>+0.22%</f>
        <v>0.0022</v>
      </c>
      <c r="F847" s="6">
        <v>40.76</v>
      </c>
      <c r="G847" s="6">
        <v>40.57</v>
      </c>
      <c r="H847" s="6">
        <v>40.87</v>
      </c>
      <c r="I847" s="9">
        <v>3.7366092E7</v>
      </c>
      <c r="J847" s="6">
        <v>1.53073341656E9</v>
      </c>
    </row>
    <row r="848">
      <c r="A848" s="4" t="s">
        <v>10</v>
      </c>
      <c r="B848" s="5">
        <v>42867.0</v>
      </c>
      <c r="C848" s="6">
        <v>40.97</v>
      </c>
      <c r="D848" s="13">
        <f>+0.17</f>
        <v>0.17</v>
      </c>
      <c r="E848" s="14">
        <f>+0.41%</f>
        <v>0.0041</v>
      </c>
      <c r="F848" s="6">
        <v>40.86</v>
      </c>
      <c r="G848" s="6">
        <v>40.85</v>
      </c>
      <c r="H848" s="6">
        <v>41.01</v>
      </c>
      <c r="I848" s="9">
        <v>6.5418202E7</v>
      </c>
      <c r="J848" s="6">
        <v>2.69408635836E9</v>
      </c>
    </row>
    <row r="849">
      <c r="A849" s="4" t="s">
        <v>10</v>
      </c>
      <c r="B849" s="5">
        <v>42870.0</v>
      </c>
      <c r="C849" s="6">
        <v>41.39</v>
      </c>
      <c r="D849" s="13">
        <f>+0.42</f>
        <v>0.42</v>
      </c>
      <c r="E849" s="14">
        <f>+1.02%</f>
        <v>0.0102</v>
      </c>
      <c r="F849" s="6">
        <v>41.18</v>
      </c>
      <c r="G849" s="6">
        <v>41.15</v>
      </c>
      <c r="H849" s="6">
        <v>41.41</v>
      </c>
      <c r="I849" s="9">
        <v>5.2560962E7</v>
      </c>
      <c r="J849" s="6">
        <v>2.18540457781E9</v>
      </c>
    </row>
    <row r="850">
      <c r="A850" s="4" t="s">
        <v>10</v>
      </c>
      <c r="B850" s="5">
        <v>42871.0</v>
      </c>
      <c r="C850" s="6">
        <v>41.43</v>
      </c>
      <c r="D850" s="13">
        <f>+0.04</f>
        <v>0.04</v>
      </c>
      <c r="E850" s="14">
        <f>+0.1%</f>
        <v>0.001</v>
      </c>
      <c r="F850" s="6">
        <v>41.36</v>
      </c>
      <c r="G850" s="6">
        <v>41.28</v>
      </c>
      <c r="H850" s="6">
        <v>41.45</v>
      </c>
      <c r="I850" s="9">
        <v>4.1936342E7</v>
      </c>
      <c r="J850" s="6">
        <v>1.74645062813E9</v>
      </c>
    </row>
    <row r="851">
      <c r="A851" s="4" t="s">
        <v>10</v>
      </c>
      <c r="B851" s="5">
        <v>42872.0</v>
      </c>
      <c r="C851" s="6">
        <v>40.72</v>
      </c>
      <c r="D851" s="11">
        <v>-0.71</v>
      </c>
      <c r="E851" s="12">
        <v>-0.017</v>
      </c>
      <c r="F851" s="6">
        <v>41.07</v>
      </c>
      <c r="G851" s="6">
        <v>40.7</v>
      </c>
      <c r="H851" s="6">
        <v>41.12</v>
      </c>
      <c r="I851" s="9">
        <v>6.3287347E7</v>
      </c>
      <c r="J851" s="6">
        <v>2.60524530287E9</v>
      </c>
    </row>
    <row r="852">
      <c r="A852" s="4" t="s">
        <v>10</v>
      </c>
      <c r="B852" s="5">
        <v>42873.0</v>
      </c>
      <c r="C852" s="6">
        <v>40.05</v>
      </c>
      <c r="D852" s="11">
        <v>-0.68</v>
      </c>
      <c r="E852" s="12">
        <v>-0.0166</v>
      </c>
      <c r="F852" s="6">
        <v>39.74</v>
      </c>
      <c r="G852" s="6">
        <v>39.58</v>
      </c>
      <c r="H852" s="6">
        <v>40.4</v>
      </c>
      <c r="I852" s="9">
        <v>1.21234696E8</v>
      </c>
      <c r="J852" s="6">
        <v>4.87880854075E9</v>
      </c>
    </row>
    <row r="853">
      <c r="A853" s="4" t="s">
        <v>10</v>
      </c>
      <c r="B853" s="5">
        <v>42874.0</v>
      </c>
      <c r="C853" s="6">
        <v>40.9</v>
      </c>
      <c r="D853" s="13">
        <f>+0.85</f>
        <v>0.85</v>
      </c>
      <c r="E853" s="14">
        <f>+2.13%</f>
        <v>0.0213</v>
      </c>
      <c r="F853" s="6">
        <v>40.63</v>
      </c>
      <c r="G853" s="6">
        <v>40.62</v>
      </c>
      <c r="H853" s="6">
        <v>40.98</v>
      </c>
      <c r="I853" s="9">
        <v>6.374195E7</v>
      </c>
      <c r="J853" s="6">
        <v>2.61916717129E9</v>
      </c>
    </row>
    <row r="854">
      <c r="A854" s="4" t="s">
        <v>10</v>
      </c>
      <c r="B854" s="5">
        <v>42877.0</v>
      </c>
      <c r="C854" s="6">
        <v>40.94</v>
      </c>
      <c r="D854" s="13">
        <f t="shared" ref="D854:D855" si="2">+0.04</f>
        <v>0.04</v>
      </c>
      <c r="E854" s="14">
        <f t="shared" ref="E854:E855" si="3">+0.1%</f>
        <v>0.001</v>
      </c>
      <c r="F854" s="6">
        <v>40.94</v>
      </c>
      <c r="G854" s="6">
        <v>40.9</v>
      </c>
      <c r="H854" s="6">
        <v>41.07</v>
      </c>
      <c r="I854" s="9">
        <v>4.6357544E7</v>
      </c>
      <c r="J854" s="6">
        <v>1.91093460563E9</v>
      </c>
    </row>
    <row r="855">
      <c r="A855" s="4" t="s">
        <v>10</v>
      </c>
      <c r="B855" s="5">
        <v>42878.0</v>
      </c>
      <c r="C855" s="6">
        <v>40.98</v>
      </c>
      <c r="D855" s="13">
        <f t="shared" si="2"/>
        <v>0.04</v>
      </c>
      <c r="E855" s="14">
        <f t="shared" si="3"/>
        <v>0.001</v>
      </c>
      <c r="F855" s="6">
        <v>40.97</v>
      </c>
      <c r="G855" s="6">
        <v>40.87</v>
      </c>
      <c r="H855" s="6">
        <v>41.03</v>
      </c>
      <c r="I855" s="9">
        <v>3.9495566E7</v>
      </c>
      <c r="J855" s="6">
        <v>1.62768115978E9</v>
      </c>
    </row>
    <row r="856">
      <c r="A856" s="4" t="s">
        <v>10</v>
      </c>
      <c r="B856" s="5">
        <v>42879.0</v>
      </c>
      <c r="C856" s="6">
        <v>41.14</v>
      </c>
      <c r="D856" s="13">
        <f>+0.16</f>
        <v>0.16</v>
      </c>
      <c r="E856" s="14">
        <f>+0.39%</f>
        <v>0.0039</v>
      </c>
      <c r="F856" s="6">
        <v>40.99</v>
      </c>
      <c r="G856" s="6">
        <v>40.95</v>
      </c>
      <c r="H856" s="6">
        <v>41.21</v>
      </c>
      <c r="I856" s="9">
        <v>4.9380823E7</v>
      </c>
      <c r="J856" s="6">
        <v>2.04110235504E9</v>
      </c>
    </row>
    <row r="857">
      <c r="A857" s="4" t="s">
        <v>10</v>
      </c>
      <c r="B857" s="5">
        <v>42880.0</v>
      </c>
      <c r="C857" s="6">
        <v>41.34</v>
      </c>
      <c r="D857" s="13">
        <f>+0.2</f>
        <v>0.2</v>
      </c>
      <c r="E857" s="14">
        <f>+0.48%</f>
        <v>0.0048</v>
      </c>
      <c r="F857" s="6">
        <v>41.36</v>
      </c>
      <c r="G857" s="6">
        <v>41.26</v>
      </c>
      <c r="H857" s="6">
        <v>41.47</v>
      </c>
      <c r="I857" s="9">
        <v>3.9606853E7</v>
      </c>
      <c r="J857" s="6">
        <v>1.64859234183E9</v>
      </c>
    </row>
    <row r="858">
      <c r="A858" s="4" t="s">
        <v>10</v>
      </c>
      <c r="B858" s="5">
        <v>42881.0</v>
      </c>
      <c r="C858" s="6">
        <v>41.49</v>
      </c>
      <c r="D858" s="13">
        <f>+0.15</f>
        <v>0.15</v>
      </c>
      <c r="E858" s="14">
        <f>+0.36%</f>
        <v>0.0036</v>
      </c>
      <c r="F858" s="6">
        <v>41.42</v>
      </c>
      <c r="G858" s="6">
        <v>41.38</v>
      </c>
      <c r="H858" s="6">
        <v>41.51</v>
      </c>
      <c r="I858" s="9">
        <v>3.1372722E7</v>
      </c>
      <c r="J858" s="6">
        <v>1.30853921822E9</v>
      </c>
    </row>
    <row r="859">
      <c r="A859" s="4" t="s">
        <v>10</v>
      </c>
      <c r="B859" s="5">
        <v>42885.0</v>
      </c>
      <c r="C859" s="6">
        <v>41.27</v>
      </c>
      <c r="D859" s="11">
        <v>-0.22</v>
      </c>
      <c r="E859" s="12">
        <v>-0.0053</v>
      </c>
      <c r="F859" s="6">
        <v>41.26</v>
      </c>
      <c r="G859" s="6">
        <v>41.19</v>
      </c>
      <c r="H859" s="6">
        <v>41.33</v>
      </c>
      <c r="I859" s="9">
        <v>3.5122845E7</v>
      </c>
      <c r="J859" s="6">
        <v>1.45861284598E9</v>
      </c>
    </row>
    <row r="860">
      <c r="A860" s="4" t="s">
        <v>10</v>
      </c>
      <c r="B860" s="5">
        <v>42886.0</v>
      </c>
      <c r="C860" s="6">
        <v>40.95</v>
      </c>
      <c r="D860" s="11">
        <v>-0.32</v>
      </c>
      <c r="E860" s="12">
        <v>-0.0077</v>
      </c>
      <c r="F860" s="6">
        <v>41.15</v>
      </c>
      <c r="G860" s="6">
        <v>40.88</v>
      </c>
      <c r="H860" s="6">
        <v>41.17</v>
      </c>
      <c r="I860" s="9">
        <v>8.015945E7</v>
      </c>
      <c r="J860" s="6">
        <v>3.30290995957E9</v>
      </c>
    </row>
    <row r="861">
      <c r="A861" s="4" t="s">
        <v>10</v>
      </c>
      <c r="B861" s="5">
        <v>42887.0</v>
      </c>
      <c r="C861" s="6">
        <v>41.3</v>
      </c>
      <c r="D861" s="13">
        <f>+0.35</f>
        <v>0.35</v>
      </c>
      <c r="E861" s="14">
        <f>+0.85%</f>
        <v>0.0085</v>
      </c>
      <c r="F861" s="6">
        <v>41.06</v>
      </c>
      <c r="G861" s="6">
        <v>40.96</v>
      </c>
      <c r="H861" s="6">
        <v>41.31</v>
      </c>
      <c r="I861" s="9">
        <v>4.6802081E7</v>
      </c>
      <c r="J861" s="6">
        <v>1.93979397773E9</v>
      </c>
    </row>
    <row r="862">
      <c r="A862" s="4" t="s">
        <v>10</v>
      </c>
      <c r="B862" s="5">
        <v>42888.0</v>
      </c>
      <c r="C862" s="6">
        <v>41.51</v>
      </c>
      <c r="D862" s="13">
        <f>+0.21</f>
        <v>0.21</v>
      </c>
      <c r="E862" s="14">
        <f>+0.51%</f>
        <v>0.0051</v>
      </c>
      <c r="F862" s="6">
        <v>41.45</v>
      </c>
      <c r="G862" s="6">
        <v>41.35</v>
      </c>
      <c r="H862" s="6">
        <v>41.54</v>
      </c>
      <c r="I862" s="9">
        <v>4.3699219E7</v>
      </c>
      <c r="J862" s="6">
        <v>1.82270258029E9</v>
      </c>
    </row>
    <row r="863">
      <c r="A863" s="4" t="s">
        <v>10</v>
      </c>
      <c r="B863" s="5">
        <v>42891.0</v>
      </c>
      <c r="C863" s="6">
        <v>41.46</v>
      </c>
      <c r="D863" s="11">
        <v>-0.05</v>
      </c>
      <c r="E863" s="12">
        <v>-0.0012</v>
      </c>
      <c r="F863" s="6">
        <v>41.5</v>
      </c>
      <c r="G863" s="6">
        <v>41.42</v>
      </c>
      <c r="H863" s="6">
        <v>41.6</v>
      </c>
      <c r="I863" s="9">
        <v>3.9245537E7</v>
      </c>
      <c r="J863" s="6">
        <v>1.63810222129E9</v>
      </c>
    </row>
    <row r="864">
      <c r="A864" s="4" t="s">
        <v>10</v>
      </c>
      <c r="B864" s="5">
        <v>42892.0</v>
      </c>
      <c r="C864" s="6">
        <v>41.48</v>
      </c>
      <c r="D864" s="13">
        <f>+0.02</f>
        <v>0.02</v>
      </c>
      <c r="E864" s="14">
        <f>+0.05%</f>
        <v>0.0005</v>
      </c>
      <c r="F864" s="6">
        <v>41.41</v>
      </c>
      <c r="G864" s="6">
        <v>41.39</v>
      </c>
      <c r="H864" s="6">
        <v>41.57</v>
      </c>
      <c r="I864" s="9">
        <v>3.4184858E7</v>
      </c>
      <c r="J864" s="6">
        <v>1.42625744051E9</v>
      </c>
    </row>
    <row r="865">
      <c r="A865" s="4" t="s">
        <v>10</v>
      </c>
      <c r="B865" s="5">
        <v>42893.0</v>
      </c>
      <c r="C865" s="6">
        <v>41.43</v>
      </c>
      <c r="D865" s="11">
        <v>-0.05</v>
      </c>
      <c r="E865" s="12">
        <v>-0.0012</v>
      </c>
      <c r="F865" s="6">
        <v>41.35</v>
      </c>
      <c r="G865" s="6">
        <v>41.2</v>
      </c>
      <c r="H865" s="6">
        <v>41.51</v>
      </c>
      <c r="I865" s="9">
        <v>3.4745374E7</v>
      </c>
      <c r="J865" s="6">
        <v>1.44598183346E9</v>
      </c>
    </row>
    <row r="866">
      <c r="A866" s="4" t="s">
        <v>10</v>
      </c>
      <c r="B866" s="5">
        <v>42894.0</v>
      </c>
      <c r="C866" s="6">
        <v>41.68</v>
      </c>
      <c r="D866" s="13">
        <f>+0.25</f>
        <v>0.25</v>
      </c>
      <c r="E866" s="14">
        <f>+0.6%</f>
        <v>0.006</v>
      </c>
      <c r="F866" s="6">
        <v>41.71</v>
      </c>
      <c r="G866" s="6">
        <v>41.52</v>
      </c>
      <c r="H866" s="6">
        <v>41.73</v>
      </c>
      <c r="I866" s="9">
        <v>4.8941401E7</v>
      </c>
      <c r="J866" s="6">
        <v>2.05001976091E9</v>
      </c>
    </row>
    <row r="867">
      <c r="A867" s="4" t="s">
        <v>10</v>
      </c>
      <c r="B867" s="5">
        <v>42895.0</v>
      </c>
      <c r="C867" s="6">
        <v>41.36</v>
      </c>
      <c r="D867" s="11">
        <v>-0.32</v>
      </c>
      <c r="E867" s="12">
        <v>-0.0076</v>
      </c>
      <c r="F867" s="6">
        <v>41.71</v>
      </c>
      <c r="G867" s="6">
        <v>41.13</v>
      </c>
      <c r="H867" s="6">
        <v>41.78</v>
      </c>
      <c r="I867" s="9">
        <v>7.3660798E7</v>
      </c>
      <c r="J867" s="6">
        <v>3.07513361358E9</v>
      </c>
    </row>
    <row r="868">
      <c r="A868" s="4" t="s">
        <v>10</v>
      </c>
      <c r="B868" s="5">
        <v>42898.0</v>
      </c>
      <c r="C868" s="6">
        <v>41.14</v>
      </c>
      <c r="D868" s="11">
        <v>-0.22</v>
      </c>
      <c r="E868" s="12">
        <v>-0.0053</v>
      </c>
      <c r="F868" s="6">
        <v>41.12</v>
      </c>
      <c r="G868" s="6">
        <v>40.94</v>
      </c>
      <c r="H868" s="6">
        <v>41.17</v>
      </c>
      <c r="I868" s="9">
        <v>5.2374239E7</v>
      </c>
      <c r="J868" s="6">
        <v>2.16433671569E9</v>
      </c>
    </row>
    <row r="869">
      <c r="A869" s="4" t="s">
        <v>10</v>
      </c>
      <c r="B869" s="5">
        <v>42899.0</v>
      </c>
      <c r="C869" s="6">
        <v>41.34</v>
      </c>
      <c r="D869" s="13">
        <f>+0.2</f>
        <v>0.2</v>
      </c>
      <c r="E869" s="14">
        <f>+0.48%</f>
        <v>0.0048</v>
      </c>
      <c r="F869" s="6">
        <v>41.36</v>
      </c>
      <c r="G869" s="6">
        <v>41.2</v>
      </c>
      <c r="H869" s="6">
        <v>41.39</v>
      </c>
      <c r="I869" s="9">
        <v>3.8327816E7</v>
      </c>
      <c r="J869" s="6">
        <v>1.59305522213E9</v>
      </c>
    </row>
    <row r="870">
      <c r="A870" s="4" t="s">
        <v>10</v>
      </c>
      <c r="B870" s="5">
        <v>42900.0</v>
      </c>
      <c r="C870" s="6">
        <v>41.33</v>
      </c>
      <c r="D870" s="11">
        <v>-0.01</v>
      </c>
      <c r="E870" s="12">
        <v>-2.0E-4</v>
      </c>
      <c r="F870" s="6">
        <v>41.65</v>
      </c>
      <c r="G870" s="6">
        <v>41.19</v>
      </c>
      <c r="H870" s="6">
        <v>41.67</v>
      </c>
      <c r="I870" s="9">
        <v>7.0500377E7</v>
      </c>
      <c r="J870" s="6">
        <v>2.94144146734E9</v>
      </c>
    </row>
    <row r="871">
      <c r="A871" s="4" t="s">
        <v>10</v>
      </c>
      <c r="B871" s="5">
        <v>42901.0</v>
      </c>
      <c r="C871" s="6">
        <v>40.9</v>
      </c>
      <c r="D871" s="11">
        <v>-0.43</v>
      </c>
      <c r="E871" s="12">
        <v>-0.0103</v>
      </c>
      <c r="F871" s="6">
        <v>40.83</v>
      </c>
      <c r="G871" s="6">
        <v>40.65</v>
      </c>
      <c r="H871" s="6">
        <v>40.92</v>
      </c>
      <c r="I871" s="9">
        <v>8.7660693E7</v>
      </c>
      <c r="J871" s="6">
        <v>3.5997662878E9</v>
      </c>
    </row>
    <row r="872">
      <c r="A872" s="4" t="s">
        <v>10</v>
      </c>
      <c r="B872" s="5">
        <v>42902.0</v>
      </c>
      <c r="C872" s="6">
        <v>40.97</v>
      </c>
      <c r="D872" s="13">
        <f>+0.07</f>
        <v>0.07</v>
      </c>
      <c r="E872" s="14">
        <f>+0.17%</f>
        <v>0.0017</v>
      </c>
      <c r="F872" s="6">
        <v>40.99</v>
      </c>
      <c r="G872" s="6">
        <v>40.79</v>
      </c>
      <c r="H872" s="6">
        <v>41.04</v>
      </c>
      <c r="I872" s="9">
        <v>5.3875924E7</v>
      </c>
      <c r="J872" s="6">
        <v>2.2184330215E9</v>
      </c>
    </row>
    <row r="873">
      <c r="A873" s="4" t="s">
        <v>10</v>
      </c>
      <c r="B873" s="5">
        <v>42905.0</v>
      </c>
      <c r="C873" s="6">
        <v>41.38</v>
      </c>
      <c r="D873" s="13">
        <f>+0.41</f>
        <v>0.41</v>
      </c>
      <c r="E873" s="14">
        <f>+0.99%</f>
        <v>0.0099</v>
      </c>
      <c r="F873" s="6">
        <v>41.22</v>
      </c>
      <c r="G873" s="6">
        <v>41.19</v>
      </c>
      <c r="H873" s="6">
        <v>41.45</v>
      </c>
      <c r="I873" s="9">
        <v>6.8181236E7</v>
      </c>
      <c r="J873" s="6">
        <v>2.8383089065E9</v>
      </c>
    </row>
    <row r="874">
      <c r="A874" s="4" t="s">
        <v>10</v>
      </c>
      <c r="B874" s="5">
        <v>42906.0</v>
      </c>
      <c r="C874" s="6">
        <v>40.73</v>
      </c>
      <c r="D874" s="11">
        <v>-0.65</v>
      </c>
      <c r="E874" s="12">
        <v>-0.0156</v>
      </c>
      <c r="F874" s="6">
        <v>41.07</v>
      </c>
      <c r="G874" s="6">
        <v>40.7</v>
      </c>
      <c r="H874" s="6">
        <v>41.08</v>
      </c>
      <c r="I874" s="9">
        <v>7.1371996E7</v>
      </c>
      <c r="J874" s="6">
        <v>2.9321243546E9</v>
      </c>
    </row>
    <row r="875">
      <c r="A875" s="4" t="s">
        <v>10</v>
      </c>
      <c r="B875" s="5">
        <v>42907.0</v>
      </c>
      <c r="C875" s="6">
        <v>40.82</v>
      </c>
      <c r="D875" s="13">
        <f>+0.09</f>
        <v>0.09</v>
      </c>
      <c r="E875" s="14">
        <f>+0.22%</f>
        <v>0.0022</v>
      </c>
      <c r="F875" s="6">
        <v>40.92</v>
      </c>
      <c r="G875" s="6">
        <v>40.75</v>
      </c>
      <c r="H875" s="6">
        <v>41.02</v>
      </c>
      <c r="I875" s="9">
        <v>5.4840399E7</v>
      </c>
      <c r="J875" s="6">
        <v>2.25481384346E9</v>
      </c>
    </row>
    <row r="876">
      <c r="A876" s="4" t="s">
        <v>10</v>
      </c>
      <c r="B876" s="5">
        <v>42908.0</v>
      </c>
      <c r="C876" s="6">
        <v>41.03</v>
      </c>
      <c r="D876" s="13">
        <f>+0.21</f>
        <v>0.21</v>
      </c>
      <c r="E876" s="14">
        <f>+0.51%</f>
        <v>0.0051</v>
      </c>
      <c r="F876" s="6">
        <v>41.04</v>
      </c>
      <c r="G876" s="6">
        <v>40.94</v>
      </c>
      <c r="H876" s="6">
        <v>41.2</v>
      </c>
      <c r="I876" s="9">
        <v>5.0400697E7</v>
      </c>
      <c r="J876" s="6">
        <v>2.08263272058E9</v>
      </c>
    </row>
    <row r="877">
      <c r="A877" s="4" t="s">
        <v>10</v>
      </c>
      <c r="B877" s="5">
        <v>42909.0</v>
      </c>
      <c r="C877" s="6">
        <v>41.25</v>
      </c>
      <c r="D877" s="13">
        <f>+0.22</f>
        <v>0.22</v>
      </c>
      <c r="E877" s="14">
        <f>+0.53%</f>
        <v>0.0053</v>
      </c>
      <c r="F877" s="6">
        <v>41.1</v>
      </c>
      <c r="G877" s="6">
        <v>41.07</v>
      </c>
      <c r="H877" s="6">
        <v>41.33</v>
      </c>
      <c r="I877" s="9">
        <v>4.6141188E7</v>
      </c>
      <c r="J877" s="6">
        <v>1.91366270836E9</v>
      </c>
    </row>
    <row r="878">
      <c r="A878" s="4" t="s">
        <v>10</v>
      </c>
      <c r="B878" s="5">
        <v>42912.0</v>
      </c>
      <c r="C878" s="6">
        <v>41.65</v>
      </c>
      <c r="D878" s="13">
        <f>+0.4</f>
        <v>0.4</v>
      </c>
      <c r="E878" s="14">
        <f>+0.96%</f>
        <v>0.0096</v>
      </c>
      <c r="F878" s="6">
        <v>41.64</v>
      </c>
      <c r="G878" s="6">
        <v>41.51</v>
      </c>
      <c r="H878" s="6">
        <v>41.75</v>
      </c>
      <c r="I878" s="9">
        <v>4.4381003E7</v>
      </c>
      <c r="J878" s="6">
        <v>1.85887060488E9</v>
      </c>
    </row>
    <row r="879">
      <c r="A879" s="4" t="s">
        <v>10</v>
      </c>
      <c r="B879" s="5">
        <v>42913.0</v>
      </c>
      <c r="C879" s="6">
        <v>41.16</v>
      </c>
      <c r="D879" s="11">
        <v>-0.49</v>
      </c>
      <c r="E879" s="12">
        <v>-0.0117</v>
      </c>
      <c r="F879" s="6">
        <v>41.42</v>
      </c>
      <c r="G879" s="6">
        <v>41.15</v>
      </c>
      <c r="H879" s="6">
        <v>41.52</v>
      </c>
      <c r="I879" s="9">
        <v>5.4898417E7</v>
      </c>
      <c r="J879" s="6">
        <v>2.28207712065E9</v>
      </c>
    </row>
    <row r="880">
      <c r="A880" s="4" t="s">
        <v>10</v>
      </c>
      <c r="B880" s="5">
        <v>42914.0</v>
      </c>
      <c r="C880" s="6">
        <v>41.48</v>
      </c>
      <c r="D880" s="13">
        <f>+0.32</f>
        <v>0.32</v>
      </c>
      <c r="E880" s="14">
        <f>+0.77%</f>
        <v>0.0077</v>
      </c>
      <c r="F880" s="6">
        <v>41.28</v>
      </c>
      <c r="G880" s="6">
        <v>41.18</v>
      </c>
      <c r="H880" s="6">
        <v>41.52</v>
      </c>
      <c r="I880" s="9">
        <v>3.3600779E7</v>
      </c>
      <c r="J880" s="6">
        <v>1.39912131461E9</v>
      </c>
    </row>
    <row r="881">
      <c r="A881" s="4" t="s">
        <v>10</v>
      </c>
      <c r="B881" s="5">
        <v>42915.0</v>
      </c>
      <c r="C881" s="6">
        <v>40.95</v>
      </c>
      <c r="D881" s="11">
        <v>-0.53</v>
      </c>
      <c r="E881" s="12">
        <v>-0.0127</v>
      </c>
      <c r="F881" s="6">
        <v>41.28</v>
      </c>
      <c r="G881" s="6">
        <v>40.67</v>
      </c>
      <c r="H881" s="6">
        <v>41.29</v>
      </c>
      <c r="I881" s="9">
        <v>6.6218668E7</v>
      </c>
      <c r="J881" s="6">
        <v>2.73085709888E9</v>
      </c>
    </row>
    <row r="882">
      <c r="A882" s="4" t="s">
        <v>10</v>
      </c>
      <c r="B882" s="5">
        <v>42916.0</v>
      </c>
      <c r="C882" s="6">
        <v>41.14</v>
      </c>
      <c r="D882" s="13">
        <f>+0.19</f>
        <v>0.19</v>
      </c>
      <c r="E882" s="14">
        <f>+0.46%</f>
        <v>0.0046</v>
      </c>
      <c r="F882" s="6">
        <v>41.2</v>
      </c>
      <c r="G882" s="6">
        <v>41.11</v>
      </c>
      <c r="H882" s="6">
        <v>41.32</v>
      </c>
      <c r="I882" s="9">
        <v>7.6054252E7</v>
      </c>
      <c r="J882" s="6">
        <v>3.15233783917E9</v>
      </c>
    </row>
    <row r="883">
      <c r="A883" s="4" t="s">
        <v>10</v>
      </c>
      <c r="B883" s="5">
        <v>42919.0</v>
      </c>
      <c r="C883" s="6">
        <v>41.38</v>
      </c>
      <c r="D883" s="13">
        <f>+0.24</f>
        <v>0.24</v>
      </c>
      <c r="E883" s="14">
        <f>+0.58%</f>
        <v>0.0058</v>
      </c>
      <c r="F883" s="6">
        <v>41.37</v>
      </c>
      <c r="G883" s="6">
        <v>41.29</v>
      </c>
      <c r="H883" s="6">
        <v>41.51</v>
      </c>
      <c r="I883" s="9">
        <v>3.8427043E7</v>
      </c>
      <c r="J883" s="6">
        <v>1.59983616809E9</v>
      </c>
    </row>
    <row r="884">
      <c r="A884" s="4" t="s">
        <v>10</v>
      </c>
      <c r="B884" s="5">
        <v>42921.0</v>
      </c>
      <c r="C884" s="6">
        <v>41.3</v>
      </c>
      <c r="D884" s="11">
        <v>-0.08</v>
      </c>
      <c r="E884" s="12">
        <v>-0.0019</v>
      </c>
      <c r="F884" s="6">
        <v>41.14</v>
      </c>
      <c r="G884" s="6">
        <v>40.94</v>
      </c>
      <c r="H884" s="6">
        <v>41.32</v>
      </c>
      <c r="I884" s="9">
        <v>4.9490955E7</v>
      </c>
      <c r="J884" s="6">
        <v>2.04937610021E9</v>
      </c>
    </row>
    <row r="885">
      <c r="A885" s="4" t="s">
        <v>10</v>
      </c>
      <c r="B885" s="5">
        <v>42922.0</v>
      </c>
      <c r="C885" s="6">
        <v>40.8</v>
      </c>
      <c r="D885" s="11">
        <v>-0.5</v>
      </c>
      <c r="E885" s="12">
        <v>-0.012</v>
      </c>
      <c r="F885" s="6">
        <v>41.0</v>
      </c>
      <c r="G885" s="6">
        <v>40.74</v>
      </c>
      <c r="H885" s="6">
        <v>41.08</v>
      </c>
      <c r="I885" s="9">
        <v>5.0429865E7</v>
      </c>
      <c r="J885" s="6">
        <v>2.07440225762E9</v>
      </c>
    </row>
    <row r="886">
      <c r="A886" s="4" t="s">
        <v>10</v>
      </c>
      <c r="B886" s="5">
        <v>42923.0</v>
      </c>
      <c r="C886" s="6">
        <v>40.88</v>
      </c>
      <c r="D886" s="13">
        <f>+0.08</f>
        <v>0.08</v>
      </c>
      <c r="E886" s="14">
        <f>+0.19%</f>
        <v>0.0019</v>
      </c>
      <c r="F886" s="6">
        <v>40.91</v>
      </c>
      <c r="G886" s="6">
        <v>40.7</v>
      </c>
      <c r="H886" s="6">
        <v>40.98</v>
      </c>
      <c r="I886" s="9">
        <v>6.9254072E7</v>
      </c>
      <c r="J886" s="6">
        <v>2.84686560098E9</v>
      </c>
    </row>
    <row r="887">
      <c r="A887" s="4" t="s">
        <v>10</v>
      </c>
      <c r="B887" s="5">
        <v>42926.0</v>
      </c>
      <c r="C887" s="6">
        <v>41.27</v>
      </c>
      <c r="D887" s="13">
        <f>+0.39</f>
        <v>0.39</v>
      </c>
      <c r="E887" s="14">
        <f>+0.95%</f>
        <v>0.0095</v>
      </c>
      <c r="F887" s="6">
        <v>41.02</v>
      </c>
      <c r="G887" s="6">
        <v>41.0</v>
      </c>
      <c r="H887" s="6">
        <v>41.3</v>
      </c>
      <c r="I887" s="9">
        <v>3.8230806E7</v>
      </c>
      <c r="J887" s="6">
        <v>1.58492435924E9</v>
      </c>
    </row>
    <row r="888">
      <c r="A888" s="4" t="s">
        <v>10</v>
      </c>
      <c r="B888" s="5">
        <v>42927.0</v>
      </c>
      <c r="C888" s="6">
        <v>41.61</v>
      </c>
      <c r="D888" s="13">
        <f>+0.34</f>
        <v>0.34</v>
      </c>
      <c r="E888" s="14">
        <f>+0.82%</f>
        <v>0.0082</v>
      </c>
      <c r="F888" s="6">
        <v>41.49</v>
      </c>
      <c r="G888" s="6">
        <v>41.37</v>
      </c>
      <c r="H888" s="6">
        <v>41.66</v>
      </c>
      <c r="I888" s="9">
        <v>4.1916902E7</v>
      </c>
      <c r="J888" s="6">
        <v>1.75156773638E9</v>
      </c>
    </row>
    <row r="889">
      <c r="A889" s="4" t="s">
        <v>10</v>
      </c>
      <c r="B889" s="5">
        <v>42928.0</v>
      </c>
      <c r="C889" s="6">
        <v>42.41</v>
      </c>
      <c r="D889" s="13">
        <f>+0.81</f>
        <v>0.81</v>
      </c>
      <c r="E889" s="14">
        <f>+1.94%</f>
        <v>0.0194</v>
      </c>
      <c r="F889" s="6">
        <v>42.2</v>
      </c>
      <c r="G889" s="6">
        <v>42.17</v>
      </c>
      <c r="H889" s="6">
        <v>42.5</v>
      </c>
      <c r="I889" s="9">
        <v>8.0106578E7</v>
      </c>
      <c r="J889" s="6">
        <v>3.41256989859E9</v>
      </c>
    </row>
    <row r="890">
      <c r="A890" s="4" t="s">
        <v>10</v>
      </c>
      <c r="B890" s="5">
        <v>42929.0</v>
      </c>
      <c r="C890" s="6">
        <v>42.62</v>
      </c>
      <c r="D890" s="13">
        <f>+0.21</f>
        <v>0.21</v>
      </c>
      <c r="E890" s="14">
        <f>+0.49%</f>
        <v>0.0049</v>
      </c>
      <c r="F890" s="6">
        <v>42.48</v>
      </c>
      <c r="G890" s="6">
        <v>42.44</v>
      </c>
      <c r="H890" s="6">
        <v>42.64</v>
      </c>
      <c r="I890" s="9">
        <v>3.8698844E7</v>
      </c>
      <c r="J890" s="6">
        <v>1.65667183654E9</v>
      </c>
    </row>
    <row r="891">
      <c r="A891" s="4" t="s">
        <v>10</v>
      </c>
      <c r="B891" s="5">
        <v>42930.0</v>
      </c>
      <c r="C891" s="6">
        <v>43.16</v>
      </c>
      <c r="D891" s="13">
        <f>+0.54</f>
        <v>0.54</v>
      </c>
      <c r="E891" s="14">
        <f>+1.26%</f>
        <v>0.0126</v>
      </c>
      <c r="F891" s="6">
        <v>42.91</v>
      </c>
      <c r="G891" s="6">
        <v>42.89</v>
      </c>
      <c r="H891" s="6">
        <v>43.19</v>
      </c>
      <c r="I891" s="9">
        <v>5.1171347E7</v>
      </c>
      <c r="J891" s="6">
        <v>2.21672153502E9</v>
      </c>
    </row>
    <row r="892">
      <c r="A892" s="4" t="s">
        <v>10</v>
      </c>
      <c r="B892" s="5">
        <v>42933.0</v>
      </c>
      <c r="C892" s="6">
        <v>42.96</v>
      </c>
      <c r="D892" s="11">
        <v>-0.2</v>
      </c>
      <c r="E892" s="12">
        <v>-0.0046</v>
      </c>
      <c r="F892" s="6">
        <v>42.99</v>
      </c>
      <c r="G892" s="6">
        <v>42.87</v>
      </c>
      <c r="H892" s="6">
        <v>43.02</v>
      </c>
      <c r="I892" s="9">
        <v>4.4287998E7</v>
      </c>
      <c r="J892" s="6">
        <v>1.91324704523E9</v>
      </c>
    </row>
    <row r="893">
      <c r="A893" s="4" t="s">
        <v>10</v>
      </c>
      <c r="B893" s="5">
        <v>42934.0</v>
      </c>
      <c r="C893" s="6">
        <v>43.09</v>
      </c>
      <c r="D893" s="13">
        <f>+0.13</f>
        <v>0.13</v>
      </c>
      <c r="E893" s="14">
        <f>+0.3%</f>
        <v>0.003</v>
      </c>
      <c r="F893" s="6">
        <v>42.88</v>
      </c>
      <c r="G893" s="6">
        <v>42.82</v>
      </c>
      <c r="H893" s="6">
        <v>43.13</v>
      </c>
      <c r="I893" s="9">
        <v>4.9195463E7</v>
      </c>
      <c r="J893" s="6">
        <v>2.12894364245E9</v>
      </c>
    </row>
    <row r="894">
      <c r="A894" s="4" t="s">
        <v>10</v>
      </c>
      <c r="B894" s="5">
        <v>42935.0</v>
      </c>
      <c r="C894" s="6">
        <v>43.45</v>
      </c>
      <c r="D894" s="13">
        <f>+0.36</f>
        <v>0.36</v>
      </c>
      <c r="E894" s="14">
        <f>+0.83%</f>
        <v>0.0083</v>
      </c>
      <c r="F894" s="6">
        <v>43.49</v>
      </c>
      <c r="G894" s="6">
        <v>43.35</v>
      </c>
      <c r="H894" s="6">
        <v>43.53</v>
      </c>
      <c r="I894" s="9">
        <v>3.7949735E7</v>
      </c>
      <c r="J894" s="6">
        <v>1.65808320343E9</v>
      </c>
    </row>
    <row r="895">
      <c r="A895" s="4" t="s">
        <v>10</v>
      </c>
      <c r="B895" s="5">
        <v>42936.0</v>
      </c>
      <c r="C895" s="6">
        <v>43.4</v>
      </c>
      <c r="D895" s="11">
        <v>-0.05</v>
      </c>
      <c r="E895" s="12">
        <v>-0.0011</v>
      </c>
      <c r="F895" s="6">
        <v>43.48</v>
      </c>
      <c r="G895" s="6">
        <v>43.3</v>
      </c>
      <c r="H895" s="6">
        <v>43.5</v>
      </c>
      <c r="I895" s="9">
        <v>3.5990038E7</v>
      </c>
      <c r="J895" s="6">
        <v>1.57172982333E9</v>
      </c>
    </row>
    <row r="896">
      <c r="A896" s="4" t="s">
        <v>10</v>
      </c>
      <c r="B896" s="5">
        <v>42937.0</v>
      </c>
      <c r="C896" s="6">
        <v>43.37</v>
      </c>
      <c r="D896" s="11">
        <v>-0.03</v>
      </c>
      <c r="E896" s="12">
        <v>-7.0E-4</v>
      </c>
      <c r="F896" s="6">
        <v>43.41</v>
      </c>
      <c r="G896" s="6">
        <v>43.25</v>
      </c>
      <c r="H896" s="6">
        <v>43.42</v>
      </c>
      <c r="I896" s="9">
        <v>3.5835617E7</v>
      </c>
      <c r="J896" s="6">
        <v>1.55602665595E9</v>
      </c>
    </row>
    <row r="897">
      <c r="A897" s="4" t="s">
        <v>10</v>
      </c>
      <c r="B897" s="5">
        <v>42940.0</v>
      </c>
      <c r="C897" s="6">
        <v>43.5</v>
      </c>
      <c r="D897" s="13">
        <f>+0.13</f>
        <v>0.13</v>
      </c>
      <c r="E897" s="14">
        <f>+0.3%</f>
        <v>0.003</v>
      </c>
      <c r="F897" s="6">
        <v>43.55</v>
      </c>
      <c r="G897" s="6">
        <v>43.37</v>
      </c>
      <c r="H897" s="6">
        <v>43.56</v>
      </c>
      <c r="I897" s="9">
        <v>3.7613823E7</v>
      </c>
      <c r="J897" s="6">
        <v>1.64509329146E9</v>
      </c>
    </row>
    <row r="898">
      <c r="A898" s="4" t="s">
        <v>10</v>
      </c>
      <c r="B898" s="5">
        <v>42941.0</v>
      </c>
      <c r="C898" s="6">
        <v>43.39</v>
      </c>
      <c r="D898" s="11">
        <v>-0.11</v>
      </c>
      <c r="E898" s="12">
        <v>-0.0025</v>
      </c>
      <c r="F898" s="6">
        <v>43.55</v>
      </c>
      <c r="G898" s="6">
        <v>43.38</v>
      </c>
      <c r="H898" s="6">
        <v>43.61</v>
      </c>
      <c r="I898" s="9">
        <v>3.7103866E7</v>
      </c>
      <c r="J898" s="6">
        <v>1.62217399289E9</v>
      </c>
    </row>
    <row r="899">
      <c r="A899" s="4" t="s">
        <v>10</v>
      </c>
      <c r="B899" s="5">
        <v>42942.0</v>
      </c>
      <c r="C899" s="6">
        <v>43.75</v>
      </c>
      <c r="D899" s="13">
        <f>+0.36</f>
        <v>0.36</v>
      </c>
      <c r="E899" s="14">
        <f>+0.82%</f>
        <v>0.0082</v>
      </c>
      <c r="F899" s="6">
        <v>43.46</v>
      </c>
      <c r="G899" s="6">
        <v>43.4</v>
      </c>
      <c r="H899" s="6">
        <v>43.8</v>
      </c>
      <c r="I899" s="9">
        <v>4.9001682E7</v>
      </c>
      <c r="J899" s="6">
        <v>2.14891423853E9</v>
      </c>
    </row>
    <row r="900">
      <c r="A900" s="4" t="s">
        <v>10</v>
      </c>
      <c r="B900" s="5">
        <v>42943.0</v>
      </c>
      <c r="C900" s="6">
        <v>43.51</v>
      </c>
      <c r="D900" s="11">
        <v>-0.24</v>
      </c>
      <c r="E900" s="12">
        <v>-0.0055</v>
      </c>
      <c r="F900" s="6">
        <v>43.88</v>
      </c>
      <c r="G900" s="6">
        <v>43.2</v>
      </c>
      <c r="H900" s="6">
        <v>43.9</v>
      </c>
      <c r="I900" s="9">
        <v>6.1916493E7</v>
      </c>
      <c r="J900" s="6">
        <v>2.71228304469E9</v>
      </c>
    </row>
    <row r="901">
      <c r="A901" s="4" t="s">
        <v>10</v>
      </c>
      <c r="B901" s="5">
        <v>42944.0</v>
      </c>
      <c r="C901" s="6">
        <v>43.49</v>
      </c>
      <c r="D901" s="11">
        <v>-0.02</v>
      </c>
      <c r="E901" s="12">
        <v>-5.0E-4</v>
      </c>
      <c r="F901" s="6">
        <v>43.35</v>
      </c>
      <c r="G901" s="6">
        <v>43.23</v>
      </c>
      <c r="H901" s="6">
        <v>43.5</v>
      </c>
      <c r="I901" s="9">
        <v>4.6072612E7</v>
      </c>
      <c r="J901" s="6">
        <v>2.01230826358E9</v>
      </c>
    </row>
    <row r="902">
      <c r="A902" s="4" t="s">
        <v>10</v>
      </c>
      <c r="B902" s="5">
        <v>42947.0</v>
      </c>
      <c r="C902" s="6">
        <v>43.54</v>
      </c>
      <c r="D902" s="13">
        <f>+0.05</f>
        <v>0.05</v>
      </c>
      <c r="E902" s="14">
        <f>+0.11%</f>
        <v>0.0011</v>
      </c>
      <c r="F902" s="6">
        <v>43.58</v>
      </c>
      <c r="G902" s="6">
        <v>43.42</v>
      </c>
      <c r="H902" s="6">
        <v>43.58</v>
      </c>
      <c r="I902" s="9">
        <v>6.0833459E7</v>
      </c>
      <c r="J902" s="6">
        <v>2.6620480001E9</v>
      </c>
    </row>
    <row r="903">
      <c r="A903" s="4" t="s">
        <v>10</v>
      </c>
      <c r="B903" s="5">
        <v>42948.0</v>
      </c>
      <c r="C903" s="6">
        <v>43.67</v>
      </c>
      <c r="D903" s="13">
        <f>+0.13</f>
        <v>0.13</v>
      </c>
      <c r="E903" s="14">
        <f>+0.3%</f>
        <v>0.003</v>
      </c>
      <c r="F903" s="6">
        <v>43.74</v>
      </c>
      <c r="G903" s="6">
        <v>43.62</v>
      </c>
      <c r="H903" s="6">
        <v>43.77</v>
      </c>
      <c r="I903" s="9">
        <v>3.7138383E7</v>
      </c>
      <c r="J903" s="6">
        <v>1.63251220889E9</v>
      </c>
    </row>
    <row r="904">
      <c r="A904" s="4" t="s">
        <v>10</v>
      </c>
      <c r="B904" s="5">
        <v>42949.0</v>
      </c>
      <c r="C904" s="6">
        <v>43.71</v>
      </c>
      <c r="D904" s="13">
        <f>+0.04</f>
        <v>0.04</v>
      </c>
      <c r="E904" s="14">
        <f>+0.09%</f>
        <v>0.0009</v>
      </c>
      <c r="F904" s="6">
        <v>43.75</v>
      </c>
      <c r="G904" s="6">
        <v>43.48</v>
      </c>
      <c r="H904" s="6">
        <v>43.79</v>
      </c>
      <c r="I904" s="9">
        <v>2.9234825E7</v>
      </c>
      <c r="J904" s="6">
        <v>1.28380945842E9</v>
      </c>
    </row>
    <row r="905">
      <c r="A905" s="4" t="s">
        <v>10</v>
      </c>
      <c r="B905" s="5">
        <v>42950.0</v>
      </c>
      <c r="C905" s="6">
        <v>43.53</v>
      </c>
      <c r="D905" s="11">
        <v>-0.18</v>
      </c>
      <c r="E905" s="12">
        <v>-0.0041</v>
      </c>
      <c r="F905" s="6">
        <v>43.5</v>
      </c>
      <c r="G905" s="6">
        <v>43.31</v>
      </c>
      <c r="H905" s="6">
        <v>43.53</v>
      </c>
      <c r="I905" s="9">
        <v>4.5351448E7</v>
      </c>
      <c r="J905" s="6">
        <v>1.98310866345E9</v>
      </c>
    </row>
    <row r="906">
      <c r="A906" s="4" t="s">
        <v>10</v>
      </c>
      <c r="B906" s="5">
        <v>42951.0</v>
      </c>
      <c r="C906" s="6">
        <v>43.69</v>
      </c>
      <c r="D906" s="13">
        <f>+0.16</f>
        <v>0.16</v>
      </c>
      <c r="E906" s="14">
        <f>+0.37%</f>
        <v>0.0037</v>
      </c>
      <c r="F906" s="6">
        <v>43.63</v>
      </c>
      <c r="G906" s="6">
        <v>43.43</v>
      </c>
      <c r="H906" s="6">
        <v>43.72</v>
      </c>
      <c r="I906" s="9">
        <v>4.8442698E7</v>
      </c>
      <c r="J906" s="6">
        <v>2.12484010659E9</v>
      </c>
    </row>
    <row r="907">
      <c r="A907" s="4" t="s">
        <v>10</v>
      </c>
      <c r="B907" s="5">
        <v>42954.0</v>
      </c>
      <c r="C907" s="6">
        <v>43.98</v>
      </c>
      <c r="D907" s="13">
        <f>+0.3</f>
        <v>0.3</v>
      </c>
      <c r="E907" s="14">
        <f>+0.68%</f>
        <v>0.0068</v>
      </c>
      <c r="F907" s="6">
        <v>43.85</v>
      </c>
      <c r="G907" s="6">
        <v>43.82</v>
      </c>
      <c r="H907" s="6">
        <v>44.01</v>
      </c>
      <c r="I907" s="9">
        <v>2.3791111E7</v>
      </c>
      <c r="J907" s="6">
        <v>1.0518435247E9</v>
      </c>
    </row>
    <row r="908">
      <c r="A908" s="4" t="s">
        <v>10</v>
      </c>
      <c r="B908" s="5">
        <v>42955.0</v>
      </c>
      <c r="C908" s="6">
        <v>43.99</v>
      </c>
      <c r="D908" s="13">
        <f>+0.01</f>
        <v>0.01</v>
      </c>
      <c r="E908" s="14">
        <f>+0.02%</f>
        <v>0.0002</v>
      </c>
      <c r="F908" s="6">
        <v>44.1</v>
      </c>
      <c r="G908" s="6">
        <v>43.93</v>
      </c>
      <c r="H908" s="6">
        <v>44.31</v>
      </c>
      <c r="I908" s="9">
        <v>3.3793653E7</v>
      </c>
      <c r="J908" s="6">
        <v>1.49955241284E9</v>
      </c>
    </row>
    <row r="909">
      <c r="A909" s="4" t="s">
        <v>10</v>
      </c>
      <c r="B909" s="5">
        <v>42956.0</v>
      </c>
      <c r="C909" s="6">
        <v>43.6</v>
      </c>
      <c r="D909" s="11">
        <v>-0.4</v>
      </c>
      <c r="E909" s="12">
        <v>-0.009</v>
      </c>
      <c r="F909" s="6">
        <v>43.49</v>
      </c>
      <c r="G909" s="6">
        <v>43.36</v>
      </c>
      <c r="H909" s="6">
        <v>43.63</v>
      </c>
      <c r="I909" s="9">
        <v>2.9007399E7</v>
      </c>
      <c r="J909" s="6">
        <v>1.27040793321E9</v>
      </c>
    </row>
    <row r="910">
      <c r="A910" s="4" t="s">
        <v>10</v>
      </c>
      <c r="B910" s="5">
        <v>42957.0</v>
      </c>
      <c r="C910" s="6">
        <v>42.56</v>
      </c>
      <c r="D910" s="11">
        <v>-1.03</v>
      </c>
      <c r="E910" s="12">
        <v>-0.0237</v>
      </c>
      <c r="F910" s="6">
        <v>43.23</v>
      </c>
      <c r="G910" s="6">
        <v>42.54</v>
      </c>
      <c r="H910" s="6">
        <v>43.24</v>
      </c>
      <c r="I910" s="9">
        <v>1.04326525E8</v>
      </c>
      <c r="J910" s="6">
        <v>4.49476394006E9</v>
      </c>
    </row>
    <row r="911">
      <c r="A911" s="4" t="s">
        <v>10</v>
      </c>
      <c r="B911" s="5">
        <v>42958.0</v>
      </c>
      <c r="C911" s="6">
        <v>42.66</v>
      </c>
      <c r="D911" s="13">
        <f>+0.1</f>
        <v>0.1</v>
      </c>
      <c r="E911" s="14">
        <f>+0.23%</f>
        <v>0.0023</v>
      </c>
      <c r="F911" s="6">
        <v>42.61</v>
      </c>
      <c r="G911" s="6">
        <v>42.46</v>
      </c>
      <c r="H911" s="6">
        <v>42.84</v>
      </c>
      <c r="I911" s="9">
        <v>5.2964604E7</v>
      </c>
      <c r="J911" s="6">
        <v>2.27325676453E9</v>
      </c>
    </row>
    <row r="912">
      <c r="A912" s="4" t="s">
        <v>10</v>
      </c>
      <c r="B912" s="5">
        <v>42961.0</v>
      </c>
      <c r="C912" s="6">
        <v>43.1</v>
      </c>
      <c r="D912" s="13">
        <f>+0.44</f>
        <v>0.44</v>
      </c>
      <c r="E912" s="14">
        <f>+1.03%</f>
        <v>0.0103</v>
      </c>
      <c r="F912" s="6">
        <v>43.13</v>
      </c>
      <c r="G912" s="6">
        <v>43.05</v>
      </c>
      <c r="H912" s="6">
        <v>43.31</v>
      </c>
      <c r="I912" s="9">
        <v>3.7340393E7</v>
      </c>
      <c r="J912" s="6">
        <v>1.62148809981E9</v>
      </c>
    </row>
    <row r="913">
      <c r="A913" s="4" t="s">
        <v>10</v>
      </c>
      <c r="B913" s="5">
        <v>42962.0</v>
      </c>
      <c r="C913" s="6">
        <v>43.15</v>
      </c>
      <c r="D913" s="13">
        <f>+0.05</f>
        <v>0.05</v>
      </c>
      <c r="E913" s="14">
        <f>+0.12%</f>
        <v>0.0012</v>
      </c>
      <c r="F913" s="6">
        <v>43.07</v>
      </c>
      <c r="G913" s="6">
        <v>42.98</v>
      </c>
      <c r="H913" s="6">
        <v>43.18</v>
      </c>
      <c r="I913" s="9">
        <v>2.9467848E7</v>
      </c>
      <c r="J913" s="6">
        <v>1.27748967386E9</v>
      </c>
    </row>
    <row r="914">
      <c r="A914" s="4" t="s">
        <v>10</v>
      </c>
      <c r="B914" s="5">
        <v>42963.0</v>
      </c>
      <c r="C914" s="6">
        <v>43.6</v>
      </c>
      <c r="D914" s="13">
        <f>+0.45</f>
        <v>0.45</v>
      </c>
      <c r="E914" s="14">
        <f>+1.04%</f>
        <v>0.0104</v>
      </c>
      <c r="F914" s="6">
        <v>43.51</v>
      </c>
      <c r="G914" s="6">
        <v>43.44</v>
      </c>
      <c r="H914" s="6">
        <v>43.63</v>
      </c>
      <c r="I914" s="9">
        <v>4.3356256E7</v>
      </c>
      <c r="J914" s="6">
        <v>1.8994955549E9</v>
      </c>
    </row>
    <row r="915">
      <c r="A915" s="4" t="s">
        <v>10</v>
      </c>
      <c r="B915" s="5">
        <v>42964.0</v>
      </c>
      <c r="C915" s="6">
        <v>43.04</v>
      </c>
      <c r="D915" s="11">
        <v>-0.56</v>
      </c>
      <c r="E915" s="12">
        <v>-0.0128</v>
      </c>
      <c r="F915" s="6">
        <v>43.5</v>
      </c>
      <c r="G915" s="6">
        <v>42.98</v>
      </c>
      <c r="H915" s="6">
        <v>43.57</v>
      </c>
      <c r="I915" s="9">
        <v>6.5838559E7</v>
      </c>
      <c r="J915" s="6">
        <v>2.86499868721E9</v>
      </c>
    </row>
    <row r="916">
      <c r="A916" s="4" t="s">
        <v>10</v>
      </c>
      <c r="B916" s="5">
        <v>42965.0</v>
      </c>
      <c r="C916" s="6">
        <v>43.41</v>
      </c>
      <c r="D916" s="13">
        <f>+0.37</f>
        <v>0.37</v>
      </c>
      <c r="E916" s="14">
        <f>+0.85%</f>
        <v>0.0085</v>
      </c>
      <c r="F916" s="6">
        <v>43.21</v>
      </c>
      <c r="G916" s="6">
        <v>43.03</v>
      </c>
      <c r="H916" s="6">
        <v>43.59</v>
      </c>
      <c r="I916" s="9">
        <v>6.7014448E7</v>
      </c>
      <c r="J916" s="6">
        <v>2.92087378618E9</v>
      </c>
    </row>
    <row r="917">
      <c r="A917" s="4" t="s">
        <v>10</v>
      </c>
      <c r="B917" s="5">
        <v>42968.0</v>
      </c>
      <c r="C917" s="6">
        <v>43.57</v>
      </c>
      <c r="D917" s="13">
        <f>+0.16</f>
        <v>0.16</v>
      </c>
      <c r="E917" s="14">
        <f>+0.37%</f>
        <v>0.0037</v>
      </c>
      <c r="F917" s="6">
        <v>43.51</v>
      </c>
      <c r="G917" s="6">
        <v>43.41</v>
      </c>
      <c r="H917" s="6">
        <v>43.66</v>
      </c>
      <c r="I917" s="9">
        <v>2.7756393E7</v>
      </c>
      <c r="J917" s="6">
        <v>1.21576777661E9</v>
      </c>
    </row>
    <row r="918">
      <c r="A918" s="4" t="s">
        <v>10</v>
      </c>
      <c r="B918" s="5">
        <v>42969.0</v>
      </c>
      <c r="C918" s="6">
        <v>44.05</v>
      </c>
      <c r="D918" s="13">
        <f>+0.49</f>
        <v>0.49</v>
      </c>
      <c r="E918" s="14">
        <f>+1.12%</f>
        <v>0.0112</v>
      </c>
      <c r="F918" s="6">
        <v>43.88</v>
      </c>
      <c r="G918" s="6">
        <v>43.84</v>
      </c>
      <c r="H918" s="6">
        <v>44.11</v>
      </c>
      <c r="I918" s="9">
        <v>3.0935801E7</v>
      </c>
      <c r="J918" s="6">
        <v>1.37006596057E9</v>
      </c>
    </row>
    <row r="919">
      <c r="A919" s="4" t="s">
        <v>10</v>
      </c>
      <c r="B919" s="5">
        <v>42970.0</v>
      </c>
      <c r="C919" s="6">
        <v>44.26</v>
      </c>
      <c r="D919" s="13">
        <f>+0.21</f>
        <v>0.21</v>
      </c>
      <c r="E919" s="14">
        <f>+0.47%</f>
        <v>0.0047</v>
      </c>
      <c r="F919" s="6">
        <v>43.97</v>
      </c>
      <c r="G919" s="6">
        <v>43.94</v>
      </c>
      <c r="H919" s="6">
        <v>44.3</v>
      </c>
      <c r="I919" s="9">
        <v>4.8383894E7</v>
      </c>
      <c r="J919" s="6">
        <v>2.15121555998E9</v>
      </c>
    </row>
    <row r="920">
      <c r="A920" s="4" t="s">
        <v>10</v>
      </c>
      <c r="B920" s="5">
        <v>42971.0</v>
      </c>
      <c r="C920" s="6">
        <v>44.4</v>
      </c>
      <c r="D920" s="13">
        <f>+0.14</f>
        <v>0.14</v>
      </c>
      <c r="E920" s="14">
        <f>+0.31%</f>
        <v>0.0031</v>
      </c>
      <c r="F920" s="6">
        <v>44.46</v>
      </c>
      <c r="G920" s="6">
        <v>44.26</v>
      </c>
      <c r="H920" s="6">
        <v>44.5</v>
      </c>
      <c r="I920" s="9">
        <v>5.2141747E7</v>
      </c>
      <c r="J920" s="6">
        <v>2.3289507899E9</v>
      </c>
    </row>
    <row r="921">
      <c r="A921" s="4" t="s">
        <v>10</v>
      </c>
      <c r="B921" s="5">
        <v>42972.0</v>
      </c>
      <c r="C921" s="6">
        <v>44.66</v>
      </c>
      <c r="D921" s="13">
        <f>+0.26</f>
        <v>0.26</v>
      </c>
      <c r="E921" s="14">
        <f>+0.58%</f>
        <v>0.0058</v>
      </c>
      <c r="F921" s="6">
        <v>44.65</v>
      </c>
      <c r="G921" s="6">
        <v>44.57</v>
      </c>
      <c r="H921" s="6">
        <v>44.8</v>
      </c>
      <c r="I921" s="9">
        <v>5.5530902E7</v>
      </c>
      <c r="J921" s="6">
        <v>2.49483483956E9</v>
      </c>
    </row>
    <row r="922">
      <c r="A922" s="4" t="s">
        <v>10</v>
      </c>
      <c r="B922" s="5">
        <v>42975.0</v>
      </c>
      <c r="C922" s="6">
        <v>44.5</v>
      </c>
      <c r="D922" s="11">
        <v>-0.16</v>
      </c>
      <c r="E922" s="12">
        <v>-0.0036</v>
      </c>
      <c r="F922" s="6">
        <v>44.64</v>
      </c>
      <c r="G922" s="6">
        <v>44.41</v>
      </c>
      <c r="H922" s="6">
        <v>44.64</v>
      </c>
      <c r="I922" s="9">
        <v>3.7424881E7</v>
      </c>
      <c r="J922" s="6">
        <v>1.67468664043E9</v>
      </c>
    </row>
    <row r="923">
      <c r="A923" s="4" t="s">
        <v>10</v>
      </c>
      <c r="B923" s="5">
        <v>42976.0</v>
      </c>
      <c r="C923" s="6">
        <v>44.42</v>
      </c>
      <c r="D923" s="11">
        <v>-0.08</v>
      </c>
      <c r="E923" s="12">
        <v>-0.0018</v>
      </c>
      <c r="F923" s="6">
        <v>44.06</v>
      </c>
      <c r="G923" s="6">
        <v>43.99</v>
      </c>
      <c r="H923" s="6">
        <v>44.43</v>
      </c>
      <c r="I923" s="9">
        <v>4.5507824E7</v>
      </c>
      <c r="J923" s="6">
        <v>2.02835640153E9</v>
      </c>
    </row>
    <row r="924">
      <c r="A924" s="4" t="s">
        <v>10</v>
      </c>
      <c r="B924" s="5">
        <v>42977.0</v>
      </c>
      <c r="C924" s="6">
        <v>44.49</v>
      </c>
      <c r="D924" s="13">
        <f t="shared" ref="D924:D925" si="4">+0.07</f>
        <v>0.07</v>
      </c>
      <c r="E924" s="14">
        <f t="shared" ref="E924:E925" si="5">+0.16%</f>
        <v>0.0016</v>
      </c>
      <c r="F924" s="6">
        <v>44.36</v>
      </c>
      <c r="G924" s="6">
        <v>44.33</v>
      </c>
      <c r="H924" s="6">
        <v>44.52</v>
      </c>
      <c r="I924" s="9">
        <v>4.6687557E7</v>
      </c>
      <c r="J924" s="6">
        <v>2.08782306681E9</v>
      </c>
    </row>
    <row r="925">
      <c r="A925" s="4" t="s">
        <v>10</v>
      </c>
      <c r="B925" s="5">
        <v>42978.0</v>
      </c>
      <c r="C925" s="6">
        <v>44.56</v>
      </c>
      <c r="D925" s="13">
        <f t="shared" si="4"/>
        <v>0.07</v>
      </c>
      <c r="E925" s="14">
        <f t="shared" si="5"/>
        <v>0.0016</v>
      </c>
      <c r="F925" s="6">
        <v>44.5</v>
      </c>
      <c r="G925" s="6">
        <v>44.45</v>
      </c>
      <c r="H925" s="6">
        <v>44.66</v>
      </c>
      <c r="I925" s="9">
        <v>6.2118318E7</v>
      </c>
      <c r="J925" s="6">
        <v>2.78421157548E9</v>
      </c>
    </row>
    <row r="926">
      <c r="A926" s="4" t="s">
        <v>10</v>
      </c>
      <c r="B926" s="5">
        <v>42979.0</v>
      </c>
      <c r="C926" s="6">
        <v>44.89</v>
      </c>
      <c r="D926" s="13">
        <f>+0.33</f>
        <v>0.33</v>
      </c>
      <c r="E926" s="14">
        <f>+0.74%</f>
        <v>0.0074</v>
      </c>
      <c r="F926" s="6">
        <v>44.74</v>
      </c>
      <c r="G926" s="6">
        <v>44.68</v>
      </c>
      <c r="H926" s="6">
        <v>44.91</v>
      </c>
      <c r="I926" s="9">
        <v>5.5195523E7</v>
      </c>
      <c r="J926" s="6">
        <v>2.48962247681E9</v>
      </c>
    </row>
    <row r="927">
      <c r="A927" s="4" t="s">
        <v>10</v>
      </c>
      <c r="B927" s="5">
        <v>42983.0</v>
      </c>
      <c r="C927" s="6">
        <v>44.3</v>
      </c>
      <c r="D927" s="11">
        <v>-0.59</v>
      </c>
      <c r="E927" s="12">
        <v>-0.0131</v>
      </c>
      <c r="F927" s="6">
        <v>44.54</v>
      </c>
      <c r="G927" s="6">
        <v>44.07</v>
      </c>
      <c r="H927" s="6">
        <v>44.63</v>
      </c>
      <c r="I927" s="9">
        <v>4.9130465E7</v>
      </c>
      <c r="J927" s="6">
        <v>2.19246306844E9</v>
      </c>
    </row>
    <row r="928">
      <c r="A928" s="4" t="s">
        <v>10</v>
      </c>
      <c r="B928" s="5">
        <v>42984.0</v>
      </c>
      <c r="C928" s="6">
        <v>44.59</v>
      </c>
      <c r="D928" s="13">
        <f>+0.29</f>
        <v>0.29</v>
      </c>
      <c r="E928" s="14">
        <f>+0.65%</f>
        <v>0.0065</v>
      </c>
      <c r="F928" s="6">
        <v>44.47</v>
      </c>
      <c r="G928" s="6">
        <v>44.4</v>
      </c>
      <c r="H928" s="6">
        <v>44.64</v>
      </c>
      <c r="I928" s="9">
        <v>4.4733777E7</v>
      </c>
      <c r="J928" s="6">
        <v>2.00440015063E9</v>
      </c>
    </row>
    <row r="929">
      <c r="A929" s="4" t="s">
        <v>10</v>
      </c>
      <c r="B929" s="5">
        <v>42985.0</v>
      </c>
      <c r="C929" s="6">
        <v>44.92</v>
      </c>
      <c r="D929" s="13">
        <f>+0.33</f>
        <v>0.33</v>
      </c>
      <c r="E929" s="14">
        <f>+0.74%</f>
        <v>0.0074</v>
      </c>
      <c r="F929" s="6">
        <v>44.81</v>
      </c>
      <c r="G929" s="6">
        <v>44.75</v>
      </c>
      <c r="H929" s="6">
        <v>44.92</v>
      </c>
      <c r="I929" s="9">
        <v>3.9114326E7</v>
      </c>
      <c r="J929" s="6">
        <v>1.76548934366E9</v>
      </c>
    </row>
    <row r="930">
      <c r="A930" s="4" t="s">
        <v>10</v>
      </c>
      <c r="B930" s="5">
        <v>42986.0</v>
      </c>
      <c r="C930" s="6">
        <v>44.62</v>
      </c>
      <c r="D930" s="11">
        <v>-0.3</v>
      </c>
      <c r="E930" s="12">
        <v>-0.0066</v>
      </c>
      <c r="F930" s="6">
        <v>44.85</v>
      </c>
      <c r="G930" s="6">
        <v>44.54</v>
      </c>
      <c r="H930" s="6">
        <v>44.85</v>
      </c>
      <c r="I930" s="9">
        <v>4.1973566E7</v>
      </c>
      <c r="J930" s="6">
        <v>1.8851693378E9</v>
      </c>
    </row>
    <row r="931">
      <c r="A931" s="4" t="s">
        <v>10</v>
      </c>
      <c r="B931" s="5">
        <v>42989.0</v>
      </c>
      <c r="C931" s="6">
        <v>45.22</v>
      </c>
      <c r="D931" s="13">
        <f>+0.6</f>
        <v>0.6</v>
      </c>
      <c r="E931" s="14">
        <f>+1.34%</f>
        <v>0.0134</v>
      </c>
      <c r="F931" s="6">
        <v>44.99</v>
      </c>
      <c r="G931" s="6">
        <v>44.98</v>
      </c>
      <c r="H931" s="6">
        <v>45.25</v>
      </c>
      <c r="I931" s="9">
        <v>4.5287788E7</v>
      </c>
      <c r="J931" s="6">
        <v>2.0570800135E9</v>
      </c>
    </row>
    <row r="932">
      <c r="A932" s="4" t="s">
        <v>10</v>
      </c>
      <c r="B932" s="5">
        <v>42990.0</v>
      </c>
      <c r="C932" s="6">
        <v>45.17</v>
      </c>
      <c r="D932" s="11">
        <v>-0.05</v>
      </c>
      <c r="E932" s="12">
        <v>-0.0011</v>
      </c>
      <c r="F932" s="6">
        <v>45.13</v>
      </c>
      <c r="G932" s="6">
        <v>45.1</v>
      </c>
      <c r="H932" s="6">
        <v>45.26</v>
      </c>
      <c r="I932" s="9">
        <v>4.9495033E7</v>
      </c>
      <c r="J932" s="6">
        <v>2.24914607289E9</v>
      </c>
    </row>
    <row r="933">
      <c r="A933" s="4" t="s">
        <v>10</v>
      </c>
      <c r="B933" s="5">
        <v>42991.0</v>
      </c>
      <c r="C933" s="6">
        <v>44.93</v>
      </c>
      <c r="D933" s="11">
        <v>-0.24</v>
      </c>
      <c r="E933" s="12">
        <v>-0.0053</v>
      </c>
      <c r="F933" s="6">
        <v>44.99</v>
      </c>
      <c r="G933" s="6">
        <v>44.83</v>
      </c>
      <c r="H933" s="6">
        <v>45.06</v>
      </c>
      <c r="I933" s="9">
        <v>5.4758749E7</v>
      </c>
      <c r="J933" s="6">
        <v>2.47617854437E9</v>
      </c>
    </row>
    <row r="934">
      <c r="A934" s="4" t="s">
        <v>10</v>
      </c>
      <c r="B934" s="5">
        <v>42992.0</v>
      </c>
      <c r="C934" s="6">
        <v>45.05</v>
      </c>
      <c r="D934" s="13">
        <f>+0.12</f>
        <v>0.12</v>
      </c>
      <c r="E934" s="14">
        <f>+0.27%</f>
        <v>0.0027</v>
      </c>
      <c r="F934" s="6">
        <v>44.82</v>
      </c>
      <c r="G934" s="6">
        <v>44.78</v>
      </c>
      <c r="H934" s="6">
        <v>45.06</v>
      </c>
      <c r="I934" s="9">
        <v>3.6057923E7</v>
      </c>
      <c r="J934" s="6">
        <v>1.63171879329E9</v>
      </c>
    </row>
    <row r="935">
      <c r="A935" s="4" t="s">
        <v>10</v>
      </c>
      <c r="B935" s="5">
        <v>42993.0</v>
      </c>
      <c r="C935" s="6">
        <v>45.32</v>
      </c>
      <c r="D935" s="13">
        <f>+0.27</f>
        <v>0.27</v>
      </c>
      <c r="E935" s="14">
        <f>+0.6%</f>
        <v>0.006</v>
      </c>
      <c r="F935" s="6">
        <v>45.13</v>
      </c>
      <c r="G935" s="6">
        <v>45.04</v>
      </c>
      <c r="H935" s="6">
        <v>45.38</v>
      </c>
      <c r="I935" s="9">
        <v>4.781632E7</v>
      </c>
      <c r="J935" s="6">
        <v>2.17659205555E9</v>
      </c>
    </row>
    <row r="936">
      <c r="A936" s="4" t="s">
        <v>10</v>
      </c>
      <c r="B936" s="5">
        <v>42996.0</v>
      </c>
      <c r="C936" s="6">
        <v>45.48</v>
      </c>
      <c r="D936" s="13">
        <f>+0.16</f>
        <v>0.16</v>
      </c>
      <c r="E936" s="14">
        <f>+0.35%</f>
        <v>0.0035</v>
      </c>
      <c r="F936" s="6">
        <v>45.6</v>
      </c>
      <c r="G936" s="6">
        <v>45.41</v>
      </c>
      <c r="H936" s="6">
        <v>45.68</v>
      </c>
      <c r="I936" s="9">
        <v>3.7633357E7</v>
      </c>
      <c r="J936" s="6">
        <v>1.72360403024E9</v>
      </c>
    </row>
    <row r="937">
      <c r="A937" s="4" t="s">
        <v>10</v>
      </c>
      <c r="B937" s="5">
        <v>42997.0</v>
      </c>
      <c r="C937" s="6">
        <v>45.58</v>
      </c>
      <c r="D937" s="13">
        <f>+0.1</f>
        <v>0.1</v>
      </c>
      <c r="E937" s="14">
        <f>+0.22%</f>
        <v>0.0022</v>
      </c>
      <c r="F937" s="6">
        <v>45.5</v>
      </c>
      <c r="G937" s="6">
        <v>45.37</v>
      </c>
      <c r="H937" s="6">
        <v>45.59</v>
      </c>
      <c r="I937" s="9">
        <v>6.3740997E7</v>
      </c>
      <c r="J937" s="6">
        <v>2.91670083936E9</v>
      </c>
    </row>
    <row r="938">
      <c r="A938" s="4" t="s">
        <v>10</v>
      </c>
      <c r="B938" s="5">
        <v>42998.0</v>
      </c>
      <c r="C938" s="6">
        <v>45.37</v>
      </c>
      <c r="D938" s="11">
        <v>-0.21</v>
      </c>
      <c r="E938" s="12">
        <v>-0.0046</v>
      </c>
      <c r="F938" s="6">
        <v>45.59</v>
      </c>
      <c r="G938" s="6">
        <v>44.94</v>
      </c>
      <c r="H938" s="6">
        <v>45.66</v>
      </c>
      <c r="I938" s="9">
        <v>7.8810018E7</v>
      </c>
      <c r="J938" s="6">
        <v>3.59381404472E9</v>
      </c>
    </row>
    <row r="939">
      <c r="A939" s="4" t="s">
        <v>10</v>
      </c>
      <c r="B939" s="5">
        <v>42999.0</v>
      </c>
      <c r="C939" s="6">
        <v>45.37</v>
      </c>
      <c r="D939" s="11">
        <v>0.0</v>
      </c>
      <c r="E939" s="12">
        <v>0.0</v>
      </c>
      <c r="F939" s="6">
        <v>45.5</v>
      </c>
      <c r="G939" s="6">
        <v>45.27</v>
      </c>
      <c r="H939" s="6">
        <v>45.52</v>
      </c>
      <c r="I939" s="9">
        <v>3.2668245E7</v>
      </c>
      <c r="J939" s="6">
        <v>1.49240195682E9</v>
      </c>
    </row>
    <row r="940">
      <c r="A940" s="4" t="s">
        <v>10</v>
      </c>
      <c r="B940" s="5">
        <v>43000.0</v>
      </c>
      <c r="C940" s="6">
        <v>45.11</v>
      </c>
      <c r="D940" s="11">
        <v>-0.26</v>
      </c>
      <c r="E940" s="12">
        <v>-0.0057</v>
      </c>
      <c r="F940" s="6">
        <v>45.12</v>
      </c>
      <c r="G940" s="6">
        <v>45.04</v>
      </c>
      <c r="H940" s="6">
        <v>45.2</v>
      </c>
      <c r="I940" s="9">
        <v>3.926428E7</v>
      </c>
      <c r="J940" s="6">
        <v>1.78230461285E9</v>
      </c>
    </row>
    <row r="941">
      <c r="A941" s="4" t="s">
        <v>10</v>
      </c>
      <c r="B941" s="5">
        <v>43003.0</v>
      </c>
      <c r="C941" s="6">
        <v>44.34</v>
      </c>
      <c r="D941" s="11">
        <v>-0.77</v>
      </c>
      <c r="E941" s="12">
        <v>-0.017</v>
      </c>
      <c r="F941" s="6">
        <v>44.73</v>
      </c>
      <c r="G941" s="6">
        <v>44.17</v>
      </c>
      <c r="H941" s="6">
        <v>44.73</v>
      </c>
      <c r="I941" s="9">
        <v>8.5660578E7</v>
      </c>
      <c r="J941" s="6">
        <v>3.82807661471E9</v>
      </c>
    </row>
    <row r="942">
      <c r="A942" s="4" t="s">
        <v>10</v>
      </c>
      <c r="B942" s="5">
        <v>43004.0</v>
      </c>
      <c r="C942" s="6">
        <v>44.22</v>
      </c>
      <c r="D942" s="11">
        <v>-0.12</v>
      </c>
      <c r="E942" s="12">
        <v>-0.0027</v>
      </c>
      <c r="F942" s="6">
        <v>44.43</v>
      </c>
      <c r="G942" s="6">
        <v>44.15</v>
      </c>
      <c r="H942" s="6">
        <v>44.49</v>
      </c>
      <c r="I942" s="9">
        <v>6.2892876E7</v>
      </c>
      <c r="J942" s="6">
        <v>2.80403331743E9</v>
      </c>
    </row>
    <row r="943">
      <c r="A943" s="4" t="s">
        <v>10</v>
      </c>
      <c r="B943" s="5">
        <v>43005.0</v>
      </c>
      <c r="C943" s="6">
        <v>44.06</v>
      </c>
      <c r="D943" s="11">
        <v>-0.16</v>
      </c>
      <c r="E943" s="12">
        <v>-0.0036</v>
      </c>
      <c r="F943" s="6">
        <v>44.09</v>
      </c>
      <c r="G943" s="6">
        <v>43.83</v>
      </c>
      <c r="H943" s="6">
        <v>44.18</v>
      </c>
      <c r="I943" s="9">
        <v>8.0084732E7</v>
      </c>
      <c r="J943" s="6">
        <v>3.54732401814E9</v>
      </c>
    </row>
    <row r="944">
      <c r="A944" s="4" t="s">
        <v>10</v>
      </c>
      <c r="B944" s="5">
        <v>43006.0</v>
      </c>
      <c r="C944" s="6">
        <v>44.03</v>
      </c>
      <c r="D944" s="11">
        <v>-0.03</v>
      </c>
      <c r="E944" s="12">
        <v>-7.0E-4</v>
      </c>
      <c r="F944" s="6">
        <v>43.83</v>
      </c>
      <c r="G944" s="6">
        <v>43.83</v>
      </c>
      <c r="H944" s="6">
        <v>44.09</v>
      </c>
      <c r="I944" s="9">
        <v>5.4957624E7</v>
      </c>
      <c r="J944" s="6">
        <v>2.43285838676E9</v>
      </c>
    </row>
    <row r="945">
      <c r="A945" s="4" t="s">
        <v>10</v>
      </c>
      <c r="B945" s="5">
        <v>43007.0</v>
      </c>
      <c r="C945" s="6">
        <v>44.54</v>
      </c>
      <c r="D945" s="13">
        <f>+0.51</f>
        <v>0.51</v>
      </c>
      <c r="E945" s="14">
        <f>+1.15%</f>
        <v>0.0115</v>
      </c>
      <c r="F945" s="6">
        <v>44.37</v>
      </c>
      <c r="G945" s="6">
        <v>44.28</v>
      </c>
      <c r="H945" s="6">
        <v>44.65</v>
      </c>
      <c r="I945" s="9">
        <v>7.0546841E7</v>
      </c>
      <c r="J945" s="6">
        <v>3.15925209604E9</v>
      </c>
    </row>
    <row r="946">
      <c r="A946" s="4" t="s">
        <v>10</v>
      </c>
      <c r="B946" s="5">
        <v>43010.0</v>
      </c>
      <c r="C946" s="6">
        <v>44.55</v>
      </c>
      <c r="D946" s="13">
        <f>+0.01</f>
        <v>0.01</v>
      </c>
      <c r="E946" s="14">
        <f>+0.02%</f>
        <v>0.0002</v>
      </c>
      <c r="F946" s="6">
        <v>44.54</v>
      </c>
      <c r="G946" s="6">
        <v>44.52</v>
      </c>
      <c r="H946" s="6">
        <v>44.76</v>
      </c>
      <c r="I946" s="9">
        <v>6.8124262E7</v>
      </c>
      <c r="J946" s="6">
        <v>3.05855914109E9</v>
      </c>
    </row>
    <row r="947">
      <c r="A947" s="4" t="s">
        <v>10</v>
      </c>
      <c r="B947" s="5">
        <v>43011.0</v>
      </c>
      <c r="C947" s="6">
        <v>45.26</v>
      </c>
      <c r="D947" s="13">
        <f>+0.71</f>
        <v>0.71</v>
      </c>
      <c r="E947" s="14">
        <f>+1.58%</f>
        <v>0.0158</v>
      </c>
      <c r="F947" s="6">
        <v>44.91</v>
      </c>
      <c r="G947" s="6">
        <v>44.86</v>
      </c>
      <c r="H947" s="6">
        <v>45.27</v>
      </c>
      <c r="I947" s="9">
        <v>5.4087392E7</v>
      </c>
      <c r="J947" s="6">
        <v>2.45584650715E9</v>
      </c>
    </row>
    <row r="948">
      <c r="A948" s="4" t="s">
        <v>10</v>
      </c>
      <c r="B948" s="5">
        <v>43012.0</v>
      </c>
      <c r="C948" s="6">
        <v>45.25</v>
      </c>
      <c r="D948" s="11">
        <v>-0.01</v>
      </c>
      <c r="E948" s="12">
        <v>-2.0E-4</v>
      </c>
      <c r="F948" s="6">
        <v>45.24</v>
      </c>
      <c r="G948" s="6">
        <v>45.19</v>
      </c>
      <c r="H948" s="6">
        <v>45.36</v>
      </c>
      <c r="I948" s="9">
        <v>4.557414E7</v>
      </c>
      <c r="J948" s="6">
        <v>2.07593359036E9</v>
      </c>
    </row>
    <row r="949">
      <c r="A949" s="4" t="s">
        <v>10</v>
      </c>
      <c r="B949" s="5">
        <v>43013.0</v>
      </c>
      <c r="C949" s="6">
        <v>45.59</v>
      </c>
      <c r="D949" s="13">
        <f>+0.34</f>
        <v>0.34</v>
      </c>
      <c r="E949" s="14">
        <f>+0.75%</f>
        <v>0.0075</v>
      </c>
      <c r="F949" s="6">
        <v>45.44</v>
      </c>
      <c r="G949" s="6">
        <v>45.42</v>
      </c>
      <c r="H949" s="6">
        <v>45.71</v>
      </c>
      <c r="I949" s="9">
        <v>3.8759152E7</v>
      </c>
      <c r="J949" s="6">
        <v>1.77743561096E9</v>
      </c>
    </row>
    <row r="950">
      <c r="A950" s="4" t="s">
        <v>10</v>
      </c>
      <c r="B950" s="5">
        <v>43014.0</v>
      </c>
      <c r="C950" s="6">
        <v>45.36</v>
      </c>
      <c r="D950" s="11">
        <v>-0.23</v>
      </c>
      <c r="E950" s="12">
        <v>-0.005</v>
      </c>
      <c r="F950" s="6">
        <v>45.17</v>
      </c>
      <c r="G950" s="6">
        <v>45.04</v>
      </c>
      <c r="H950" s="6">
        <v>45.39</v>
      </c>
      <c r="I950" s="9">
        <v>4.4870238E7</v>
      </c>
      <c r="J950" s="6">
        <v>2.04297834647E9</v>
      </c>
    </row>
    <row r="951">
      <c r="A951" s="4" t="s">
        <v>10</v>
      </c>
      <c r="B951" s="5">
        <v>43017.0</v>
      </c>
      <c r="C951" s="6">
        <v>45.33</v>
      </c>
      <c r="D951" s="11">
        <v>-0.03</v>
      </c>
      <c r="E951" s="12">
        <v>-7.0E-4</v>
      </c>
      <c r="F951" s="6">
        <v>45.24</v>
      </c>
      <c r="G951" s="6">
        <v>45.16</v>
      </c>
      <c r="H951" s="6">
        <v>45.33</v>
      </c>
      <c r="I951" s="9">
        <v>2.5022429E7</v>
      </c>
      <c r="J951" s="6">
        <v>1.13912691155E9</v>
      </c>
    </row>
    <row r="952">
      <c r="A952" s="4" t="s">
        <v>10</v>
      </c>
      <c r="B952" s="5">
        <v>43018.0</v>
      </c>
      <c r="C952" s="6">
        <v>45.77</v>
      </c>
      <c r="D952" s="13">
        <f>+0.45</f>
        <v>0.45</v>
      </c>
      <c r="E952" s="14">
        <f>+0.99%</f>
        <v>0.0099</v>
      </c>
      <c r="F952" s="6">
        <v>45.67</v>
      </c>
      <c r="G952" s="6">
        <v>45.61</v>
      </c>
      <c r="H952" s="6">
        <v>45.8</v>
      </c>
      <c r="I952" s="9">
        <v>4.5691763E7</v>
      </c>
      <c r="J952" s="6">
        <v>2.10244252879E9</v>
      </c>
    </row>
    <row r="953">
      <c r="A953" s="4" t="s">
        <v>10</v>
      </c>
      <c r="B953" s="5">
        <v>43019.0</v>
      </c>
      <c r="C953" s="6">
        <v>45.98</v>
      </c>
      <c r="D953" s="13">
        <f>+0.21</f>
        <v>0.21</v>
      </c>
      <c r="E953" s="14">
        <f>+0.46%</f>
        <v>0.0046</v>
      </c>
      <c r="F953" s="6">
        <v>45.76</v>
      </c>
      <c r="G953" s="6">
        <v>45.75</v>
      </c>
      <c r="H953" s="6">
        <v>46.0</v>
      </c>
      <c r="I953" s="9">
        <v>4.8802879E7</v>
      </c>
      <c r="J953" s="6">
        <v>2.25316546421E9</v>
      </c>
    </row>
    <row r="954">
      <c r="A954" s="4" t="s">
        <v>10</v>
      </c>
      <c r="B954" s="5">
        <v>43020.0</v>
      </c>
      <c r="C954" s="6">
        <v>45.96</v>
      </c>
      <c r="D954" s="11">
        <v>-0.02</v>
      </c>
      <c r="E954" s="12">
        <v>-4.0E-4</v>
      </c>
      <c r="F954" s="6">
        <v>46.0</v>
      </c>
      <c r="G954" s="6">
        <v>45.92</v>
      </c>
      <c r="H954" s="6">
        <v>46.09</v>
      </c>
      <c r="I954" s="9">
        <v>3.554658E7</v>
      </c>
      <c r="J954" s="6">
        <v>1.64513924544E9</v>
      </c>
    </row>
    <row r="955">
      <c r="A955" s="4" t="s">
        <v>10</v>
      </c>
      <c r="B955" s="5">
        <v>43021.0</v>
      </c>
      <c r="C955" s="6">
        <v>46.38</v>
      </c>
      <c r="D955" s="13">
        <f>+0.42</f>
        <v>0.42</v>
      </c>
      <c r="E955" s="14">
        <f>+0.91%</f>
        <v>0.0091</v>
      </c>
      <c r="F955" s="6">
        <v>46.38</v>
      </c>
      <c r="G955" s="6">
        <v>46.32</v>
      </c>
      <c r="H955" s="6">
        <v>46.47</v>
      </c>
      <c r="I955" s="9">
        <v>6.1902224E7</v>
      </c>
      <c r="J955" s="6">
        <v>2.88905558427E9</v>
      </c>
    </row>
    <row r="956">
      <c r="A956" s="4" t="s">
        <v>10</v>
      </c>
      <c r="B956" s="5">
        <v>43024.0</v>
      </c>
      <c r="C956" s="6">
        <v>46.35</v>
      </c>
      <c r="D956" s="11">
        <v>-0.03</v>
      </c>
      <c r="E956" s="12">
        <v>-6.0E-4</v>
      </c>
      <c r="F956" s="6">
        <v>46.49</v>
      </c>
      <c r="G956" s="6">
        <v>46.34</v>
      </c>
      <c r="H956" s="6">
        <v>46.54</v>
      </c>
      <c r="I956" s="9">
        <v>3.4089396E7</v>
      </c>
      <c r="J956" s="6">
        <v>1.59158462304E9</v>
      </c>
    </row>
    <row r="957">
      <c r="A957" s="4" t="s">
        <v>10</v>
      </c>
      <c r="B957" s="5">
        <v>43025.0</v>
      </c>
      <c r="C957" s="6">
        <v>46.11</v>
      </c>
      <c r="D957" s="11">
        <v>-0.24</v>
      </c>
      <c r="E957" s="12">
        <v>-0.0051</v>
      </c>
      <c r="F957" s="6">
        <v>46.23</v>
      </c>
      <c r="G957" s="6">
        <v>46.02</v>
      </c>
      <c r="H957" s="6">
        <v>46.25</v>
      </c>
      <c r="I957" s="9">
        <v>3.8828205E7</v>
      </c>
      <c r="J957" s="6">
        <v>1.80217205057E9</v>
      </c>
    </row>
    <row r="958">
      <c r="A958" s="4" t="s">
        <v>10</v>
      </c>
      <c r="B958" s="5">
        <v>43026.0</v>
      </c>
      <c r="C958" s="6">
        <v>46.22</v>
      </c>
      <c r="D958" s="13">
        <f>+0.11</f>
        <v>0.11</v>
      </c>
      <c r="E958" s="14">
        <f>+0.24%</f>
        <v>0.0024</v>
      </c>
      <c r="F958" s="6">
        <v>46.27</v>
      </c>
      <c r="G958" s="6">
        <v>46.13</v>
      </c>
      <c r="H958" s="6">
        <v>46.37</v>
      </c>
      <c r="I958" s="9">
        <v>3.6187183E7</v>
      </c>
      <c r="J958" s="6">
        <v>1.68333499523E9</v>
      </c>
    </row>
    <row r="959">
      <c r="A959" s="4" t="s">
        <v>10</v>
      </c>
      <c r="B959" s="5">
        <v>43027.0</v>
      </c>
      <c r="C959" s="6">
        <v>45.81</v>
      </c>
      <c r="D959" s="11">
        <v>-0.41</v>
      </c>
      <c r="E959" s="12">
        <v>-0.0088</v>
      </c>
      <c r="F959" s="6">
        <v>45.74</v>
      </c>
      <c r="G959" s="6">
        <v>45.61</v>
      </c>
      <c r="H959" s="6">
        <v>45.84</v>
      </c>
      <c r="I959" s="9">
        <v>5.1486974E7</v>
      </c>
      <c r="J959" s="6">
        <v>2.37071918628E9</v>
      </c>
    </row>
    <row r="960">
      <c r="A960" s="4" t="s">
        <v>10</v>
      </c>
      <c r="B960" s="5">
        <v>43028.0</v>
      </c>
      <c r="C960" s="6">
        <v>45.98</v>
      </c>
      <c r="D960" s="13">
        <f>+0.17</f>
        <v>0.17</v>
      </c>
      <c r="E960" s="14">
        <f>+0.37%</f>
        <v>0.0037</v>
      </c>
      <c r="F960" s="6">
        <v>46.04</v>
      </c>
      <c r="G960" s="6">
        <v>45.9</v>
      </c>
      <c r="H960" s="6">
        <v>46.07</v>
      </c>
      <c r="I960" s="9">
        <v>4.6370198E7</v>
      </c>
      <c r="J960" s="6">
        <v>2.14527216337E9</v>
      </c>
    </row>
    <row r="961">
      <c r="A961" s="4" t="s">
        <v>10</v>
      </c>
      <c r="B961" s="5">
        <v>43031.0</v>
      </c>
      <c r="C961" s="6">
        <v>45.61</v>
      </c>
      <c r="D961" s="11">
        <v>-0.37</v>
      </c>
      <c r="E961" s="12">
        <v>-0.008</v>
      </c>
      <c r="F961" s="6">
        <v>45.9</v>
      </c>
      <c r="G961" s="6">
        <v>45.6</v>
      </c>
      <c r="H961" s="6">
        <v>45.91</v>
      </c>
      <c r="I961" s="9">
        <v>4.7564006E7</v>
      </c>
      <c r="J961" s="6">
        <v>2.18776544157E9</v>
      </c>
    </row>
    <row r="962">
      <c r="A962" s="4" t="s">
        <v>10</v>
      </c>
      <c r="B962" s="5">
        <v>43032.0</v>
      </c>
      <c r="C962" s="6">
        <v>45.61</v>
      </c>
      <c r="D962" s="11">
        <v>0.0</v>
      </c>
      <c r="E962" s="12">
        <v>0.0</v>
      </c>
      <c r="F962" s="6">
        <v>45.7</v>
      </c>
      <c r="G962" s="6">
        <v>45.6</v>
      </c>
      <c r="H962" s="6">
        <v>45.86</v>
      </c>
      <c r="I962" s="9">
        <v>4.0213393E7</v>
      </c>
      <c r="J962" s="6">
        <v>1.84860705596E9</v>
      </c>
    </row>
    <row r="963">
      <c r="A963" s="4" t="s">
        <v>10</v>
      </c>
      <c r="B963" s="5">
        <v>43033.0</v>
      </c>
      <c r="C963" s="6">
        <v>45.52</v>
      </c>
      <c r="D963" s="11">
        <v>-0.1</v>
      </c>
      <c r="E963" s="12">
        <v>-0.0022</v>
      </c>
      <c r="F963" s="6">
        <v>45.79</v>
      </c>
      <c r="G963" s="6">
        <v>45.16</v>
      </c>
      <c r="H963" s="6">
        <v>45.85</v>
      </c>
      <c r="I963" s="9">
        <v>5.7309647E7</v>
      </c>
      <c r="J963" s="6">
        <v>2.62144693698E9</v>
      </c>
    </row>
    <row r="964">
      <c r="A964" s="4" t="s">
        <v>10</v>
      </c>
      <c r="B964" s="5">
        <v>43034.0</v>
      </c>
      <c r="C964" s="6">
        <v>45.21</v>
      </c>
      <c r="D964" s="11">
        <v>-0.31</v>
      </c>
      <c r="E964" s="12">
        <v>-0.0068</v>
      </c>
      <c r="F964" s="6">
        <v>45.55</v>
      </c>
      <c r="G964" s="6">
        <v>45.2</v>
      </c>
      <c r="H964" s="6">
        <v>45.63</v>
      </c>
      <c r="I964" s="9">
        <v>5.5320537E7</v>
      </c>
      <c r="J964" s="6">
        <v>2.52655554502E9</v>
      </c>
    </row>
    <row r="965">
      <c r="A965" s="4" t="s">
        <v>10</v>
      </c>
      <c r="B965" s="5">
        <v>43035.0</v>
      </c>
      <c r="C965" s="6">
        <v>45.86</v>
      </c>
      <c r="D965" s="13">
        <f>+0.66</f>
        <v>0.66</v>
      </c>
      <c r="E965" s="14">
        <f>+1.45%</f>
        <v>0.0145</v>
      </c>
      <c r="F965" s="6">
        <v>45.45</v>
      </c>
      <c r="G965" s="6">
        <v>45.31</v>
      </c>
      <c r="H965" s="6">
        <v>45.91</v>
      </c>
      <c r="I965" s="9">
        <v>5.5225617E7</v>
      </c>
      <c r="J965" s="6">
        <v>2.53840126312E9</v>
      </c>
    </row>
    <row r="966">
      <c r="A966" s="4" t="s">
        <v>10</v>
      </c>
      <c r="B966" s="5">
        <v>43038.0</v>
      </c>
      <c r="C966" s="6">
        <v>45.58</v>
      </c>
      <c r="D966" s="11">
        <v>-0.29</v>
      </c>
      <c r="E966" s="12">
        <v>-0.0063</v>
      </c>
      <c r="F966" s="6">
        <v>45.71</v>
      </c>
      <c r="G966" s="6">
        <v>45.52</v>
      </c>
      <c r="H966" s="6">
        <v>45.83</v>
      </c>
      <c r="I966" s="9">
        <v>3.5732536E7</v>
      </c>
      <c r="J966" s="6">
        <v>1.64019900192E9</v>
      </c>
    </row>
    <row r="967">
      <c r="A967" s="4" t="s">
        <v>10</v>
      </c>
      <c r="B967" s="5">
        <v>43039.0</v>
      </c>
      <c r="C967" s="6">
        <v>46.0</v>
      </c>
      <c r="D967" s="13">
        <f>+0.43</f>
        <v>0.43</v>
      </c>
      <c r="E967" s="14">
        <f>+0.94%</f>
        <v>0.0094</v>
      </c>
      <c r="F967" s="6">
        <v>45.85</v>
      </c>
      <c r="G967" s="6">
        <v>45.78</v>
      </c>
      <c r="H967" s="6">
        <v>46.0</v>
      </c>
      <c r="I967" s="9">
        <v>6.3902279E7</v>
      </c>
      <c r="J967" s="6">
        <v>2.95351147504E9</v>
      </c>
    </row>
    <row r="968">
      <c r="A968" s="4" t="s">
        <v>10</v>
      </c>
      <c r="B968" s="5">
        <v>43040.0</v>
      </c>
      <c r="C968" s="6">
        <v>46.24</v>
      </c>
      <c r="D968" s="13">
        <f>+0.24</f>
        <v>0.24</v>
      </c>
      <c r="E968" s="14">
        <f>+0.52%</f>
        <v>0.0052</v>
      </c>
      <c r="F968" s="6">
        <v>46.42</v>
      </c>
      <c r="G968" s="6">
        <v>46.21</v>
      </c>
      <c r="H968" s="6">
        <v>46.57</v>
      </c>
      <c r="I968" s="9">
        <v>5.1926299E7</v>
      </c>
      <c r="J968" s="6">
        <v>2.42146891534E9</v>
      </c>
    </row>
    <row r="969">
      <c r="A969" s="4" t="s">
        <v>10</v>
      </c>
      <c r="B969" s="5">
        <v>43041.0</v>
      </c>
      <c r="C969" s="6">
        <v>46.3</v>
      </c>
      <c r="D969" s="13">
        <f>+0.06</f>
        <v>0.06</v>
      </c>
      <c r="E969" s="14">
        <f>+0.13%</f>
        <v>0.0013</v>
      </c>
      <c r="F969" s="6">
        <v>46.31</v>
      </c>
      <c r="G969" s="6">
        <v>46.08</v>
      </c>
      <c r="H969" s="6">
        <v>46.35</v>
      </c>
      <c r="I969" s="9">
        <v>3.8024475E7</v>
      </c>
      <c r="J969" s="6">
        <v>1.76953990194E9</v>
      </c>
    </row>
    <row r="970">
      <c r="A970" s="4" t="s">
        <v>10</v>
      </c>
      <c r="B970" s="5">
        <v>43042.0</v>
      </c>
      <c r="C970" s="6">
        <v>46.06</v>
      </c>
      <c r="D970" s="11">
        <v>-0.24</v>
      </c>
      <c r="E970" s="12">
        <v>-0.0052</v>
      </c>
      <c r="F970" s="6">
        <v>46.26</v>
      </c>
      <c r="G970" s="6">
        <v>45.82</v>
      </c>
      <c r="H970" s="6">
        <v>46.28</v>
      </c>
      <c r="I970" s="9">
        <v>4.2909923E7</v>
      </c>
      <c r="J970" s="6">
        <v>1.98797247439E9</v>
      </c>
    </row>
    <row r="971">
      <c r="A971" s="4" t="s">
        <v>10</v>
      </c>
      <c r="B971" s="5">
        <v>43045.0</v>
      </c>
      <c r="C971" s="6">
        <v>46.58</v>
      </c>
      <c r="D971" s="13">
        <f>+0.52</f>
        <v>0.52</v>
      </c>
      <c r="E971" s="14">
        <f>+1.12%</f>
        <v>0.0112</v>
      </c>
      <c r="F971" s="6">
        <v>46.28</v>
      </c>
      <c r="G971" s="6">
        <v>46.26</v>
      </c>
      <c r="H971" s="6">
        <v>46.59</v>
      </c>
      <c r="I971" s="9">
        <v>3.0828532E7</v>
      </c>
      <c r="J971" s="6">
        <v>1.4420491968E9</v>
      </c>
    </row>
    <row r="972">
      <c r="A972" s="4" t="s">
        <v>10</v>
      </c>
      <c r="B972" s="5">
        <v>43046.0</v>
      </c>
      <c r="C972" s="6">
        <v>46.28</v>
      </c>
      <c r="D972" s="11">
        <v>-0.3</v>
      </c>
      <c r="E972" s="12">
        <v>-0.0064</v>
      </c>
      <c r="F972" s="6">
        <v>46.53</v>
      </c>
      <c r="G972" s="6">
        <v>46.21</v>
      </c>
      <c r="H972" s="6">
        <v>46.59</v>
      </c>
      <c r="I972" s="9">
        <v>4.6904397E7</v>
      </c>
      <c r="J972" s="6">
        <v>2.1860030349E9</v>
      </c>
    </row>
    <row r="973">
      <c r="A973" s="4" t="s">
        <v>10</v>
      </c>
      <c r="B973" s="5">
        <v>43047.0</v>
      </c>
      <c r="C973" s="6">
        <v>46.5</v>
      </c>
      <c r="D973" s="13">
        <f>+0.22</f>
        <v>0.22</v>
      </c>
      <c r="E973" s="14">
        <f>+0.47%</f>
        <v>0.0047</v>
      </c>
      <c r="F973" s="6">
        <v>46.42</v>
      </c>
      <c r="G973" s="6">
        <v>46.34</v>
      </c>
      <c r="H973" s="6">
        <v>46.52</v>
      </c>
      <c r="I973" s="9">
        <v>3.5006334E7</v>
      </c>
      <c r="J973" s="6">
        <v>1.6350369815E9</v>
      </c>
    </row>
    <row r="974">
      <c r="A974" s="4" t="s">
        <v>10</v>
      </c>
      <c r="B974" s="5">
        <v>43048.0</v>
      </c>
      <c r="C974" s="6">
        <v>46.21</v>
      </c>
      <c r="D974" s="11">
        <v>-0.29</v>
      </c>
      <c r="E974" s="12">
        <v>-0.0062</v>
      </c>
      <c r="F974" s="6">
        <v>46.18</v>
      </c>
      <c r="G974" s="6">
        <v>45.86</v>
      </c>
      <c r="H974" s="6">
        <v>46.31</v>
      </c>
      <c r="I974" s="9">
        <v>3.9894897E7</v>
      </c>
      <c r="J974" s="6">
        <v>1.85138887592E9</v>
      </c>
    </row>
    <row r="975">
      <c r="A975" s="4" t="s">
        <v>10</v>
      </c>
      <c r="B975" s="5">
        <v>43049.0</v>
      </c>
      <c r="C975" s="6">
        <v>46.01</v>
      </c>
      <c r="D975" s="11">
        <v>-0.2</v>
      </c>
      <c r="E975" s="12">
        <v>-0.0043</v>
      </c>
      <c r="F975" s="6">
        <v>46.15</v>
      </c>
      <c r="G975" s="6">
        <v>45.91</v>
      </c>
      <c r="H975" s="6">
        <v>46.18</v>
      </c>
      <c r="I975" s="9">
        <v>3.2484355E7</v>
      </c>
      <c r="J975" s="6">
        <v>1.50401371758E9</v>
      </c>
    </row>
    <row r="976">
      <c r="A976" s="4" t="s">
        <v>10</v>
      </c>
      <c r="B976" s="5">
        <v>43052.0</v>
      </c>
      <c r="C976" s="6">
        <v>45.91</v>
      </c>
      <c r="D976" s="11">
        <v>-0.1</v>
      </c>
      <c r="E976" s="12">
        <v>-0.0022</v>
      </c>
      <c r="F976" s="6">
        <v>45.85</v>
      </c>
      <c r="G976" s="6">
        <v>45.74</v>
      </c>
      <c r="H976" s="6">
        <v>46.01</v>
      </c>
      <c r="I976" s="9">
        <v>5.2239657E7</v>
      </c>
      <c r="J976" s="6">
        <v>2.41141247966E9</v>
      </c>
    </row>
    <row r="977">
      <c r="A977" s="4" t="s">
        <v>10</v>
      </c>
      <c r="B977" s="5">
        <v>43053.0</v>
      </c>
      <c r="C977" s="6">
        <v>45.6</v>
      </c>
      <c r="D977" s="11">
        <v>-0.31</v>
      </c>
      <c r="E977" s="12">
        <v>-0.0067</v>
      </c>
      <c r="F977" s="6">
        <v>45.83</v>
      </c>
      <c r="G977" s="6">
        <v>45.55</v>
      </c>
      <c r="H977" s="6">
        <v>45.88</v>
      </c>
      <c r="I977" s="9">
        <v>5.6682271E7</v>
      </c>
      <c r="J977" s="6">
        <v>2.603442689E9</v>
      </c>
    </row>
    <row r="978">
      <c r="A978" s="4" t="s">
        <v>10</v>
      </c>
      <c r="B978" s="5">
        <v>43054.0</v>
      </c>
      <c r="C978" s="6">
        <v>45.37</v>
      </c>
      <c r="D978" s="11">
        <v>-0.24</v>
      </c>
      <c r="E978" s="12">
        <v>-0.0052</v>
      </c>
      <c r="F978" s="6">
        <v>45.38</v>
      </c>
      <c r="G978" s="6">
        <v>45.18</v>
      </c>
      <c r="H978" s="6">
        <v>45.49</v>
      </c>
      <c r="I978" s="9">
        <v>4.9000924E7</v>
      </c>
      <c r="J978" s="6">
        <v>2.235811861E9</v>
      </c>
    </row>
    <row r="979">
      <c r="A979" s="4" t="s">
        <v>10</v>
      </c>
      <c r="B979" s="5">
        <v>43055.0</v>
      </c>
      <c r="C979" s="6">
        <v>46.31</v>
      </c>
      <c r="D979" s="13">
        <f>+0.94</f>
        <v>0.94</v>
      </c>
      <c r="E979" s="14">
        <f>+2.08%</f>
        <v>0.0208</v>
      </c>
      <c r="F979" s="6">
        <v>46.03</v>
      </c>
      <c r="G979" s="6">
        <v>46.02</v>
      </c>
      <c r="H979" s="6">
        <v>46.45</v>
      </c>
      <c r="I979" s="9">
        <v>4.6316431E7</v>
      </c>
      <c r="J979" s="6">
        <v>2.15595153988E9</v>
      </c>
    </row>
    <row r="980">
      <c r="A980" s="4" t="s">
        <v>10</v>
      </c>
      <c r="B980" s="5">
        <v>43056.0</v>
      </c>
      <c r="C980" s="6">
        <v>46.54</v>
      </c>
      <c r="D980" s="13">
        <f>+0.23</f>
        <v>0.23</v>
      </c>
      <c r="E980" s="14">
        <f>+0.49%</f>
        <v>0.0049</v>
      </c>
      <c r="F980" s="6">
        <v>46.44</v>
      </c>
      <c r="G980" s="6">
        <v>46.42</v>
      </c>
      <c r="H980" s="6">
        <v>46.74</v>
      </c>
      <c r="I980" s="9">
        <v>4.6258926E7</v>
      </c>
      <c r="J980" s="6">
        <v>2.16717491335E9</v>
      </c>
    </row>
    <row r="981">
      <c r="A981" s="4" t="s">
        <v>10</v>
      </c>
      <c r="B981" s="5">
        <v>43059.0</v>
      </c>
      <c r="C981" s="6">
        <v>46.78</v>
      </c>
      <c r="D981" s="13">
        <f>+0.24</f>
        <v>0.24</v>
      </c>
      <c r="E981" s="14">
        <f>+0.51%</f>
        <v>0.0051</v>
      </c>
      <c r="F981" s="6">
        <v>46.49</v>
      </c>
      <c r="G981" s="6">
        <v>46.47</v>
      </c>
      <c r="H981" s="6">
        <v>46.82</v>
      </c>
      <c r="I981" s="9">
        <v>4.549382E7</v>
      </c>
      <c r="J981" s="6">
        <v>2.13676362707E9</v>
      </c>
    </row>
    <row r="982">
      <c r="A982" s="4" t="s">
        <v>10</v>
      </c>
      <c r="B982" s="5">
        <v>43060.0</v>
      </c>
      <c r="C982" s="6">
        <v>47.4</v>
      </c>
      <c r="D982" s="13">
        <f>+0.63</f>
        <v>0.63</v>
      </c>
      <c r="E982" s="14">
        <f>+1.34%</f>
        <v>0.0134</v>
      </c>
      <c r="F982" s="6">
        <v>47.34</v>
      </c>
      <c r="G982" s="6">
        <v>47.32</v>
      </c>
      <c r="H982" s="6">
        <v>47.59</v>
      </c>
      <c r="I982" s="9">
        <v>6.3587672E7</v>
      </c>
      <c r="J982" s="6">
        <v>3.03583558583E9</v>
      </c>
    </row>
    <row r="983">
      <c r="A983" s="4" t="s">
        <v>10</v>
      </c>
      <c r="B983" s="5">
        <v>43061.0</v>
      </c>
      <c r="C983" s="6">
        <v>47.52</v>
      </c>
      <c r="D983" s="13">
        <f>+0.12</f>
        <v>0.12</v>
      </c>
      <c r="E983" s="14">
        <f>+0.25%</f>
        <v>0.0025</v>
      </c>
      <c r="F983" s="6">
        <v>47.55</v>
      </c>
      <c r="G983" s="6">
        <v>47.36</v>
      </c>
      <c r="H983" s="6">
        <v>47.64</v>
      </c>
      <c r="I983" s="9">
        <v>6.0764043E7</v>
      </c>
      <c r="J983" s="6">
        <v>2.90452265367E9</v>
      </c>
    </row>
    <row r="984">
      <c r="A984" s="4" t="s">
        <v>10</v>
      </c>
      <c r="B984" s="5">
        <v>43063.0</v>
      </c>
      <c r="C984" s="6">
        <v>47.42</v>
      </c>
      <c r="D984" s="11">
        <v>-0.1</v>
      </c>
      <c r="E984" s="12">
        <v>-0.0021</v>
      </c>
      <c r="F984" s="6">
        <v>47.37</v>
      </c>
      <c r="G984" s="6">
        <v>47.32</v>
      </c>
      <c r="H984" s="6">
        <v>47.45</v>
      </c>
      <c r="I984" s="9">
        <v>2.5838321E7</v>
      </c>
      <c r="J984" s="6">
        <v>1.23229307855E9</v>
      </c>
    </row>
    <row r="985">
      <c r="A985" s="4" t="s">
        <v>10</v>
      </c>
      <c r="B985" s="5">
        <v>43066.0</v>
      </c>
      <c r="C985" s="6">
        <v>46.73</v>
      </c>
      <c r="D985" s="11">
        <v>-0.7</v>
      </c>
      <c r="E985" s="12">
        <v>-0.0147</v>
      </c>
      <c r="F985" s="6">
        <v>47.03</v>
      </c>
      <c r="G985" s="6">
        <v>46.71</v>
      </c>
      <c r="H985" s="6">
        <v>47.05</v>
      </c>
      <c r="I985" s="9">
        <v>4.785318E7</v>
      </c>
      <c r="J985" s="6">
        <v>2.25444953506E9</v>
      </c>
    </row>
    <row r="986">
      <c r="A986" s="4" t="s">
        <v>10</v>
      </c>
      <c r="B986" s="5">
        <v>43067.0</v>
      </c>
      <c r="C986" s="6">
        <v>47.08</v>
      </c>
      <c r="D986" s="13">
        <f>+0.35</f>
        <v>0.35</v>
      </c>
      <c r="E986" s="14">
        <f>+0.74%</f>
        <v>0.0074</v>
      </c>
      <c r="F986" s="6">
        <v>47.11</v>
      </c>
      <c r="G986" s="6">
        <v>46.9</v>
      </c>
      <c r="H986" s="6">
        <v>47.24</v>
      </c>
      <c r="I986" s="9">
        <v>5.4357626E7</v>
      </c>
      <c r="J986" s="6">
        <v>2.57433178205E9</v>
      </c>
    </row>
    <row r="987">
      <c r="A987" s="4" t="s">
        <v>10</v>
      </c>
      <c r="B987" s="5">
        <v>43068.0</v>
      </c>
      <c r="C987" s="6">
        <v>46.33</v>
      </c>
      <c r="D987" s="11">
        <v>-0.75</v>
      </c>
      <c r="E987" s="12">
        <v>-0.0158</v>
      </c>
      <c r="F987" s="6">
        <v>46.89</v>
      </c>
      <c r="G987" s="6">
        <v>46.22</v>
      </c>
      <c r="H987" s="6">
        <v>46.89</v>
      </c>
      <c r="I987" s="9">
        <v>6.6269838E7</v>
      </c>
      <c r="J987" s="6">
        <v>3.09839419211E9</v>
      </c>
    </row>
    <row r="988">
      <c r="A988" s="4" t="s">
        <v>10</v>
      </c>
      <c r="B988" s="5">
        <v>43069.0</v>
      </c>
      <c r="C988" s="6">
        <v>45.82</v>
      </c>
      <c r="D988" s="11">
        <v>-0.51</v>
      </c>
      <c r="E988" s="12">
        <v>-0.0109</v>
      </c>
      <c r="F988" s="6">
        <v>46.19</v>
      </c>
      <c r="G988" s="6">
        <v>45.79</v>
      </c>
      <c r="H988" s="6">
        <v>46.2</v>
      </c>
      <c r="I988" s="9">
        <v>1.18059328E8</v>
      </c>
      <c r="J988" s="6">
        <v>5.45943990732E9</v>
      </c>
    </row>
    <row r="989">
      <c r="A989" s="4" t="s">
        <v>10</v>
      </c>
      <c r="B989" s="5">
        <v>43070.0</v>
      </c>
      <c r="C989" s="6">
        <v>45.57</v>
      </c>
      <c r="D989" s="11">
        <v>-0.26</v>
      </c>
      <c r="E989" s="12">
        <v>-0.0056</v>
      </c>
      <c r="F989" s="6">
        <v>45.7</v>
      </c>
      <c r="G989" s="6">
        <v>45.35</v>
      </c>
      <c r="H989" s="6">
        <v>45.79</v>
      </c>
      <c r="I989" s="9">
        <v>8.8358904E7</v>
      </c>
      <c r="J989" s="6">
        <v>4.05313222484E9</v>
      </c>
    </row>
    <row r="990">
      <c r="A990" s="4" t="s">
        <v>10</v>
      </c>
      <c r="B990" s="5">
        <v>43073.0</v>
      </c>
      <c r="C990" s="6">
        <v>45.65</v>
      </c>
      <c r="D990" s="13">
        <f>+0.09</f>
        <v>0.09</v>
      </c>
      <c r="E990" s="14">
        <f>+0.2%</f>
        <v>0.002</v>
      </c>
      <c r="F990" s="6">
        <v>46.07</v>
      </c>
      <c r="G990" s="6">
        <v>45.61</v>
      </c>
      <c r="H990" s="6">
        <v>46.15</v>
      </c>
      <c r="I990" s="9">
        <v>6.7381607E7</v>
      </c>
      <c r="J990" s="6">
        <v>3.10859991505E9</v>
      </c>
    </row>
    <row r="991">
      <c r="A991" s="4" t="s">
        <v>10</v>
      </c>
      <c r="B991" s="5">
        <v>43074.0</v>
      </c>
      <c r="C991" s="6">
        <v>45.62</v>
      </c>
      <c r="D991" s="11">
        <v>-0.03</v>
      </c>
      <c r="E991" s="12">
        <v>-7.0E-4</v>
      </c>
      <c r="F991" s="6">
        <v>45.68</v>
      </c>
      <c r="G991" s="6">
        <v>45.58</v>
      </c>
      <c r="H991" s="6">
        <v>45.93</v>
      </c>
      <c r="I991" s="9">
        <v>3.2126431E7</v>
      </c>
      <c r="J991" s="6">
        <v>1.47829186503E9</v>
      </c>
    </row>
    <row r="992">
      <c r="A992" s="4" t="s">
        <v>10</v>
      </c>
      <c r="B992" s="5">
        <v>43075.0</v>
      </c>
      <c r="C992" s="6">
        <v>45.01</v>
      </c>
      <c r="D992" s="11">
        <v>-0.62</v>
      </c>
      <c r="E992" s="12">
        <v>-0.0135</v>
      </c>
      <c r="F992" s="6">
        <v>44.91</v>
      </c>
      <c r="G992" s="6">
        <v>44.79</v>
      </c>
      <c r="H992" s="6">
        <v>45.11</v>
      </c>
      <c r="I992" s="9">
        <v>8.1862776E7</v>
      </c>
      <c r="J992" s="6">
        <v>3.70027916656E9</v>
      </c>
    </row>
    <row r="993">
      <c r="A993" s="4" t="s">
        <v>10</v>
      </c>
      <c r="B993" s="5">
        <v>43076.0</v>
      </c>
      <c r="C993" s="6">
        <v>45.14</v>
      </c>
      <c r="D993" s="13">
        <f>+0.13</f>
        <v>0.13</v>
      </c>
      <c r="E993" s="14">
        <f>+0.29%</f>
        <v>0.0029</v>
      </c>
      <c r="F993" s="6">
        <v>44.83</v>
      </c>
      <c r="G993" s="6">
        <v>44.78</v>
      </c>
      <c r="H993" s="6">
        <v>45.26</v>
      </c>
      <c r="I993" s="9">
        <v>7.0820766E7</v>
      </c>
      <c r="J993" s="6">
        <v>3.21240633605E9</v>
      </c>
    </row>
    <row r="994">
      <c r="A994" s="4" t="s">
        <v>10</v>
      </c>
      <c r="B994" s="5">
        <v>43077.0</v>
      </c>
      <c r="C994" s="6">
        <v>45.66</v>
      </c>
      <c r="D994" s="13">
        <f>+0.53</f>
        <v>0.53</v>
      </c>
      <c r="E994" s="14">
        <f>+1.17%</f>
        <v>0.0117</v>
      </c>
      <c r="F994" s="6">
        <v>45.64</v>
      </c>
      <c r="G994" s="6">
        <v>45.47</v>
      </c>
      <c r="H994" s="6">
        <v>45.72</v>
      </c>
      <c r="I994" s="9">
        <v>4.2794875E7</v>
      </c>
      <c r="J994" s="6">
        <v>1.96378301169E9</v>
      </c>
    </row>
    <row r="995">
      <c r="A995" s="4" t="s">
        <v>10</v>
      </c>
      <c r="B995" s="5">
        <v>43080.0</v>
      </c>
      <c r="C995" s="6">
        <v>45.89</v>
      </c>
      <c r="D995" s="13">
        <f>+0.23</f>
        <v>0.23</v>
      </c>
      <c r="E995" s="14">
        <f>+0.5%</f>
        <v>0.005</v>
      </c>
      <c r="F995" s="6">
        <v>45.84</v>
      </c>
      <c r="G995" s="6">
        <v>45.82</v>
      </c>
      <c r="H995" s="6">
        <v>45.98</v>
      </c>
      <c r="I995" s="9">
        <v>4.6795936E7</v>
      </c>
      <c r="J995" s="6">
        <v>2.16055455289E9</v>
      </c>
    </row>
    <row r="996">
      <c r="A996" s="4" t="s">
        <v>10</v>
      </c>
      <c r="B996" s="5">
        <v>43081.0</v>
      </c>
      <c r="C996" s="6">
        <v>45.59</v>
      </c>
      <c r="D996" s="11">
        <v>-0.31</v>
      </c>
      <c r="E996" s="12">
        <v>-0.0067</v>
      </c>
      <c r="F996" s="6">
        <v>45.47</v>
      </c>
      <c r="G996" s="6">
        <v>45.39</v>
      </c>
      <c r="H996" s="6">
        <v>45.68</v>
      </c>
      <c r="I996" s="9">
        <v>4.7157787E7</v>
      </c>
      <c r="J996" s="6">
        <v>2.15912451256E9</v>
      </c>
    </row>
    <row r="997">
      <c r="A997" s="4" t="s">
        <v>10</v>
      </c>
      <c r="B997" s="5">
        <v>43082.0</v>
      </c>
      <c r="C997" s="6">
        <v>46.13</v>
      </c>
      <c r="D997" s="13">
        <f>+0.55</f>
        <v>0.55</v>
      </c>
      <c r="E997" s="14">
        <f>+1.2%</f>
        <v>0.012</v>
      </c>
      <c r="F997" s="6">
        <v>45.87</v>
      </c>
      <c r="G997" s="6">
        <v>45.86</v>
      </c>
      <c r="H997" s="6">
        <v>46.28</v>
      </c>
      <c r="I997" s="9">
        <v>7.5946181E7</v>
      </c>
      <c r="J997" s="6">
        <v>3.51892933969E9</v>
      </c>
    </row>
    <row r="998">
      <c r="A998" s="4" t="s">
        <v>10</v>
      </c>
      <c r="B998" s="5">
        <v>43083.0</v>
      </c>
      <c r="C998" s="6">
        <v>45.79</v>
      </c>
      <c r="D998" s="11">
        <v>-0.34</v>
      </c>
      <c r="E998" s="12">
        <v>-0.0073</v>
      </c>
      <c r="F998" s="6">
        <v>45.98</v>
      </c>
      <c r="G998" s="6">
        <v>45.79</v>
      </c>
      <c r="H998" s="6">
        <v>46.1</v>
      </c>
      <c r="I998" s="9">
        <v>5.0968221E7</v>
      </c>
      <c r="J998" s="6">
        <v>2.35524976775E9</v>
      </c>
    </row>
    <row r="999">
      <c r="A999" s="4" t="s">
        <v>10</v>
      </c>
      <c r="B999" s="5">
        <v>43084.0</v>
      </c>
      <c r="C999" s="6">
        <v>45.89</v>
      </c>
      <c r="D999" s="13">
        <f>+0.1</f>
        <v>0.1</v>
      </c>
      <c r="E999" s="14">
        <f>+0.22%</f>
        <v>0.0022</v>
      </c>
      <c r="F999" s="6">
        <v>45.88</v>
      </c>
      <c r="G999" s="6">
        <v>45.65</v>
      </c>
      <c r="H999" s="6">
        <v>45.98</v>
      </c>
      <c r="I999" s="9">
        <v>6.7881229E7</v>
      </c>
      <c r="J999" s="6">
        <v>3.13096061871E9</v>
      </c>
    </row>
    <row r="1000">
      <c r="A1000" s="4" t="s">
        <v>10</v>
      </c>
      <c r="B1000" s="5">
        <v>43087.0</v>
      </c>
      <c r="C1000" s="6">
        <v>46.41</v>
      </c>
      <c r="D1000" s="13">
        <f>+0.52</f>
        <v>0.52</v>
      </c>
      <c r="E1000" s="14">
        <f>+1.13%</f>
        <v>0.0113</v>
      </c>
      <c r="F1000" s="6">
        <v>46.29</v>
      </c>
      <c r="G1000" s="6">
        <v>46.25</v>
      </c>
      <c r="H1000" s="6">
        <v>46.57</v>
      </c>
      <c r="I1000" s="9">
        <v>6.1186071E7</v>
      </c>
      <c r="J1000" s="6">
        <v>2.85654137443E9</v>
      </c>
    </row>
    <row r="1001">
      <c r="A1001" s="4" t="s">
        <v>10</v>
      </c>
      <c r="B1001" s="5">
        <v>43088.0</v>
      </c>
      <c r="C1001" s="6">
        <v>45.48</v>
      </c>
      <c r="D1001" s="11">
        <v>-0.93</v>
      </c>
      <c r="E1001" s="12">
        <v>-0.0201</v>
      </c>
      <c r="F1001" s="6">
        <v>45.79</v>
      </c>
      <c r="G1001" s="6">
        <v>45.41</v>
      </c>
      <c r="H1001" s="6">
        <v>45.79</v>
      </c>
      <c r="I1001" s="9">
        <v>5.1306757E7</v>
      </c>
      <c r="J1001" s="6">
        <v>2.3503828663E9</v>
      </c>
    </row>
    <row r="1002">
      <c r="A1002" s="4" t="s">
        <v>10</v>
      </c>
      <c r="B1002" s="5">
        <v>43089.0</v>
      </c>
      <c r="C1002" s="6">
        <v>45.54</v>
      </c>
      <c r="D1002" s="13">
        <f>+0.06</f>
        <v>0.06</v>
      </c>
      <c r="E1002" s="14">
        <f>+0.13%</f>
        <v>0.0013</v>
      </c>
      <c r="F1002" s="6">
        <v>45.68</v>
      </c>
      <c r="G1002" s="6">
        <v>45.53</v>
      </c>
      <c r="H1002" s="6">
        <v>45.74</v>
      </c>
      <c r="I1002" s="9">
        <v>4.2832807E7</v>
      </c>
      <c r="J1002" s="6">
        <v>1.96600192294E9</v>
      </c>
    </row>
    <row r="1003">
      <c r="A1003" s="4" t="s">
        <v>10</v>
      </c>
      <c r="B1003" s="5">
        <v>43090.0</v>
      </c>
      <c r="C1003" s="6">
        <v>45.83</v>
      </c>
      <c r="D1003" s="13">
        <f>+0.3</f>
        <v>0.3</v>
      </c>
      <c r="E1003" s="14">
        <f>+0.65%</f>
        <v>0.0065</v>
      </c>
      <c r="F1003" s="6">
        <v>45.72</v>
      </c>
      <c r="G1003" s="6">
        <v>45.69</v>
      </c>
      <c r="H1003" s="6">
        <v>45.99</v>
      </c>
      <c r="I1003" s="9">
        <v>4.0602244E7</v>
      </c>
      <c r="J1003" s="6">
        <v>1.87338524222E9</v>
      </c>
    </row>
    <row r="1004">
      <c r="A1004" s="4" t="s">
        <v>10</v>
      </c>
      <c r="B1004" s="5">
        <v>43091.0</v>
      </c>
      <c r="C1004" s="6">
        <v>46.22</v>
      </c>
      <c r="D1004" s="13">
        <f>+0.39</f>
        <v>0.39</v>
      </c>
      <c r="E1004" s="14">
        <f>+0.85%</f>
        <v>0.0085</v>
      </c>
      <c r="F1004" s="6">
        <v>46.01</v>
      </c>
      <c r="G1004" s="6">
        <v>45.95</v>
      </c>
      <c r="H1004" s="6">
        <v>46.23</v>
      </c>
      <c r="I1004" s="9">
        <v>4.0032655E7</v>
      </c>
      <c r="J1004" s="6">
        <v>1.85737144242E9</v>
      </c>
    </row>
    <row r="1005">
      <c r="A1005" s="4" t="s">
        <v>10</v>
      </c>
      <c r="B1005" s="5">
        <v>43095.0</v>
      </c>
      <c r="C1005" s="6">
        <v>46.18</v>
      </c>
      <c r="D1005" s="11">
        <v>-0.04</v>
      </c>
      <c r="E1005" s="12">
        <v>-9.0E-4</v>
      </c>
      <c r="F1005" s="6">
        <v>46.14</v>
      </c>
      <c r="G1005" s="6">
        <v>45.98</v>
      </c>
      <c r="H1005" s="6">
        <v>46.19</v>
      </c>
      <c r="I1005" s="9">
        <v>2.9614138E7</v>
      </c>
      <c r="J1005" s="6">
        <v>1.37477616261E9</v>
      </c>
    </row>
    <row r="1006">
      <c r="A1006" s="4" t="s">
        <v>10</v>
      </c>
      <c r="B1006" s="5">
        <v>43096.0</v>
      </c>
      <c r="C1006" s="6">
        <v>46.3</v>
      </c>
      <c r="D1006" s="13">
        <f>+0.12</f>
        <v>0.12</v>
      </c>
      <c r="E1006" s="14">
        <f>+0.26%</f>
        <v>0.0026</v>
      </c>
      <c r="F1006" s="6">
        <v>46.24</v>
      </c>
      <c r="G1006" s="6">
        <v>46.17</v>
      </c>
      <c r="H1006" s="6">
        <v>46.36</v>
      </c>
      <c r="I1006" s="9">
        <v>3.5373191E7</v>
      </c>
      <c r="J1006" s="6">
        <v>1.64661419172E9</v>
      </c>
    </row>
    <row r="1007">
      <c r="A1007" s="4" t="s">
        <v>10</v>
      </c>
      <c r="B1007" s="5">
        <v>43097.0</v>
      </c>
      <c r="C1007" s="6">
        <v>46.62</v>
      </c>
      <c r="D1007" s="13">
        <f>+0.32</f>
        <v>0.32</v>
      </c>
      <c r="E1007" s="14">
        <f>+0.69%</f>
        <v>0.0069</v>
      </c>
      <c r="F1007" s="6">
        <v>46.73</v>
      </c>
      <c r="G1007" s="6">
        <v>46.51</v>
      </c>
      <c r="H1007" s="6">
        <v>46.77</v>
      </c>
      <c r="I1007" s="9">
        <v>3.4284347E7</v>
      </c>
      <c r="J1007" s="6">
        <v>1.60903253182E9</v>
      </c>
    </row>
    <row r="1008">
      <c r="A1008" s="4" t="s">
        <v>10</v>
      </c>
      <c r="B1008" s="5">
        <v>43098.0</v>
      </c>
      <c r="C1008" s="6">
        <v>46.84</v>
      </c>
      <c r="D1008" s="13">
        <f>+0.22</f>
        <v>0.22</v>
      </c>
      <c r="E1008" s="14">
        <f>+0.47%</f>
        <v>0.0047</v>
      </c>
      <c r="F1008" s="6">
        <v>47.0</v>
      </c>
      <c r="G1008" s="6">
        <v>46.78</v>
      </c>
      <c r="H1008" s="6">
        <v>47.04</v>
      </c>
      <c r="I1008" s="9">
        <v>4.6485096E7</v>
      </c>
      <c r="J1008" s="6">
        <v>2.19277360417E9</v>
      </c>
    </row>
    <row r="1009">
      <c r="A1009" s="4" t="s">
        <v>10</v>
      </c>
      <c r="B1009" s="5">
        <v>43102.0</v>
      </c>
      <c r="C1009" s="6">
        <v>47.72</v>
      </c>
      <c r="D1009" s="13">
        <f>+0.88</f>
        <v>0.88</v>
      </c>
      <c r="E1009" s="14">
        <f>+1.89%</f>
        <v>0.0189</v>
      </c>
      <c r="F1009" s="6">
        <v>47.49</v>
      </c>
      <c r="G1009" s="6">
        <v>47.44</v>
      </c>
      <c r="H1009" s="6">
        <v>47.78</v>
      </c>
      <c r="I1009" s="9">
        <v>6.8969445E7</v>
      </c>
      <c r="J1009" s="6">
        <v>3.30361295767E9</v>
      </c>
    </row>
    <row r="1010">
      <c r="A1010" s="4" t="s">
        <v>10</v>
      </c>
      <c r="B1010" s="5">
        <v>43103.0</v>
      </c>
      <c r="C1010" s="6">
        <v>48.18</v>
      </c>
      <c r="D1010" s="13">
        <f>+0.46</f>
        <v>0.46</v>
      </c>
      <c r="E1010" s="14">
        <f>+0.96%</f>
        <v>0.0096</v>
      </c>
      <c r="F1010" s="6">
        <v>48.0</v>
      </c>
      <c r="G1010" s="6">
        <v>47.99</v>
      </c>
      <c r="H1010" s="6">
        <v>48.24</v>
      </c>
      <c r="I1010" s="9">
        <v>5.6228656E7</v>
      </c>
      <c r="J1010" s="6">
        <v>2.72344043883E9</v>
      </c>
    </row>
    <row r="1011">
      <c r="A1011" s="4" t="s">
        <v>10</v>
      </c>
      <c r="B1011" s="5">
        <v>43104.0</v>
      </c>
      <c r="C1011" s="6">
        <v>48.42</v>
      </c>
      <c r="D1011" s="13">
        <f>+0.24</f>
        <v>0.24</v>
      </c>
      <c r="E1011" s="14">
        <f>+0.5%</f>
        <v>0.005</v>
      </c>
      <c r="F1011" s="6">
        <v>48.3</v>
      </c>
      <c r="G1011" s="6">
        <v>48.28</v>
      </c>
      <c r="H1011" s="6">
        <v>48.49</v>
      </c>
      <c r="I1011" s="9">
        <v>5.2154899E7</v>
      </c>
      <c r="J1011" s="6">
        <v>2.53881616047E9</v>
      </c>
    </row>
    <row r="1012">
      <c r="A1012" s="4" t="s">
        <v>10</v>
      </c>
      <c r="B1012" s="5">
        <v>43105.0</v>
      </c>
      <c r="C1012" s="6">
        <v>48.84</v>
      </c>
      <c r="D1012" s="13">
        <f>+0.42</f>
        <v>0.42</v>
      </c>
      <c r="E1012" s="14">
        <f>+0.86%</f>
        <v>0.0086</v>
      </c>
      <c r="F1012" s="6">
        <v>48.53</v>
      </c>
      <c r="G1012" s="6">
        <v>48.48</v>
      </c>
      <c r="H1012" s="6">
        <v>48.85</v>
      </c>
      <c r="I1012" s="9">
        <v>5.0026859E7</v>
      </c>
      <c r="J1012" s="6">
        <v>2.45122594622E9</v>
      </c>
    </row>
    <row r="1013">
      <c r="A1013" s="4" t="s">
        <v>10</v>
      </c>
      <c r="B1013" s="5">
        <v>43108.0</v>
      </c>
      <c r="C1013" s="6">
        <v>48.84</v>
      </c>
      <c r="D1013" s="11">
        <v>0.0</v>
      </c>
      <c r="E1013" s="12">
        <v>0.0</v>
      </c>
      <c r="F1013" s="6">
        <v>48.77</v>
      </c>
      <c r="G1013" s="6">
        <v>48.73</v>
      </c>
      <c r="H1013" s="6">
        <v>48.92</v>
      </c>
      <c r="I1013" s="9">
        <v>3.6998238E7</v>
      </c>
      <c r="J1013" s="6">
        <v>1.81791104029E9</v>
      </c>
    </row>
    <row r="1014">
      <c r="A1014" s="4" t="s">
        <v>10</v>
      </c>
      <c r="B1014" s="5">
        <v>43109.0</v>
      </c>
      <c r="C1014" s="6">
        <v>48.76</v>
      </c>
      <c r="D1014" s="11">
        <v>-0.08</v>
      </c>
      <c r="E1014" s="12">
        <v>-0.0016</v>
      </c>
      <c r="F1014" s="6">
        <v>48.83</v>
      </c>
      <c r="G1014" s="6">
        <v>48.54</v>
      </c>
      <c r="H1014" s="6">
        <v>48.84</v>
      </c>
      <c r="I1014" s="9">
        <v>4.2131612E7</v>
      </c>
      <c r="J1014" s="6">
        <v>2.06513922443E9</v>
      </c>
    </row>
    <row r="1015">
      <c r="A1015" s="4" t="s">
        <v>10</v>
      </c>
      <c r="B1015" s="5">
        <v>43110.0</v>
      </c>
      <c r="C1015" s="6">
        <v>48.45</v>
      </c>
      <c r="D1015" s="11">
        <v>-0.31</v>
      </c>
      <c r="E1015" s="12">
        <v>-0.0063</v>
      </c>
      <c r="F1015" s="6">
        <v>48.39</v>
      </c>
      <c r="G1015" s="6">
        <v>48.24</v>
      </c>
      <c r="H1015" s="6">
        <v>48.55</v>
      </c>
      <c r="I1015" s="9">
        <v>7.2183945E7</v>
      </c>
      <c r="J1015" s="6">
        <v>3.51420192703E9</v>
      </c>
    </row>
    <row r="1016">
      <c r="A1016" s="4" t="s">
        <v>10</v>
      </c>
      <c r="B1016" s="5">
        <v>43111.0</v>
      </c>
      <c r="C1016" s="6">
        <v>48.75</v>
      </c>
      <c r="D1016" s="13">
        <f>+0.3</f>
        <v>0.3</v>
      </c>
      <c r="E1016" s="14">
        <f>+0.62%</f>
        <v>0.0062</v>
      </c>
      <c r="F1016" s="6">
        <v>48.38</v>
      </c>
      <c r="G1016" s="6">
        <v>48.37</v>
      </c>
      <c r="H1016" s="6">
        <v>48.75</v>
      </c>
      <c r="I1016" s="9">
        <v>3.8720921E7</v>
      </c>
      <c r="J1016" s="6">
        <v>1.89230947281E9</v>
      </c>
    </row>
    <row r="1017">
      <c r="A1017" s="4" t="s">
        <v>10</v>
      </c>
      <c r="B1017" s="5">
        <v>43112.0</v>
      </c>
      <c r="C1017" s="6">
        <v>49.21</v>
      </c>
      <c r="D1017" s="13">
        <f>+0.47</f>
        <v>0.47</v>
      </c>
      <c r="E1017" s="14">
        <f>+0.96%</f>
        <v>0.0096</v>
      </c>
      <c r="F1017" s="6">
        <v>48.85</v>
      </c>
      <c r="G1017" s="6">
        <v>48.72</v>
      </c>
      <c r="H1017" s="6">
        <v>49.24</v>
      </c>
      <c r="I1017" s="9">
        <v>6.93583E7</v>
      </c>
      <c r="J1017" s="6">
        <v>3.42353144234E9</v>
      </c>
    </row>
    <row r="1018">
      <c r="A1018" s="4" t="s">
        <v>10</v>
      </c>
      <c r="B1018" s="5">
        <v>43116.0</v>
      </c>
      <c r="C1018" s="6">
        <v>49.02</v>
      </c>
      <c r="D1018" s="11">
        <v>-0.19</v>
      </c>
      <c r="E1018" s="12">
        <v>-0.0038</v>
      </c>
      <c r="F1018" s="6">
        <v>49.4</v>
      </c>
      <c r="G1018" s="6">
        <v>48.93</v>
      </c>
      <c r="H1018" s="6">
        <v>49.55</v>
      </c>
      <c r="I1018" s="9">
        <v>8.0418039E7</v>
      </c>
      <c r="J1018" s="6">
        <v>3.9866786899E9</v>
      </c>
    </row>
    <row r="1019">
      <c r="A1019" s="4" t="s">
        <v>10</v>
      </c>
      <c r="B1019" s="5">
        <v>43117.0</v>
      </c>
      <c r="C1019" s="6">
        <v>49.67</v>
      </c>
      <c r="D1019" s="13">
        <f>+0.65</f>
        <v>0.65</v>
      </c>
      <c r="E1019" s="14">
        <f>+1.32%</f>
        <v>0.0132</v>
      </c>
      <c r="F1019" s="6">
        <v>49.4</v>
      </c>
      <c r="G1019" s="6">
        <v>49.33</v>
      </c>
      <c r="H1019" s="6">
        <v>49.79</v>
      </c>
      <c r="I1019" s="9">
        <v>6.5863461E7</v>
      </c>
      <c r="J1019" s="6">
        <v>3.28518957258E9</v>
      </c>
    </row>
    <row r="1020">
      <c r="A1020" s="4" t="s">
        <v>10</v>
      </c>
      <c r="B1020" s="5">
        <v>43118.0</v>
      </c>
      <c r="C1020" s="6">
        <v>49.73</v>
      </c>
      <c r="D1020" s="13">
        <f>+0.06</f>
        <v>0.06</v>
      </c>
      <c r="E1020" s="14">
        <f>+0.12%</f>
        <v>0.0012</v>
      </c>
      <c r="F1020" s="6">
        <v>49.66</v>
      </c>
      <c r="G1020" s="6">
        <v>49.59</v>
      </c>
      <c r="H1020" s="6">
        <v>49.8</v>
      </c>
      <c r="I1020" s="9">
        <v>3.3946964E7</v>
      </c>
      <c r="J1020" s="6">
        <v>1.6970208338E9</v>
      </c>
    </row>
    <row r="1021">
      <c r="A1021" s="4" t="s">
        <v>10</v>
      </c>
      <c r="B1021" s="5">
        <v>43119.0</v>
      </c>
      <c r="C1021" s="6">
        <v>50.14</v>
      </c>
      <c r="D1021" s="13">
        <f>+0.41</f>
        <v>0.41</v>
      </c>
      <c r="E1021" s="14">
        <f>+0.82%</f>
        <v>0.0082</v>
      </c>
      <c r="F1021" s="6">
        <v>49.98</v>
      </c>
      <c r="G1021" s="6">
        <v>49.82</v>
      </c>
      <c r="H1021" s="6">
        <v>50.14</v>
      </c>
      <c r="I1021" s="9">
        <v>6.0503664E7</v>
      </c>
      <c r="J1021" s="6">
        <v>3.04473763133E9</v>
      </c>
    </row>
    <row r="1022">
      <c r="A1022" s="4" t="s">
        <v>10</v>
      </c>
      <c r="B1022" s="5">
        <v>43122.0</v>
      </c>
      <c r="C1022" s="6">
        <v>50.43</v>
      </c>
      <c r="D1022" s="13">
        <f>+0.29</f>
        <v>0.29</v>
      </c>
      <c r="E1022" s="14">
        <f>+0.57%</f>
        <v>0.0057</v>
      </c>
      <c r="F1022" s="6">
        <v>50.11</v>
      </c>
      <c r="G1022" s="6">
        <v>50.0</v>
      </c>
      <c r="H1022" s="6">
        <v>50.43</v>
      </c>
      <c r="I1022" s="9">
        <v>4.919123E7</v>
      </c>
      <c r="J1022" s="6">
        <v>2.48588146735E9</v>
      </c>
    </row>
    <row r="1023">
      <c r="A1023" s="4" t="s">
        <v>10</v>
      </c>
      <c r="B1023" s="5">
        <v>43123.0</v>
      </c>
      <c r="C1023" s="6">
        <v>50.66</v>
      </c>
      <c r="D1023" s="13">
        <f>+0.24</f>
        <v>0.24</v>
      </c>
      <c r="E1023" s="14">
        <f>+0.47%</f>
        <v>0.0047</v>
      </c>
      <c r="F1023" s="6">
        <v>50.43</v>
      </c>
      <c r="G1023" s="6">
        <v>50.35</v>
      </c>
      <c r="H1023" s="6">
        <v>50.68</v>
      </c>
      <c r="I1023" s="9">
        <v>6.1277278E7</v>
      </c>
      <c r="J1023" s="6">
        <v>3.11649978909E9</v>
      </c>
    </row>
    <row r="1024">
      <c r="A1024" s="4" t="s">
        <v>10</v>
      </c>
      <c r="B1024" s="5">
        <v>43124.0</v>
      </c>
      <c r="C1024" s="6">
        <v>51.09</v>
      </c>
      <c r="D1024" s="13">
        <f>+0.43</f>
        <v>0.43</v>
      </c>
      <c r="E1024" s="14">
        <f>+0.84%</f>
        <v>0.0084</v>
      </c>
      <c r="F1024" s="6">
        <v>50.99</v>
      </c>
      <c r="G1024" s="6">
        <v>50.73</v>
      </c>
      <c r="H1024" s="6">
        <v>51.21</v>
      </c>
      <c r="I1024" s="9">
        <v>6.3963102E7</v>
      </c>
      <c r="J1024" s="6">
        <v>3.2843974039E9</v>
      </c>
    </row>
    <row r="1025">
      <c r="A1025" s="4" t="s">
        <v>10</v>
      </c>
      <c r="B1025" s="5">
        <v>43125.0</v>
      </c>
      <c r="C1025" s="6">
        <v>51.06</v>
      </c>
      <c r="D1025" s="11">
        <v>-0.03</v>
      </c>
      <c r="E1025" s="12">
        <v>-6.0E-4</v>
      </c>
      <c r="F1025" s="6">
        <v>51.14</v>
      </c>
      <c r="G1025" s="6">
        <v>50.9</v>
      </c>
      <c r="H1025" s="6">
        <v>51.52</v>
      </c>
      <c r="I1025" s="9">
        <v>6.1533725E7</v>
      </c>
      <c r="J1025" s="6">
        <v>3.17071417713E9</v>
      </c>
    </row>
    <row r="1026">
      <c r="A1026" s="4" t="s">
        <v>10</v>
      </c>
      <c r="B1026" s="5">
        <v>43126.0</v>
      </c>
      <c r="C1026" s="6">
        <v>51.77</v>
      </c>
      <c r="D1026" s="13">
        <f>+0.71</f>
        <v>0.71</v>
      </c>
      <c r="E1026" s="14">
        <f>+1.38%</f>
        <v>0.0138</v>
      </c>
      <c r="F1026" s="6">
        <v>51.42</v>
      </c>
      <c r="G1026" s="6">
        <v>51.3</v>
      </c>
      <c r="H1026" s="6">
        <v>51.77</v>
      </c>
      <c r="I1026" s="9">
        <v>8.0566213E7</v>
      </c>
      <c r="J1026" s="6">
        <v>4.17937560642E9</v>
      </c>
    </row>
    <row r="1027">
      <c r="A1027" s="4" t="s">
        <v>10</v>
      </c>
      <c r="B1027" s="5">
        <v>43129.0</v>
      </c>
      <c r="C1027" s="6">
        <v>50.98</v>
      </c>
      <c r="D1027" s="11">
        <v>-0.79</v>
      </c>
      <c r="E1027" s="12">
        <v>-0.0152</v>
      </c>
      <c r="F1027" s="6">
        <v>51.14</v>
      </c>
      <c r="G1027" s="6">
        <v>50.91</v>
      </c>
      <c r="H1027" s="6">
        <v>51.2</v>
      </c>
      <c r="I1027" s="9">
        <v>5.8884196E7</v>
      </c>
      <c r="J1027" s="6">
        <v>3.02527926723E9</v>
      </c>
    </row>
    <row r="1028">
      <c r="A1028" s="4" t="s">
        <v>10</v>
      </c>
      <c r="B1028" s="5">
        <v>43130.0</v>
      </c>
      <c r="C1028" s="6">
        <v>50.29</v>
      </c>
      <c r="D1028" s="11">
        <v>-0.7</v>
      </c>
      <c r="E1028" s="12">
        <v>-0.0136</v>
      </c>
      <c r="F1028" s="6">
        <v>50.44</v>
      </c>
      <c r="G1028" s="6">
        <v>50.08</v>
      </c>
      <c r="H1028" s="6">
        <v>50.5</v>
      </c>
      <c r="I1028" s="9">
        <v>8.7601422E7</v>
      </c>
      <c r="J1028" s="6">
        <v>4.43188515359E9</v>
      </c>
    </row>
    <row r="1029">
      <c r="A1029" s="4" t="s">
        <v>10</v>
      </c>
      <c r="B1029" s="5">
        <v>43131.0</v>
      </c>
      <c r="C1029" s="6">
        <v>50.72</v>
      </c>
      <c r="D1029" s="13">
        <f>+0.44</f>
        <v>0.44</v>
      </c>
      <c r="E1029" s="14">
        <f>+0.87%</f>
        <v>0.0087</v>
      </c>
      <c r="F1029" s="6">
        <v>50.97</v>
      </c>
      <c r="G1029" s="6">
        <v>50.33</v>
      </c>
      <c r="H1029" s="6">
        <v>51.03</v>
      </c>
      <c r="I1029" s="9">
        <v>9.6959601E7</v>
      </c>
      <c r="J1029" s="6">
        <v>4.94319367942E9</v>
      </c>
    </row>
    <row r="1030">
      <c r="A1030" s="4" t="s">
        <v>10</v>
      </c>
      <c r="B1030" s="5">
        <v>43132.0</v>
      </c>
      <c r="C1030" s="6">
        <v>50.04</v>
      </c>
      <c r="D1030" s="11">
        <v>-0.69</v>
      </c>
      <c r="E1030" s="12">
        <v>-0.0135</v>
      </c>
      <c r="F1030" s="6">
        <v>50.27</v>
      </c>
      <c r="G1030" s="6">
        <v>50.0</v>
      </c>
      <c r="H1030" s="6">
        <v>50.55</v>
      </c>
      <c r="I1030" s="9">
        <v>7.2143773E7</v>
      </c>
      <c r="J1030" s="6">
        <v>3.64619189505E9</v>
      </c>
    </row>
    <row r="1031">
      <c r="A1031" s="4" t="s">
        <v>10</v>
      </c>
      <c r="B1031" s="5">
        <v>43133.0</v>
      </c>
      <c r="C1031" s="6">
        <v>48.76</v>
      </c>
      <c r="D1031" s="11">
        <v>-1.28</v>
      </c>
      <c r="E1031" s="12">
        <v>-0.0256</v>
      </c>
      <c r="F1031" s="6">
        <v>49.52</v>
      </c>
      <c r="G1031" s="6">
        <v>48.72</v>
      </c>
      <c r="H1031" s="6">
        <v>49.55</v>
      </c>
      <c r="I1031" s="9">
        <v>1.16832751E8</v>
      </c>
      <c r="J1031" s="6">
        <v>5.77281301914E9</v>
      </c>
    </row>
    <row r="1032">
      <c r="A1032" s="4" t="s">
        <v>10</v>
      </c>
      <c r="B1032" s="5">
        <v>43136.0</v>
      </c>
      <c r="C1032" s="6">
        <v>47.05</v>
      </c>
      <c r="D1032" s="11">
        <v>-1.71</v>
      </c>
      <c r="E1032" s="12">
        <v>-0.0351</v>
      </c>
      <c r="F1032" s="6">
        <v>48.69</v>
      </c>
      <c r="G1032" s="6">
        <v>47.05</v>
      </c>
      <c r="H1032" s="6">
        <v>49.18</v>
      </c>
      <c r="I1032" s="9">
        <v>1.51202055E8</v>
      </c>
      <c r="J1032" s="6">
        <v>7.31000343562E9</v>
      </c>
    </row>
    <row r="1033">
      <c r="A1033" s="4" t="s">
        <v>10</v>
      </c>
      <c r="B1033" s="5">
        <v>43137.0</v>
      </c>
      <c r="C1033" s="6">
        <v>48.58</v>
      </c>
      <c r="D1033" s="13">
        <f>+1.53</f>
        <v>1.53</v>
      </c>
      <c r="E1033" s="14">
        <f>+3.25%</f>
        <v>0.0325</v>
      </c>
      <c r="F1033" s="6">
        <v>47.04</v>
      </c>
      <c r="G1033" s="6">
        <v>46.9</v>
      </c>
      <c r="H1033" s="6">
        <v>48.98</v>
      </c>
      <c r="I1033" s="9">
        <v>1.83650323E8</v>
      </c>
      <c r="J1033" s="6">
        <v>8.88536962215E9</v>
      </c>
    </row>
    <row r="1034">
      <c r="A1034" s="4" t="s">
        <v>10</v>
      </c>
      <c r="B1034" s="5">
        <v>43138.0</v>
      </c>
      <c r="C1034" s="6">
        <v>47.05</v>
      </c>
      <c r="D1034" s="11">
        <v>-1.53</v>
      </c>
      <c r="E1034" s="12">
        <v>-0.0315</v>
      </c>
      <c r="F1034" s="6">
        <v>47.71</v>
      </c>
      <c r="G1034" s="6">
        <v>47.02</v>
      </c>
      <c r="H1034" s="6">
        <v>48.23</v>
      </c>
      <c r="I1034" s="9">
        <v>1.5630121E8</v>
      </c>
      <c r="J1034" s="6">
        <v>7.49308010377E9</v>
      </c>
    </row>
    <row r="1035">
      <c r="A1035" s="4" t="s">
        <v>10</v>
      </c>
      <c r="B1035" s="5">
        <v>43139.0</v>
      </c>
      <c r="C1035" s="6">
        <v>45.42</v>
      </c>
      <c r="D1035" s="11">
        <v>-1.63</v>
      </c>
      <c r="E1035" s="12">
        <v>-0.0347</v>
      </c>
      <c r="F1035" s="6">
        <v>47.34</v>
      </c>
      <c r="G1035" s="6">
        <v>45.36</v>
      </c>
      <c r="H1035" s="6">
        <v>47.38</v>
      </c>
      <c r="I1035" s="9">
        <v>1.63250216E8</v>
      </c>
      <c r="J1035" s="6">
        <v>7.59350284483E9</v>
      </c>
    </row>
    <row r="1036">
      <c r="A1036" s="4" t="s">
        <v>10</v>
      </c>
      <c r="B1036" s="5">
        <v>43140.0</v>
      </c>
      <c r="C1036" s="6">
        <v>46.14</v>
      </c>
      <c r="D1036" s="13">
        <f t="shared" ref="D1036:D1037" si="6">+0.73</f>
        <v>0.73</v>
      </c>
      <c r="E1036" s="14">
        <f>+1.6%</f>
        <v>0.016</v>
      </c>
      <c r="F1036" s="6">
        <v>46.03</v>
      </c>
      <c r="G1036" s="6">
        <v>44.76</v>
      </c>
      <c r="H1036" s="6">
        <v>46.5</v>
      </c>
      <c r="I1036" s="9">
        <v>1.53419817E8</v>
      </c>
      <c r="J1036" s="6">
        <v>7.06311075465E9</v>
      </c>
    </row>
    <row r="1037">
      <c r="A1037" s="4" t="s">
        <v>10</v>
      </c>
      <c r="B1037" s="5">
        <v>43143.0</v>
      </c>
      <c r="C1037" s="6">
        <v>46.87</v>
      </c>
      <c r="D1037" s="13">
        <f t="shared" si="6"/>
        <v>0.73</v>
      </c>
      <c r="E1037" s="14">
        <f>+1.57%</f>
        <v>0.0157</v>
      </c>
      <c r="F1037" s="6">
        <v>46.79</v>
      </c>
      <c r="G1037" s="6">
        <v>46.38</v>
      </c>
      <c r="H1037" s="6">
        <v>47.21</v>
      </c>
      <c r="I1037" s="9">
        <v>1.04447724E8</v>
      </c>
      <c r="J1037" s="6">
        <v>4.92229677954E9</v>
      </c>
    </row>
    <row r="1038">
      <c r="A1038" s="4" t="s">
        <v>10</v>
      </c>
      <c r="B1038" s="5">
        <v>43144.0</v>
      </c>
      <c r="C1038" s="6">
        <v>47.23</v>
      </c>
      <c r="D1038" s="13">
        <f>+0.36</f>
        <v>0.36</v>
      </c>
      <c r="E1038" s="14">
        <f>+0.76%</f>
        <v>0.0076</v>
      </c>
      <c r="F1038" s="6">
        <v>46.94</v>
      </c>
      <c r="G1038" s="6">
        <v>46.89</v>
      </c>
      <c r="H1038" s="6">
        <v>47.36</v>
      </c>
      <c r="I1038" s="9">
        <v>5.5739728E7</v>
      </c>
      <c r="J1038" s="6">
        <v>2.64442441945E9</v>
      </c>
    </row>
    <row r="1039">
      <c r="A1039" s="4" t="s">
        <v>10</v>
      </c>
      <c r="B1039" s="5">
        <v>43145.0</v>
      </c>
      <c r="C1039" s="6">
        <v>48.41</v>
      </c>
      <c r="D1039" s="13">
        <f>+1.18</f>
        <v>1.18</v>
      </c>
      <c r="E1039" s="14">
        <f>+2.5%</f>
        <v>0.025</v>
      </c>
      <c r="F1039" s="6">
        <v>47.13</v>
      </c>
      <c r="G1039" s="6">
        <v>47.11</v>
      </c>
      <c r="H1039" s="6">
        <v>48.52</v>
      </c>
      <c r="I1039" s="9">
        <v>9.6491519E7</v>
      </c>
      <c r="J1039" s="6">
        <v>4.65589491235E9</v>
      </c>
    </row>
    <row r="1040">
      <c r="A1040" s="4" t="s">
        <v>10</v>
      </c>
      <c r="B1040" s="5">
        <v>43146.0</v>
      </c>
      <c r="C1040" s="6">
        <v>49.4</v>
      </c>
      <c r="D1040" s="13">
        <f>+0.99</f>
        <v>0.99</v>
      </c>
      <c r="E1040" s="14">
        <f>+2.05%</f>
        <v>0.0205</v>
      </c>
      <c r="F1040" s="6">
        <v>49.26</v>
      </c>
      <c r="G1040" s="6">
        <v>48.7</v>
      </c>
      <c r="H1040" s="6">
        <v>49.56</v>
      </c>
      <c r="I1040" s="9">
        <v>9.5168116E7</v>
      </c>
      <c r="J1040" s="6">
        <v>4.71186577106E9</v>
      </c>
    </row>
    <row r="1041">
      <c r="A1041" s="4" t="s">
        <v>10</v>
      </c>
      <c r="B1041" s="5">
        <v>43147.0</v>
      </c>
      <c r="C1041" s="6">
        <v>49.24</v>
      </c>
      <c r="D1041" s="11">
        <v>-0.16</v>
      </c>
      <c r="E1041" s="12">
        <v>-0.0032</v>
      </c>
      <c r="F1041" s="6">
        <v>49.04</v>
      </c>
      <c r="G1041" s="6">
        <v>49.03</v>
      </c>
      <c r="H1041" s="6">
        <v>49.69</v>
      </c>
      <c r="I1041" s="9">
        <v>7.0876396E7</v>
      </c>
      <c r="J1041" s="6">
        <v>3.51740529897E9</v>
      </c>
    </row>
    <row r="1042">
      <c r="A1042" s="4" t="s">
        <v>10</v>
      </c>
      <c r="B1042" s="5">
        <v>43151.0</v>
      </c>
      <c r="C1042" s="6">
        <v>48.57</v>
      </c>
      <c r="D1042" s="11">
        <v>-0.68</v>
      </c>
      <c r="E1042" s="12">
        <v>-0.0137</v>
      </c>
      <c r="F1042" s="6">
        <v>48.37</v>
      </c>
      <c r="G1042" s="6">
        <v>48.3</v>
      </c>
      <c r="H1042" s="6">
        <v>48.74</v>
      </c>
      <c r="I1042" s="9">
        <v>7.8660318E7</v>
      </c>
      <c r="J1042" s="6">
        <v>3.8449238936E9</v>
      </c>
    </row>
    <row r="1043">
      <c r="A1043" s="4" t="s">
        <v>10</v>
      </c>
      <c r="B1043" s="5">
        <v>43152.0</v>
      </c>
      <c r="C1043" s="6">
        <v>48.53</v>
      </c>
      <c r="D1043" s="11">
        <v>-0.04</v>
      </c>
      <c r="E1043" s="12">
        <v>-8.0E-4</v>
      </c>
      <c r="F1043" s="6">
        <v>49.0</v>
      </c>
      <c r="G1043" s="6">
        <v>48.49</v>
      </c>
      <c r="H1043" s="6">
        <v>49.56</v>
      </c>
      <c r="I1043" s="9">
        <v>6.6591916E7</v>
      </c>
      <c r="J1043" s="6">
        <v>3.28400773342E9</v>
      </c>
    </row>
    <row r="1044">
      <c r="A1044" s="4" t="s">
        <v>10</v>
      </c>
      <c r="B1044" s="5">
        <v>43153.0</v>
      </c>
      <c r="C1044" s="6">
        <v>48.56</v>
      </c>
      <c r="D1044" s="13">
        <f>+0.03</f>
        <v>0.03</v>
      </c>
      <c r="E1044" s="14">
        <f>+0.06%</f>
        <v>0.0006</v>
      </c>
      <c r="F1044" s="6">
        <v>48.68</v>
      </c>
      <c r="G1044" s="6">
        <v>48.52</v>
      </c>
      <c r="H1044" s="6">
        <v>49.05</v>
      </c>
      <c r="I1044" s="9">
        <v>6.2436347E7</v>
      </c>
      <c r="J1044" s="6">
        <v>3.06082528573E9</v>
      </c>
    </row>
    <row r="1045">
      <c r="A1045" s="4" t="s">
        <v>10</v>
      </c>
      <c r="B1045" s="5">
        <v>43154.0</v>
      </c>
      <c r="C1045" s="6">
        <v>49.42</v>
      </c>
      <c r="D1045" s="13">
        <f>+0.86</f>
        <v>0.86</v>
      </c>
      <c r="E1045" s="14">
        <f>+1.78%</f>
        <v>0.0178</v>
      </c>
      <c r="F1045" s="6">
        <v>49.15</v>
      </c>
      <c r="G1045" s="6">
        <v>48.94</v>
      </c>
      <c r="H1045" s="6">
        <v>49.44</v>
      </c>
      <c r="I1045" s="9">
        <v>4.3623263E7</v>
      </c>
      <c r="J1045" s="6">
        <v>2.16174908165E9</v>
      </c>
    </row>
    <row r="1046">
      <c r="A1046" s="4" t="s">
        <v>10</v>
      </c>
      <c r="B1046" s="5">
        <v>43157.0</v>
      </c>
      <c r="C1046" s="6">
        <v>49.88</v>
      </c>
      <c r="D1046" s="13">
        <f>+0.46</f>
        <v>0.46</v>
      </c>
      <c r="E1046" s="14">
        <f>+0.93%</f>
        <v>0.0093</v>
      </c>
      <c r="F1046" s="6">
        <v>49.55</v>
      </c>
      <c r="G1046" s="6">
        <v>49.27</v>
      </c>
      <c r="H1046" s="6">
        <v>49.88</v>
      </c>
      <c r="I1046" s="9">
        <v>5.1742594E7</v>
      </c>
      <c r="J1046" s="6">
        <v>2.58447864179E9</v>
      </c>
    </row>
    <row r="1047">
      <c r="A1047" s="4" t="s">
        <v>10</v>
      </c>
      <c r="B1047" s="5">
        <v>43158.0</v>
      </c>
      <c r="C1047" s="6">
        <v>48.43</v>
      </c>
      <c r="D1047" s="11">
        <v>-1.45</v>
      </c>
      <c r="E1047" s="12">
        <v>-0.0291</v>
      </c>
      <c r="F1047" s="6">
        <v>49.23</v>
      </c>
      <c r="G1047" s="6">
        <v>48.43</v>
      </c>
      <c r="H1047" s="6">
        <v>49.29</v>
      </c>
      <c r="I1047" s="9">
        <v>9.4670974E7</v>
      </c>
      <c r="J1047" s="6">
        <v>4.64111325903E9</v>
      </c>
    </row>
    <row r="1048">
      <c r="A1048" s="4" t="s">
        <v>10</v>
      </c>
      <c r="B1048" s="5">
        <v>43159.0</v>
      </c>
      <c r="C1048" s="6">
        <v>47.73</v>
      </c>
      <c r="D1048" s="11">
        <v>-0.7</v>
      </c>
      <c r="E1048" s="12">
        <v>-0.0144</v>
      </c>
      <c r="F1048" s="6">
        <v>48.54</v>
      </c>
      <c r="G1048" s="6">
        <v>47.73</v>
      </c>
      <c r="H1048" s="6">
        <v>48.59</v>
      </c>
      <c r="I1048" s="9">
        <v>1.02169924E8</v>
      </c>
      <c r="J1048" s="6">
        <v>4.94434938367E9</v>
      </c>
    </row>
    <row r="1049">
      <c r="A1049" s="4" t="s">
        <v>10</v>
      </c>
      <c r="B1049" s="5">
        <v>43160.0</v>
      </c>
      <c r="C1049" s="6">
        <v>47.64</v>
      </c>
      <c r="D1049" s="11">
        <v>-0.09</v>
      </c>
      <c r="E1049" s="12">
        <v>-0.0019</v>
      </c>
      <c r="F1049" s="6">
        <v>48.08</v>
      </c>
      <c r="G1049" s="6">
        <v>47.22</v>
      </c>
      <c r="H1049" s="6">
        <v>48.46</v>
      </c>
      <c r="I1049" s="9">
        <v>1.12694415E8</v>
      </c>
      <c r="J1049" s="6">
        <v>5.42712524033E9</v>
      </c>
    </row>
    <row r="1050">
      <c r="A1050" s="4" t="s">
        <v>10</v>
      </c>
      <c r="B1050" s="5">
        <v>43161.0</v>
      </c>
      <c r="C1050" s="6">
        <v>47.84</v>
      </c>
      <c r="D1050" s="13">
        <f>+0.2</f>
        <v>0.2</v>
      </c>
      <c r="E1050" s="14">
        <f>+0.42%</f>
        <v>0.0042</v>
      </c>
      <c r="F1050" s="6">
        <v>47.07</v>
      </c>
      <c r="G1050" s="6">
        <v>46.82</v>
      </c>
      <c r="H1050" s="6">
        <v>47.94</v>
      </c>
      <c r="I1050" s="9">
        <v>7.275615E7</v>
      </c>
      <c r="J1050" s="6">
        <v>3.47069954358E9</v>
      </c>
    </row>
    <row r="1051">
      <c r="A1051" s="4" t="s">
        <v>10</v>
      </c>
      <c r="B1051" s="5">
        <v>43164.0</v>
      </c>
      <c r="C1051" s="6">
        <v>47.91</v>
      </c>
      <c r="D1051" s="13">
        <f>+0.07</f>
        <v>0.07</v>
      </c>
      <c r="E1051" s="14">
        <f>+0.15%</f>
        <v>0.0015</v>
      </c>
      <c r="F1051" s="6">
        <v>47.32</v>
      </c>
      <c r="G1051" s="6">
        <v>47.26</v>
      </c>
      <c r="H1051" s="6">
        <v>48.0</v>
      </c>
      <c r="I1051" s="9">
        <v>5.5905433E7</v>
      </c>
      <c r="J1051" s="6">
        <v>2.6843720158E9</v>
      </c>
    </row>
    <row r="1052">
      <c r="A1052" s="4" t="s">
        <v>10</v>
      </c>
      <c r="B1052" s="5">
        <v>43165.0</v>
      </c>
      <c r="C1052" s="6">
        <v>48.36</v>
      </c>
      <c r="D1052" s="13">
        <f>+0.45</f>
        <v>0.45</v>
      </c>
      <c r="E1052" s="14">
        <f>+0.93%</f>
        <v>0.0093</v>
      </c>
      <c r="F1052" s="6">
        <v>48.72</v>
      </c>
      <c r="G1052" s="6">
        <v>48.23</v>
      </c>
      <c r="H1052" s="6">
        <v>48.74</v>
      </c>
      <c r="I1052" s="9">
        <v>5.719922E7</v>
      </c>
      <c r="J1052" s="6">
        <v>2.78979265669E9</v>
      </c>
    </row>
    <row r="1053">
      <c r="A1053" s="4" t="s">
        <v>10</v>
      </c>
      <c r="B1053" s="5">
        <v>43166.0</v>
      </c>
      <c r="C1053" s="6">
        <v>48.41</v>
      </c>
      <c r="D1053" s="13">
        <f>+0.05</f>
        <v>0.05</v>
      </c>
      <c r="E1053" s="14">
        <f>+0.1%</f>
        <v>0.001</v>
      </c>
      <c r="F1053" s="6">
        <v>48.05</v>
      </c>
      <c r="G1053" s="6">
        <v>47.83</v>
      </c>
      <c r="H1053" s="6">
        <v>48.44</v>
      </c>
      <c r="I1053" s="9">
        <v>4.6554777E7</v>
      </c>
      <c r="J1053" s="6">
        <v>2.25456115659E9</v>
      </c>
    </row>
    <row r="1054">
      <c r="A1054" s="4" t="s">
        <v>10</v>
      </c>
      <c r="B1054" s="5">
        <v>43167.0</v>
      </c>
      <c r="C1054" s="6">
        <v>48.42</v>
      </c>
      <c r="D1054" s="13">
        <f>+0.01</f>
        <v>0.01</v>
      </c>
      <c r="E1054" s="14">
        <f>+0.02%</f>
        <v>0.0002</v>
      </c>
      <c r="F1054" s="6">
        <v>48.5</v>
      </c>
      <c r="G1054" s="6">
        <v>48.19</v>
      </c>
      <c r="H1054" s="6">
        <v>48.55</v>
      </c>
      <c r="I1054" s="9">
        <v>4.6733946E7</v>
      </c>
      <c r="J1054" s="6">
        <v>2.27460427441E9</v>
      </c>
    </row>
    <row r="1055">
      <c r="A1055" s="4" t="s">
        <v>10</v>
      </c>
      <c r="B1055" s="5">
        <v>43168.0</v>
      </c>
      <c r="C1055" s="6">
        <v>49.45</v>
      </c>
      <c r="D1055" s="13">
        <f>+1.03</f>
        <v>1.03</v>
      </c>
      <c r="E1055" s="14">
        <f>+2.14%</f>
        <v>0.0214</v>
      </c>
      <c r="F1055" s="6">
        <v>48.82</v>
      </c>
      <c r="G1055" s="6">
        <v>48.78</v>
      </c>
      <c r="H1055" s="6">
        <v>49.47</v>
      </c>
      <c r="I1055" s="9">
        <v>5.8818725E7</v>
      </c>
      <c r="J1055" s="6">
        <v>2.91281751856E9</v>
      </c>
    </row>
    <row r="1056">
      <c r="A1056" s="4" t="s">
        <v>10</v>
      </c>
      <c r="B1056" s="5">
        <v>43171.0</v>
      </c>
      <c r="C1056" s="6">
        <v>49.57</v>
      </c>
      <c r="D1056" s="13">
        <f>+0.12</f>
        <v>0.12</v>
      </c>
      <c r="E1056" s="14">
        <f>+0.24%</f>
        <v>0.0024</v>
      </c>
      <c r="F1056" s="6">
        <v>49.51</v>
      </c>
      <c r="G1056" s="6">
        <v>49.31</v>
      </c>
      <c r="H1056" s="6">
        <v>49.67</v>
      </c>
      <c r="I1056" s="9">
        <v>5.2944535E7</v>
      </c>
      <c r="J1056" s="6">
        <v>2.63848054923E9</v>
      </c>
    </row>
    <row r="1057">
      <c r="A1057" s="4" t="s">
        <v>10</v>
      </c>
      <c r="B1057" s="5">
        <v>43172.0</v>
      </c>
      <c r="C1057" s="6">
        <v>49.12</v>
      </c>
      <c r="D1057" s="11">
        <v>-0.45</v>
      </c>
      <c r="E1057" s="12">
        <v>-0.009</v>
      </c>
      <c r="F1057" s="6">
        <v>49.8</v>
      </c>
      <c r="G1057" s="6">
        <v>48.94</v>
      </c>
      <c r="H1057" s="6">
        <v>49.88</v>
      </c>
      <c r="I1057" s="9">
        <v>6.0376008E7</v>
      </c>
      <c r="J1057" s="6">
        <v>2.99557108271E9</v>
      </c>
    </row>
    <row r="1058">
      <c r="A1058" s="4" t="s">
        <v>10</v>
      </c>
      <c r="B1058" s="5">
        <v>43173.0</v>
      </c>
      <c r="C1058" s="6">
        <v>49.2</v>
      </c>
      <c r="D1058" s="13">
        <f>+0.08</f>
        <v>0.08</v>
      </c>
      <c r="E1058" s="14">
        <f>+0.16%</f>
        <v>0.0016</v>
      </c>
      <c r="F1058" s="6">
        <v>49.49</v>
      </c>
      <c r="G1058" s="6">
        <v>48.93</v>
      </c>
      <c r="H1058" s="6">
        <v>49.56</v>
      </c>
      <c r="I1058" s="9">
        <v>5.1067183E7</v>
      </c>
      <c r="J1058" s="6">
        <v>2.52703619742E9</v>
      </c>
    </row>
    <row r="1059">
      <c r="A1059" s="4" t="s">
        <v>10</v>
      </c>
      <c r="B1059" s="5">
        <v>43174.0</v>
      </c>
      <c r="C1059" s="6">
        <v>49.02</v>
      </c>
      <c r="D1059" s="11">
        <v>-0.18</v>
      </c>
      <c r="E1059" s="12">
        <v>-0.0036</v>
      </c>
      <c r="F1059" s="6">
        <v>49.36</v>
      </c>
      <c r="G1059" s="6">
        <v>48.85</v>
      </c>
      <c r="H1059" s="6">
        <v>49.43</v>
      </c>
      <c r="I1059" s="9">
        <v>6.5778886E7</v>
      </c>
      <c r="J1059" s="6">
        <v>3.25021272612E9</v>
      </c>
    </row>
    <row r="1060">
      <c r="A1060" s="4" t="s">
        <v>10</v>
      </c>
      <c r="B1060" s="5">
        <v>43175.0</v>
      </c>
      <c r="C1060" s="6">
        <v>48.91</v>
      </c>
      <c r="D1060" s="11">
        <v>-0.11</v>
      </c>
      <c r="E1060" s="12">
        <v>-0.0022</v>
      </c>
      <c r="F1060" s="6">
        <v>48.85</v>
      </c>
      <c r="G1060" s="6">
        <v>48.83</v>
      </c>
      <c r="H1060" s="6">
        <v>49.05</v>
      </c>
      <c r="I1060" s="9">
        <v>6.6155822E7</v>
      </c>
      <c r="J1060" s="6">
        <v>3.25726700936E9</v>
      </c>
    </row>
    <row r="1061">
      <c r="A1061" s="4" t="s">
        <v>10</v>
      </c>
      <c r="B1061" s="5">
        <v>43178.0</v>
      </c>
      <c r="C1061" s="6">
        <v>48.39</v>
      </c>
      <c r="D1061" s="11">
        <v>-0.53</v>
      </c>
      <c r="E1061" s="12">
        <v>-0.0108</v>
      </c>
      <c r="F1061" s="6">
        <v>48.6</v>
      </c>
      <c r="G1061" s="6">
        <v>48.1</v>
      </c>
      <c r="H1061" s="6">
        <v>48.71</v>
      </c>
      <c r="I1061" s="9">
        <v>6.5394241E7</v>
      </c>
      <c r="J1061" s="6">
        <v>3.18404781266E9</v>
      </c>
    </row>
    <row r="1062">
      <c r="A1062" s="4" t="s">
        <v>10</v>
      </c>
      <c r="B1062" s="5">
        <v>43179.0</v>
      </c>
      <c r="C1062" s="6">
        <v>48.92</v>
      </c>
      <c r="D1062" s="13">
        <f>+0.54</f>
        <v>0.54</v>
      </c>
      <c r="E1062" s="14">
        <f>+1.11%</f>
        <v>0.0111</v>
      </c>
      <c r="F1062" s="6">
        <v>48.8</v>
      </c>
      <c r="G1062" s="6">
        <v>48.69</v>
      </c>
      <c r="H1062" s="6">
        <v>49.04</v>
      </c>
      <c r="I1062" s="9">
        <v>6.0101736E7</v>
      </c>
      <c r="J1062" s="6">
        <v>2.95699132646E9</v>
      </c>
    </row>
    <row r="1063">
      <c r="A1063" s="4" t="s">
        <v>10</v>
      </c>
      <c r="B1063" s="5">
        <v>43180.0</v>
      </c>
      <c r="C1063" s="6">
        <v>49.21</v>
      </c>
      <c r="D1063" s="13">
        <f>+0.29</f>
        <v>0.29</v>
      </c>
      <c r="E1063" s="14">
        <f>+0.59%</f>
        <v>0.0059</v>
      </c>
      <c r="F1063" s="6">
        <v>48.87</v>
      </c>
      <c r="G1063" s="6">
        <v>48.72</v>
      </c>
      <c r="H1063" s="6">
        <v>49.4</v>
      </c>
      <c r="I1063" s="9">
        <v>7.857513E7</v>
      </c>
      <c r="J1063" s="6">
        <v>3.87756052719E9</v>
      </c>
    </row>
    <row r="1064">
      <c r="A1064" s="4" t="s">
        <v>10</v>
      </c>
      <c r="B1064" s="5">
        <v>43181.0</v>
      </c>
      <c r="C1064" s="6">
        <v>47.57</v>
      </c>
      <c r="D1064" s="11">
        <v>-1.64</v>
      </c>
      <c r="E1064" s="12">
        <v>-0.0333</v>
      </c>
      <c r="F1064" s="6">
        <v>48.08</v>
      </c>
      <c r="G1064" s="6">
        <v>47.49</v>
      </c>
      <c r="H1064" s="6">
        <v>48.32</v>
      </c>
      <c r="I1064" s="9">
        <v>8.7622656E7</v>
      </c>
      <c r="J1064" s="6">
        <v>4.21633955319E9</v>
      </c>
    </row>
    <row r="1065">
      <c r="A1065" s="4" t="s">
        <v>10</v>
      </c>
      <c r="B1065" s="5">
        <v>43182.0</v>
      </c>
      <c r="C1065" s="6">
        <v>46.61</v>
      </c>
      <c r="D1065" s="11">
        <v>-0.96</v>
      </c>
      <c r="E1065" s="12">
        <v>-0.0203</v>
      </c>
      <c r="F1065" s="6">
        <v>47.65</v>
      </c>
      <c r="G1065" s="6">
        <v>46.58</v>
      </c>
      <c r="H1065" s="6">
        <v>47.74</v>
      </c>
      <c r="I1065" s="9">
        <v>8.2908809E7</v>
      </c>
      <c r="J1065" s="6">
        <v>3.92832993299E9</v>
      </c>
    </row>
    <row r="1066">
      <c r="A1066" s="4" t="s">
        <v>10</v>
      </c>
      <c r="B1066" s="5">
        <v>43185.0</v>
      </c>
      <c r="C1066" s="6">
        <v>48.12</v>
      </c>
      <c r="D1066" s="13">
        <f>+1.51</f>
        <v>1.51</v>
      </c>
      <c r="E1066" s="14">
        <f>+3.24%</f>
        <v>0.0324</v>
      </c>
      <c r="F1066" s="6">
        <v>47.81</v>
      </c>
      <c r="G1066" s="6">
        <v>47.26</v>
      </c>
      <c r="H1066" s="6">
        <v>48.18</v>
      </c>
      <c r="I1066" s="9">
        <v>7.3320846E7</v>
      </c>
      <c r="J1066" s="6">
        <v>3.52887096331E9</v>
      </c>
    </row>
    <row r="1067">
      <c r="A1067" s="4" t="s">
        <v>10</v>
      </c>
      <c r="B1067" s="5">
        <v>43186.0</v>
      </c>
      <c r="C1067" s="6">
        <v>47.25</v>
      </c>
      <c r="D1067" s="11">
        <v>-0.87</v>
      </c>
      <c r="E1067" s="12">
        <v>-0.0182</v>
      </c>
      <c r="F1067" s="6">
        <v>48.16</v>
      </c>
      <c r="G1067" s="6">
        <v>47.14</v>
      </c>
      <c r="H1067" s="6">
        <v>48.23</v>
      </c>
      <c r="I1067" s="9">
        <v>8.4232084E7</v>
      </c>
      <c r="J1067" s="6">
        <v>4.04292091783E9</v>
      </c>
    </row>
    <row r="1068">
      <c r="A1068" s="4" t="s">
        <v>10</v>
      </c>
      <c r="B1068" s="5">
        <v>43187.0</v>
      </c>
      <c r="C1068" s="6">
        <v>47.01</v>
      </c>
      <c r="D1068" s="11">
        <v>-0.24</v>
      </c>
      <c r="E1068" s="12">
        <v>-0.005</v>
      </c>
      <c r="F1068" s="6">
        <v>47.1</v>
      </c>
      <c r="G1068" s="6">
        <v>46.69</v>
      </c>
      <c r="H1068" s="6">
        <v>47.26</v>
      </c>
      <c r="I1068" s="9">
        <v>7.8140846E7</v>
      </c>
      <c r="J1068" s="6">
        <v>3.69383608482E9</v>
      </c>
    </row>
    <row r="1069">
      <c r="A1069" s="4" t="s">
        <v>10</v>
      </c>
      <c r="B1069" s="5">
        <v>43188.0</v>
      </c>
      <c r="C1069" s="6">
        <v>47.99</v>
      </c>
      <c r="D1069" s="13">
        <f>+0.98</f>
        <v>0.98</v>
      </c>
      <c r="E1069" s="14">
        <f>+2.09%</f>
        <v>0.0209</v>
      </c>
      <c r="F1069" s="6">
        <v>47.34</v>
      </c>
      <c r="G1069" s="6">
        <v>47.28</v>
      </c>
      <c r="H1069" s="6">
        <v>48.16</v>
      </c>
      <c r="I1069" s="9">
        <v>8.4346938E7</v>
      </c>
      <c r="J1069" s="6">
        <v>4.05498971357E9</v>
      </c>
    </row>
    <row r="1070">
      <c r="A1070" s="4" t="s">
        <v>10</v>
      </c>
      <c r="B1070" s="5">
        <v>43192.0</v>
      </c>
      <c r="C1070" s="6">
        <v>47.13</v>
      </c>
      <c r="D1070" s="11">
        <v>-0.86</v>
      </c>
      <c r="E1070" s="12">
        <v>-0.018</v>
      </c>
      <c r="F1070" s="6">
        <v>47.66</v>
      </c>
      <c r="G1070" s="6">
        <v>46.68</v>
      </c>
      <c r="H1070" s="6">
        <v>47.88</v>
      </c>
      <c r="I1070" s="9">
        <v>7.2405692E7</v>
      </c>
      <c r="J1070" s="6">
        <v>3.43082666167E9</v>
      </c>
    </row>
    <row r="1071">
      <c r="A1071" s="4" t="s">
        <v>10</v>
      </c>
      <c r="B1071" s="5">
        <v>43193.0</v>
      </c>
      <c r="C1071" s="6">
        <v>47.59</v>
      </c>
      <c r="D1071" s="13">
        <f>+0.47</f>
        <v>0.47</v>
      </c>
      <c r="E1071" s="14">
        <f>+0.99%</f>
        <v>0.0099</v>
      </c>
      <c r="F1071" s="6">
        <v>47.55</v>
      </c>
      <c r="G1071" s="6">
        <v>47.18</v>
      </c>
      <c r="H1071" s="6">
        <v>47.65</v>
      </c>
      <c r="I1071" s="9">
        <v>5.287448E7</v>
      </c>
      <c r="J1071" s="6">
        <v>2.52481212811E9</v>
      </c>
    </row>
    <row r="1072">
      <c r="A1072" s="4" t="s">
        <v>10</v>
      </c>
      <c r="B1072" s="5">
        <v>43194.0</v>
      </c>
      <c r="C1072" s="6">
        <v>47.61</v>
      </c>
      <c r="D1072" s="13">
        <f>+0.02</f>
        <v>0.02</v>
      </c>
      <c r="E1072" s="14">
        <f>+0.04%</f>
        <v>0.0004</v>
      </c>
      <c r="F1072" s="6">
        <v>46.31</v>
      </c>
      <c r="G1072" s="6">
        <v>46.26</v>
      </c>
      <c r="H1072" s="6">
        <v>47.64</v>
      </c>
      <c r="I1072" s="9">
        <v>6.8352403E7</v>
      </c>
      <c r="J1072" s="6">
        <v>3.23553974879E9</v>
      </c>
    </row>
    <row r="1073">
      <c r="A1073" s="4" t="s">
        <v>10</v>
      </c>
      <c r="B1073" s="5">
        <v>43195.0</v>
      </c>
      <c r="C1073" s="6">
        <v>47.73</v>
      </c>
      <c r="D1073" s="13">
        <f>+0.12</f>
        <v>0.12</v>
      </c>
      <c r="E1073" s="14">
        <f>+0.25%</f>
        <v>0.0025</v>
      </c>
      <c r="F1073" s="6">
        <v>47.8</v>
      </c>
      <c r="G1073" s="6">
        <v>47.54</v>
      </c>
      <c r="H1073" s="6">
        <v>47.97</v>
      </c>
      <c r="I1073" s="9">
        <v>4.8247675E7</v>
      </c>
      <c r="J1073" s="6">
        <v>2.31934914105E9</v>
      </c>
    </row>
    <row r="1074">
      <c r="A1074" s="4" t="s">
        <v>10</v>
      </c>
      <c r="B1074" s="5">
        <v>43196.0</v>
      </c>
      <c r="C1074" s="6">
        <v>46.8</v>
      </c>
      <c r="D1074" s="11">
        <v>-0.93</v>
      </c>
      <c r="E1074" s="12">
        <v>-0.0196</v>
      </c>
      <c r="F1074" s="6">
        <v>47.25</v>
      </c>
      <c r="G1074" s="6">
        <v>46.52</v>
      </c>
      <c r="H1074" s="6">
        <v>47.58</v>
      </c>
      <c r="I1074" s="9">
        <v>7.6156729E7</v>
      </c>
      <c r="J1074" s="6">
        <v>3.59719402762E9</v>
      </c>
    </row>
    <row r="1075">
      <c r="A1075" s="4" t="s">
        <v>10</v>
      </c>
      <c r="B1075" s="5">
        <v>43199.0</v>
      </c>
      <c r="C1075" s="6">
        <v>46.85</v>
      </c>
      <c r="D1075" s="13">
        <f>+0.05</f>
        <v>0.05</v>
      </c>
      <c r="E1075" s="14">
        <f>+0.11%</f>
        <v>0.0011</v>
      </c>
      <c r="F1075" s="6">
        <v>47.14</v>
      </c>
      <c r="G1075" s="6">
        <v>46.84</v>
      </c>
      <c r="H1075" s="6">
        <v>47.37</v>
      </c>
      <c r="I1075" s="9">
        <v>5.5352661E7</v>
      </c>
      <c r="J1075" s="6">
        <v>2.6230331337E9</v>
      </c>
    </row>
    <row r="1076">
      <c r="A1076" s="4" t="s">
        <v>10</v>
      </c>
      <c r="B1076" s="5">
        <v>43200.0</v>
      </c>
      <c r="C1076" s="6">
        <v>47.76</v>
      </c>
      <c r="D1076" s="13">
        <f>+0.91</f>
        <v>0.91</v>
      </c>
      <c r="E1076" s="14">
        <f>+1.95%</f>
        <v>0.0195</v>
      </c>
      <c r="F1076" s="6">
        <v>47.53</v>
      </c>
      <c r="G1076" s="6">
        <v>47.32</v>
      </c>
      <c r="H1076" s="6">
        <v>47.83</v>
      </c>
      <c r="I1076" s="9">
        <v>9.0103933E7</v>
      </c>
      <c r="J1076" s="6">
        <v>4.31613891827E9</v>
      </c>
    </row>
    <row r="1077">
      <c r="A1077" s="4" t="s">
        <v>10</v>
      </c>
      <c r="B1077" s="5">
        <v>43201.0</v>
      </c>
      <c r="C1077" s="6">
        <v>47.78</v>
      </c>
      <c r="D1077" s="13">
        <f>+0.02</f>
        <v>0.02</v>
      </c>
      <c r="E1077" s="14">
        <f>+0.04%</f>
        <v>0.0004</v>
      </c>
      <c r="F1077" s="6">
        <v>47.46</v>
      </c>
      <c r="G1077" s="6">
        <v>47.45</v>
      </c>
      <c r="H1077" s="6">
        <v>47.89</v>
      </c>
      <c r="I1077" s="9">
        <v>5.1569199E7</v>
      </c>
      <c r="J1077" s="6">
        <v>2.47605083439E9</v>
      </c>
    </row>
    <row r="1078">
      <c r="A1078" s="4" t="s">
        <v>10</v>
      </c>
      <c r="B1078" s="5">
        <v>43202.0</v>
      </c>
      <c r="C1078" s="6">
        <v>47.76</v>
      </c>
      <c r="D1078" s="11">
        <v>-0.02</v>
      </c>
      <c r="E1078" s="12">
        <v>-4.0E-4</v>
      </c>
      <c r="F1078" s="6">
        <v>47.68</v>
      </c>
      <c r="G1078" s="6">
        <v>47.6</v>
      </c>
      <c r="H1078" s="6">
        <v>47.9</v>
      </c>
      <c r="I1078" s="9">
        <v>5.2968504E7</v>
      </c>
      <c r="J1078" s="6">
        <v>2.54578687523E9</v>
      </c>
    </row>
    <row r="1079">
      <c r="A1079" s="4" t="s">
        <v>10</v>
      </c>
      <c r="B1079" s="5">
        <v>43203.0</v>
      </c>
      <c r="C1079" s="6">
        <v>47.28</v>
      </c>
      <c r="D1079" s="11">
        <v>-0.48</v>
      </c>
      <c r="E1079" s="12">
        <v>-0.01</v>
      </c>
      <c r="F1079" s="6">
        <v>47.72</v>
      </c>
      <c r="G1079" s="6">
        <v>47.16</v>
      </c>
      <c r="H1079" s="6">
        <v>47.77</v>
      </c>
      <c r="I1079" s="9">
        <v>5.6517996E7</v>
      </c>
      <c r="J1079" s="6">
        <v>2.69067227682E9</v>
      </c>
    </row>
    <row r="1080">
      <c r="A1080" s="4" t="s">
        <v>10</v>
      </c>
      <c r="B1080" s="5">
        <v>43206.0</v>
      </c>
      <c r="C1080" s="6">
        <v>47.34</v>
      </c>
      <c r="D1080" s="13">
        <f>+0.06</f>
        <v>0.06</v>
      </c>
      <c r="E1080" s="14">
        <f>+0.13%</f>
        <v>0.0013</v>
      </c>
      <c r="F1080" s="6">
        <v>47.22</v>
      </c>
      <c r="G1080" s="6">
        <v>47.07</v>
      </c>
      <c r="H1080" s="6">
        <v>47.38</v>
      </c>
      <c r="I1080" s="9">
        <v>4.3005826E7</v>
      </c>
      <c r="J1080" s="6">
        <v>2.04294512685E9</v>
      </c>
    </row>
    <row r="1081">
      <c r="A1081" s="4" t="s">
        <v>10</v>
      </c>
      <c r="B1081" s="5">
        <v>43207.0</v>
      </c>
      <c r="C1081" s="6">
        <v>47.44</v>
      </c>
      <c r="D1081" s="13">
        <f>+0.1</f>
        <v>0.1</v>
      </c>
      <c r="E1081" s="14">
        <f>+0.21%</f>
        <v>0.0021</v>
      </c>
      <c r="F1081" s="6">
        <v>47.14</v>
      </c>
      <c r="G1081" s="6">
        <v>47.12</v>
      </c>
      <c r="H1081" s="6">
        <v>47.58</v>
      </c>
      <c r="I1081" s="9">
        <v>5.8168092E7</v>
      </c>
      <c r="J1081" s="6">
        <v>2.77519051775E9</v>
      </c>
    </row>
    <row r="1082">
      <c r="A1082" s="4" t="s">
        <v>10</v>
      </c>
      <c r="B1082" s="5">
        <v>43208.0</v>
      </c>
      <c r="C1082" s="6">
        <v>47.85</v>
      </c>
      <c r="D1082" s="13">
        <f>+0.41</f>
        <v>0.41</v>
      </c>
      <c r="E1082" s="14">
        <f>+0.86%</f>
        <v>0.0086</v>
      </c>
      <c r="F1082" s="6">
        <v>47.62</v>
      </c>
      <c r="G1082" s="6">
        <v>47.55</v>
      </c>
      <c r="H1082" s="6">
        <v>48.02</v>
      </c>
      <c r="I1082" s="9">
        <v>8.0289538E7</v>
      </c>
      <c r="J1082" s="6">
        <v>3.86285756248E9</v>
      </c>
    </row>
    <row r="1083">
      <c r="A1083" s="4" t="s">
        <v>10</v>
      </c>
      <c r="B1083" s="5">
        <v>43209.0</v>
      </c>
      <c r="C1083" s="6">
        <v>47.57</v>
      </c>
      <c r="D1083" s="11">
        <v>-0.28</v>
      </c>
      <c r="E1083" s="12">
        <v>-0.0058</v>
      </c>
      <c r="F1083" s="6">
        <v>47.97</v>
      </c>
      <c r="G1083" s="6">
        <v>47.42</v>
      </c>
      <c r="H1083" s="6">
        <v>48.0</v>
      </c>
      <c r="I1083" s="9">
        <v>6.7581053E7</v>
      </c>
      <c r="J1083" s="6">
        <v>3.24056002133E9</v>
      </c>
    </row>
    <row r="1084">
      <c r="A1084" s="4" t="s">
        <v>10</v>
      </c>
      <c r="B1084" s="5">
        <v>43210.0</v>
      </c>
      <c r="C1084" s="6">
        <v>46.98</v>
      </c>
      <c r="D1084" s="11">
        <v>-0.6</v>
      </c>
      <c r="E1084" s="12">
        <v>-0.0125</v>
      </c>
      <c r="F1084" s="6">
        <v>47.3</v>
      </c>
      <c r="G1084" s="6">
        <v>46.77</v>
      </c>
      <c r="H1084" s="6">
        <v>47.33</v>
      </c>
      <c r="I1084" s="9">
        <v>8.0997724E7</v>
      </c>
      <c r="J1084" s="6">
        <v>3.82805220118E9</v>
      </c>
    </row>
    <row r="1085">
      <c r="A1085" s="4" t="s">
        <v>10</v>
      </c>
      <c r="B1085" s="5">
        <v>43213.0</v>
      </c>
      <c r="C1085" s="6">
        <v>46.6</v>
      </c>
      <c r="D1085" s="11">
        <v>-0.38</v>
      </c>
      <c r="E1085" s="12">
        <v>-0.008</v>
      </c>
      <c r="F1085" s="6">
        <v>46.89</v>
      </c>
      <c r="G1085" s="6">
        <v>46.49</v>
      </c>
      <c r="H1085" s="6">
        <v>47.02</v>
      </c>
      <c r="I1085" s="9">
        <v>7.433746E7</v>
      </c>
      <c r="J1085" s="6">
        <v>3.49486049129E9</v>
      </c>
    </row>
    <row r="1086">
      <c r="A1086" s="4" t="s">
        <v>10</v>
      </c>
      <c r="B1086" s="5">
        <v>43214.0</v>
      </c>
      <c r="C1086" s="6">
        <v>46.38</v>
      </c>
      <c r="D1086" s="11">
        <v>-0.22</v>
      </c>
      <c r="E1086" s="12">
        <v>-0.0047</v>
      </c>
      <c r="F1086" s="6">
        <v>46.98</v>
      </c>
      <c r="G1086" s="6">
        <v>46.15</v>
      </c>
      <c r="H1086" s="6">
        <v>47.08</v>
      </c>
      <c r="I1086" s="9">
        <v>7.2196821E7</v>
      </c>
      <c r="J1086" s="6">
        <v>3.38256164835E9</v>
      </c>
    </row>
    <row r="1087">
      <c r="A1087" s="4" t="s">
        <v>10</v>
      </c>
      <c r="B1087" s="5">
        <v>43215.0</v>
      </c>
      <c r="C1087" s="6">
        <v>46.02</v>
      </c>
      <c r="D1087" s="11">
        <v>-0.36</v>
      </c>
      <c r="E1087" s="12">
        <v>-0.0077</v>
      </c>
      <c r="F1087" s="6">
        <v>46.03</v>
      </c>
      <c r="G1087" s="6">
        <v>45.73</v>
      </c>
      <c r="H1087" s="6">
        <v>46.13</v>
      </c>
      <c r="I1087" s="9">
        <v>6.9106843E7</v>
      </c>
      <c r="J1087" s="6">
        <v>3.19341524948E9</v>
      </c>
    </row>
    <row r="1088">
      <c r="A1088" s="4" t="s">
        <v>10</v>
      </c>
      <c r="B1088" s="5">
        <v>43216.0</v>
      </c>
      <c r="C1088" s="6">
        <v>46.69</v>
      </c>
      <c r="D1088" s="13">
        <f>+0.67</f>
        <v>0.67</v>
      </c>
      <c r="E1088" s="14">
        <f>+1.45%</f>
        <v>0.0145</v>
      </c>
      <c r="F1088" s="6">
        <v>46.29</v>
      </c>
      <c r="G1088" s="6">
        <v>46.26</v>
      </c>
      <c r="H1088" s="6">
        <v>46.71</v>
      </c>
      <c r="I1088" s="9">
        <v>4.5047763E7</v>
      </c>
      <c r="J1088" s="6">
        <v>2.10845158119E9</v>
      </c>
    </row>
    <row r="1089">
      <c r="A1089" s="4" t="s">
        <v>10</v>
      </c>
      <c r="B1089" s="5">
        <v>43217.0</v>
      </c>
      <c r="C1089" s="6">
        <v>46.98</v>
      </c>
      <c r="D1089" s="13">
        <f>+0.29</f>
        <v>0.29</v>
      </c>
      <c r="E1089" s="14">
        <f>+0.62%</f>
        <v>0.0062</v>
      </c>
      <c r="F1089" s="6">
        <v>46.96</v>
      </c>
      <c r="G1089" s="6">
        <v>46.69</v>
      </c>
      <c r="H1089" s="6">
        <v>47.05</v>
      </c>
      <c r="I1089" s="9">
        <v>3.3544994E7</v>
      </c>
      <c r="J1089" s="6">
        <v>1.58353736235E9</v>
      </c>
    </row>
    <row r="1090">
      <c r="A1090" s="4" t="s">
        <v>10</v>
      </c>
      <c r="B1090" s="5">
        <v>43220.0</v>
      </c>
      <c r="C1090" s="6">
        <v>46.64</v>
      </c>
      <c r="D1090" s="11">
        <v>-0.34</v>
      </c>
      <c r="E1090" s="12">
        <v>-0.0072</v>
      </c>
      <c r="F1090" s="6">
        <v>47.15</v>
      </c>
      <c r="G1090" s="6">
        <v>46.63</v>
      </c>
      <c r="H1090" s="6">
        <v>47.21</v>
      </c>
      <c r="I1090" s="9">
        <v>4.917904E7</v>
      </c>
      <c r="J1090" s="6">
        <v>2.31928148944E9</v>
      </c>
    </row>
    <row r="1091">
      <c r="A1091" s="4" t="s">
        <v>10</v>
      </c>
      <c r="B1091" s="5">
        <v>43221.0</v>
      </c>
      <c r="C1091" s="6">
        <v>46.41</v>
      </c>
      <c r="D1091" s="11">
        <v>-0.23</v>
      </c>
      <c r="E1091" s="12">
        <v>-0.0049</v>
      </c>
      <c r="F1091" s="6">
        <v>46.36</v>
      </c>
      <c r="G1091" s="6">
        <v>45.82</v>
      </c>
      <c r="H1091" s="6">
        <v>46.48</v>
      </c>
      <c r="I1091" s="9">
        <v>7.5839279E7</v>
      </c>
      <c r="J1091" s="6">
        <v>3.52888155287E9</v>
      </c>
    </row>
    <row r="1092">
      <c r="A1092" s="4" t="s">
        <v>10</v>
      </c>
      <c r="B1092" s="5">
        <v>43222.0</v>
      </c>
      <c r="C1092" s="6">
        <v>46.04</v>
      </c>
      <c r="D1092" s="11">
        <v>-0.37</v>
      </c>
      <c r="E1092" s="12">
        <v>-0.0079</v>
      </c>
      <c r="F1092" s="6">
        <v>46.46</v>
      </c>
      <c r="G1092" s="6">
        <v>46.0</v>
      </c>
      <c r="H1092" s="6">
        <v>46.56</v>
      </c>
      <c r="I1092" s="9">
        <v>6.6837856E7</v>
      </c>
      <c r="J1092" s="6">
        <v>3.10879345353E9</v>
      </c>
    </row>
    <row r="1093">
      <c r="A1093" s="4" t="s">
        <v>10</v>
      </c>
      <c r="B1093" s="5">
        <v>43223.0</v>
      </c>
      <c r="C1093" s="6">
        <v>45.94</v>
      </c>
      <c r="D1093" s="11">
        <v>-0.1</v>
      </c>
      <c r="E1093" s="12">
        <v>-0.0022</v>
      </c>
      <c r="F1093" s="6">
        <v>46.01</v>
      </c>
      <c r="G1093" s="6">
        <v>45.33</v>
      </c>
      <c r="H1093" s="6">
        <v>46.07</v>
      </c>
      <c r="I1093" s="9">
        <v>8.3449163E7</v>
      </c>
      <c r="J1093" s="6">
        <v>3.84250494346E9</v>
      </c>
    </row>
    <row r="1094">
      <c r="A1094" s="4" t="s">
        <v>10</v>
      </c>
      <c r="B1094" s="5">
        <v>43224.0</v>
      </c>
      <c r="C1094" s="6">
        <v>46.15</v>
      </c>
      <c r="D1094" s="13">
        <f>+0.21</f>
        <v>0.21</v>
      </c>
      <c r="E1094" s="14">
        <f>+0.45%</f>
        <v>0.0045</v>
      </c>
      <c r="F1094" s="6">
        <v>45.5</v>
      </c>
      <c r="G1094" s="6">
        <v>45.45</v>
      </c>
      <c r="H1094" s="6">
        <v>46.31</v>
      </c>
      <c r="I1094" s="9">
        <v>6.0099064E7</v>
      </c>
      <c r="J1094" s="6">
        <v>2.78003431004E9</v>
      </c>
    </row>
    <row r="1095">
      <c r="A1095" s="4" t="s">
        <v>10</v>
      </c>
      <c r="B1095" s="5">
        <v>43227.0</v>
      </c>
      <c r="C1095" s="6">
        <v>45.88</v>
      </c>
      <c r="D1095" s="11">
        <v>-0.27</v>
      </c>
      <c r="E1095" s="12">
        <v>-0.0058</v>
      </c>
      <c r="F1095" s="6">
        <v>45.77</v>
      </c>
      <c r="G1095" s="6">
        <v>45.74</v>
      </c>
      <c r="H1095" s="6">
        <v>46.07</v>
      </c>
      <c r="I1095" s="9">
        <v>5.8886085E7</v>
      </c>
      <c r="J1095" s="6">
        <v>2.72086059861E9</v>
      </c>
    </row>
    <row r="1096">
      <c r="A1096" s="4" t="s">
        <v>10</v>
      </c>
      <c r="B1096" s="5">
        <v>43228.0</v>
      </c>
      <c r="C1096" s="6">
        <v>46.14</v>
      </c>
      <c r="D1096" s="13">
        <f>+0.26</f>
        <v>0.26</v>
      </c>
      <c r="E1096" s="14">
        <f>+0.56%</f>
        <v>0.0056</v>
      </c>
      <c r="F1096" s="6">
        <v>45.99</v>
      </c>
      <c r="G1096" s="6">
        <v>45.7</v>
      </c>
      <c r="H1096" s="6">
        <v>46.16</v>
      </c>
      <c r="I1096" s="9">
        <v>5.8783587E7</v>
      </c>
      <c r="J1096" s="6">
        <v>2.71900153131E9</v>
      </c>
    </row>
    <row r="1097">
      <c r="A1097" s="4" t="s">
        <v>10</v>
      </c>
      <c r="B1097" s="5">
        <v>43229.0</v>
      </c>
      <c r="C1097" s="6">
        <v>46.23</v>
      </c>
      <c r="D1097" s="13">
        <f>+0.09</f>
        <v>0.09</v>
      </c>
      <c r="E1097" s="14">
        <f>+0.19%</f>
        <v>0.0019</v>
      </c>
      <c r="F1097" s="6">
        <v>46.28</v>
      </c>
      <c r="G1097" s="6">
        <v>45.99</v>
      </c>
      <c r="H1097" s="6">
        <v>46.33</v>
      </c>
      <c r="I1097" s="9">
        <v>4.612947E7</v>
      </c>
      <c r="J1097" s="6">
        <v>2.14171515276E9</v>
      </c>
    </row>
    <row r="1098">
      <c r="A1098" s="4" t="s">
        <v>10</v>
      </c>
      <c r="B1098" s="5">
        <v>43230.0</v>
      </c>
      <c r="C1098" s="6">
        <v>47.2</v>
      </c>
      <c r="D1098" s="13">
        <f>+0.96</f>
        <v>0.96</v>
      </c>
      <c r="E1098" s="14">
        <f>+2.09%</f>
        <v>0.0209</v>
      </c>
      <c r="F1098" s="6">
        <v>46.79</v>
      </c>
      <c r="G1098" s="6">
        <v>46.71</v>
      </c>
      <c r="H1098" s="6">
        <v>47.36</v>
      </c>
      <c r="I1098" s="9">
        <v>1.15804028E8</v>
      </c>
      <c r="J1098" s="6">
        <v>5.48868827199E9</v>
      </c>
    </row>
    <row r="1099">
      <c r="A1099" s="4" t="s">
        <v>10</v>
      </c>
      <c r="B1099" s="5">
        <v>43231.0</v>
      </c>
      <c r="C1099" s="6">
        <v>47.12</v>
      </c>
      <c r="D1099" s="11">
        <v>-0.08</v>
      </c>
      <c r="E1099" s="12">
        <v>-0.0017</v>
      </c>
      <c r="F1099" s="6">
        <v>47.39</v>
      </c>
      <c r="G1099" s="6">
        <v>46.99</v>
      </c>
      <c r="H1099" s="6">
        <v>47.44</v>
      </c>
      <c r="I1099" s="9">
        <v>6.8838643E7</v>
      </c>
      <c r="J1099" s="6">
        <v>3.26719807804E9</v>
      </c>
    </row>
    <row r="1100">
      <c r="A1100" s="4" t="s">
        <v>10</v>
      </c>
      <c r="B1100" s="5">
        <v>43234.0</v>
      </c>
      <c r="C1100" s="6">
        <v>47.18</v>
      </c>
      <c r="D1100" s="13">
        <f>+0.06</f>
        <v>0.06</v>
      </c>
      <c r="E1100" s="14">
        <f>+0.13%</f>
        <v>0.0013</v>
      </c>
      <c r="F1100" s="6">
        <v>47.37</v>
      </c>
      <c r="G1100" s="6">
        <v>47.11</v>
      </c>
      <c r="H1100" s="6">
        <v>47.49</v>
      </c>
      <c r="I1100" s="9">
        <v>3.4353335E7</v>
      </c>
      <c r="J1100" s="6">
        <v>1.63512148265E9</v>
      </c>
    </row>
    <row r="1101">
      <c r="A1101" s="4" t="s">
        <v>10</v>
      </c>
      <c r="B1101" s="5">
        <v>43235.0</v>
      </c>
      <c r="C1101" s="6">
        <v>46.2</v>
      </c>
      <c r="D1101" s="11">
        <v>-0.97</v>
      </c>
      <c r="E1101" s="12">
        <v>-0.0206</v>
      </c>
      <c r="F1101" s="6">
        <v>46.3</v>
      </c>
      <c r="G1101" s="6">
        <v>46.0</v>
      </c>
      <c r="H1101" s="6">
        <v>46.42</v>
      </c>
      <c r="I1101" s="9">
        <v>7.8379271E7</v>
      </c>
      <c r="J1101" s="6">
        <v>3.6444867829E9</v>
      </c>
    </row>
    <row r="1102">
      <c r="A1102" s="4" t="s">
        <v>10</v>
      </c>
      <c r="B1102" s="5">
        <v>43236.0</v>
      </c>
      <c r="C1102" s="6">
        <v>46.9</v>
      </c>
      <c r="D1102" s="13">
        <f>+0.7</f>
        <v>0.7</v>
      </c>
      <c r="E1102" s="14">
        <f>+1.51%</f>
        <v>0.0151</v>
      </c>
      <c r="F1102" s="6">
        <v>46.64</v>
      </c>
      <c r="G1102" s="6">
        <v>46.64</v>
      </c>
      <c r="H1102" s="6">
        <v>46.99</v>
      </c>
      <c r="I1102" s="9">
        <v>6.0004232E7</v>
      </c>
      <c r="J1102" s="6">
        <v>2.8282153608E9</v>
      </c>
    </row>
    <row r="1103">
      <c r="A1103" s="4" t="s">
        <v>10</v>
      </c>
      <c r="B1103" s="5">
        <v>43237.0</v>
      </c>
      <c r="C1103" s="6">
        <v>46.18</v>
      </c>
      <c r="D1103" s="11">
        <v>-0.72</v>
      </c>
      <c r="E1103" s="12">
        <v>-0.0153</v>
      </c>
      <c r="F1103" s="6">
        <v>46.39</v>
      </c>
      <c r="G1103" s="6">
        <v>46.03</v>
      </c>
      <c r="H1103" s="6">
        <v>46.52</v>
      </c>
      <c r="I1103" s="9">
        <v>7.3013981E7</v>
      </c>
      <c r="J1103" s="6">
        <v>3.399081707E9</v>
      </c>
    </row>
    <row r="1104">
      <c r="A1104" s="4" t="s">
        <v>10</v>
      </c>
      <c r="B1104" s="5">
        <v>43238.0</v>
      </c>
      <c r="C1104" s="6">
        <v>45.79</v>
      </c>
      <c r="D1104" s="11">
        <v>-0.39</v>
      </c>
      <c r="E1104" s="12">
        <v>-0.0084</v>
      </c>
      <c r="F1104" s="6">
        <v>45.77</v>
      </c>
      <c r="G1104" s="6">
        <v>45.66</v>
      </c>
      <c r="H1104" s="6">
        <v>45.91</v>
      </c>
      <c r="I1104" s="9">
        <v>5.925866E7</v>
      </c>
      <c r="J1104" s="6">
        <v>2.72952686957E9</v>
      </c>
    </row>
    <row r="1105">
      <c r="A1105" s="4" t="s">
        <v>10</v>
      </c>
      <c r="B1105" s="5">
        <v>43241.0</v>
      </c>
      <c r="C1105" s="6">
        <v>46.07</v>
      </c>
      <c r="D1105" s="13">
        <f>+0.28</f>
        <v>0.28</v>
      </c>
      <c r="E1105" s="14">
        <f>+0.61%</f>
        <v>0.0061</v>
      </c>
      <c r="F1105" s="6">
        <v>46.17</v>
      </c>
      <c r="G1105" s="6">
        <v>45.88</v>
      </c>
      <c r="H1105" s="6">
        <v>46.26</v>
      </c>
      <c r="I1105" s="9">
        <v>5.9330191E7</v>
      </c>
      <c r="J1105" s="6">
        <v>2.74807048827E9</v>
      </c>
    </row>
    <row r="1106">
      <c r="A1106" s="4" t="s">
        <v>10</v>
      </c>
      <c r="B1106" s="5">
        <v>43242.0</v>
      </c>
      <c r="C1106" s="6">
        <v>46.23</v>
      </c>
      <c r="D1106" s="13">
        <f>+0.16</f>
        <v>0.16</v>
      </c>
      <c r="E1106" s="14">
        <f>+0.35%</f>
        <v>0.0035</v>
      </c>
      <c r="F1106" s="6">
        <v>46.27</v>
      </c>
      <c r="G1106" s="6">
        <v>46.17</v>
      </c>
      <c r="H1106" s="6">
        <v>46.47</v>
      </c>
      <c r="I1106" s="9">
        <v>3.2584721E7</v>
      </c>
      <c r="J1106" s="6">
        <v>1.51830815816E9</v>
      </c>
    </row>
    <row r="1107">
      <c r="A1107" s="4" t="s">
        <v>10</v>
      </c>
      <c r="B1107" s="5">
        <v>43243.0</v>
      </c>
      <c r="C1107" s="6">
        <v>46.21</v>
      </c>
      <c r="D1107" s="11">
        <v>-0.02</v>
      </c>
      <c r="E1107" s="12">
        <v>-4.0E-4</v>
      </c>
      <c r="F1107" s="6">
        <v>45.68</v>
      </c>
      <c r="G1107" s="6">
        <v>45.67</v>
      </c>
      <c r="H1107" s="6">
        <v>46.25</v>
      </c>
      <c r="I1107" s="9">
        <v>7.0687825E7</v>
      </c>
      <c r="J1107" s="6">
        <v>3.26999168485E9</v>
      </c>
    </row>
    <row r="1108">
      <c r="A1108" s="4" t="s">
        <v>10</v>
      </c>
      <c r="B1108" s="5">
        <v>43244.0</v>
      </c>
      <c r="C1108" s="6">
        <v>45.96</v>
      </c>
      <c r="D1108" s="11">
        <v>-0.25</v>
      </c>
      <c r="E1108" s="12">
        <v>-0.0054</v>
      </c>
      <c r="F1108" s="6">
        <v>45.96</v>
      </c>
      <c r="G1108" s="6">
        <v>45.46</v>
      </c>
      <c r="H1108" s="6">
        <v>46.05</v>
      </c>
      <c r="I1108" s="9">
        <v>7.9762933E7</v>
      </c>
      <c r="J1108" s="6">
        <v>3.67475870107E9</v>
      </c>
    </row>
    <row r="1109">
      <c r="A1109" s="4" t="s">
        <v>10</v>
      </c>
      <c r="B1109" s="5">
        <v>43245.0</v>
      </c>
      <c r="C1109" s="6">
        <v>46.15</v>
      </c>
      <c r="D1109" s="13">
        <f>+0.19</f>
        <v>0.19</v>
      </c>
      <c r="E1109" s="14">
        <f>+0.41%</f>
        <v>0.0041</v>
      </c>
      <c r="F1109" s="6">
        <v>45.95</v>
      </c>
      <c r="G1109" s="6">
        <v>45.91</v>
      </c>
      <c r="H1109" s="6">
        <v>46.22</v>
      </c>
      <c r="I1109" s="9">
        <v>3.9374469E7</v>
      </c>
      <c r="J1109" s="6">
        <v>1.82596910571E9</v>
      </c>
    </row>
    <row r="1110">
      <c r="A1110" s="4" t="s">
        <v>10</v>
      </c>
      <c r="B1110" s="5">
        <v>43249.0</v>
      </c>
      <c r="C1110" s="6">
        <v>45.08</v>
      </c>
      <c r="D1110" s="11">
        <v>-1.07</v>
      </c>
      <c r="E1110" s="12">
        <v>-0.0233</v>
      </c>
      <c r="F1110" s="6">
        <v>45.47</v>
      </c>
      <c r="G1110" s="6">
        <v>44.85</v>
      </c>
      <c r="H1110" s="6">
        <v>45.6</v>
      </c>
      <c r="I1110" s="9">
        <v>1.12089894E8</v>
      </c>
      <c r="J1110" s="6">
        <v>5.09321037413E9</v>
      </c>
    </row>
    <row r="1111">
      <c r="A1111" s="4" t="s">
        <v>10</v>
      </c>
      <c r="B1111" s="5">
        <v>43250.0</v>
      </c>
      <c r="C1111" s="6">
        <v>45.44</v>
      </c>
      <c r="D1111" s="13">
        <f>+0.36</f>
        <v>0.36</v>
      </c>
      <c r="E1111" s="14">
        <f>+0.79%</f>
        <v>0.0079</v>
      </c>
      <c r="F1111" s="6">
        <v>45.09</v>
      </c>
      <c r="G1111" s="6">
        <v>44.89</v>
      </c>
      <c r="H1111" s="6">
        <v>45.49</v>
      </c>
      <c r="I1111" s="9">
        <v>7.2813832E7</v>
      </c>
      <c r="J1111" s="6">
        <v>3.31332520064E9</v>
      </c>
    </row>
    <row r="1112">
      <c r="A1112" s="4" t="s">
        <v>10</v>
      </c>
      <c r="B1112" s="5">
        <v>43251.0</v>
      </c>
      <c r="C1112" s="6">
        <v>45.42</v>
      </c>
      <c r="D1112" s="11">
        <v>-0.02</v>
      </c>
      <c r="E1112" s="12">
        <v>-4.0E-4</v>
      </c>
      <c r="F1112" s="6">
        <v>45.38</v>
      </c>
      <c r="G1112" s="6">
        <v>45.19</v>
      </c>
      <c r="H1112" s="6">
        <v>45.64</v>
      </c>
      <c r="I1112" s="9">
        <v>9.2066228E7</v>
      </c>
      <c r="J1112" s="6">
        <v>4.20471304329E9</v>
      </c>
    </row>
    <row r="1113">
      <c r="A1113" s="4" t="s">
        <v>10</v>
      </c>
      <c r="B1113" s="5">
        <v>43252.0</v>
      </c>
      <c r="C1113" s="6">
        <v>46.05</v>
      </c>
      <c r="D1113" s="13">
        <f>+0.64</f>
        <v>0.64</v>
      </c>
      <c r="E1113" s="14">
        <f>+1.4%</f>
        <v>0.014</v>
      </c>
      <c r="F1113" s="6">
        <v>45.78</v>
      </c>
      <c r="G1113" s="6">
        <v>45.72</v>
      </c>
      <c r="H1113" s="6">
        <v>46.07</v>
      </c>
      <c r="I1113" s="9">
        <v>6.6762244E7</v>
      </c>
      <c r="J1113" s="6">
        <v>3.08591169859E9</v>
      </c>
    </row>
    <row r="1114">
      <c r="A1114" s="4" t="s">
        <v>10</v>
      </c>
      <c r="B1114" s="5">
        <v>43255.0</v>
      </c>
      <c r="C1114" s="6">
        <v>46.52</v>
      </c>
      <c r="D1114" s="13">
        <f>+0.47</f>
        <v>0.47</v>
      </c>
      <c r="E1114" s="14">
        <f>+1.01%</f>
        <v>0.0101</v>
      </c>
      <c r="F1114" s="6">
        <v>46.44</v>
      </c>
      <c r="G1114" s="6">
        <v>46.42</v>
      </c>
      <c r="H1114" s="6">
        <v>46.63</v>
      </c>
      <c r="I1114" s="9">
        <v>3.6302897E7</v>
      </c>
      <c r="J1114" s="6">
        <v>1.6990110544E9</v>
      </c>
    </row>
    <row r="1115">
      <c r="A1115" s="4" t="s">
        <v>10</v>
      </c>
      <c r="B1115" s="5">
        <v>43256.0</v>
      </c>
      <c r="C1115" s="6">
        <v>46.16</v>
      </c>
      <c r="D1115" s="11">
        <v>-0.36</v>
      </c>
      <c r="E1115" s="12">
        <v>-0.0077</v>
      </c>
      <c r="F1115" s="6">
        <v>46.38</v>
      </c>
      <c r="G1115" s="6">
        <v>46.14</v>
      </c>
      <c r="H1115" s="6">
        <v>46.46</v>
      </c>
      <c r="I1115" s="9">
        <v>4.0092242E7</v>
      </c>
      <c r="J1115" s="6">
        <v>1.86604773976E9</v>
      </c>
    </row>
    <row r="1116">
      <c r="A1116" s="4" t="s">
        <v>10</v>
      </c>
      <c r="B1116" s="5">
        <v>43257.0</v>
      </c>
      <c r="C1116" s="6">
        <v>46.86</v>
      </c>
      <c r="D1116" s="13">
        <f>+0.7</f>
        <v>0.7</v>
      </c>
      <c r="E1116" s="14">
        <f>+1.51%</f>
        <v>0.0151</v>
      </c>
      <c r="F1116" s="6">
        <v>46.56</v>
      </c>
      <c r="G1116" s="6">
        <v>46.46</v>
      </c>
      <c r="H1116" s="6">
        <v>46.87</v>
      </c>
      <c r="I1116" s="9">
        <v>4.6801478E7</v>
      </c>
      <c r="J1116" s="6">
        <v>2.19847678602E9</v>
      </c>
    </row>
    <row r="1117">
      <c r="A1117" s="4" t="s">
        <v>10</v>
      </c>
      <c r="B1117" s="5">
        <v>43258.0</v>
      </c>
      <c r="C1117" s="6">
        <v>46.14</v>
      </c>
      <c r="D1117" s="11">
        <v>-0.72</v>
      </c>
      <c r="E1117" s="12">
        <v>-0.0153</v>
      </c>
      <c r="F1117" s="6">
        <v>46.69</v>
      </c>
      <c r="G1117" s="6">
        <v>45.85</v>
      </c>
      <c r="H1117" s="6">
        <v>46.74</v>
      </c>
      <c r="I1117" s="9">
        <v>8.9752533E7</v>
      </c>
      <c r="J1117" s="6">
        <v>4.17234089495E9</v>
      </c>
    </row>
    <row r="1118">
      <c r="A1118" s="4" t="s">
        <v>10</v>
      </c>
      <c r="B1118" s="5">
        <v>43259.0</v>
      </c>
      <c r="C1118" s="6">
        <v>46.05</v>
      </c>
      <c r="D1118" s="11">
        <v>-0.09</v>
      </c>
      <c r="E1118" s="12">
        <v>-0.0019</v>
      </c>
      <c r="F1118" s="6">
        <v>45.89</v>
      </c>
      <c r="G1118" s="6">
        <v>45.71</v>
      </c>
      <c r="H1118" s="6">
        <v>46.25</v>
      </c>
      <c r="I1118" s="9">
        <v>7.3944735E7</v>
      </c>
      <c r="J1118" s="6">
        <v>3.42039505296E9</v>
      </c>
    </row>
    <row r="1119">
      <c r="A1119" s="4" t="s">
        <v>10</v>
      </c>
      <c r="B1119" s="5">
        <v>43262.0</v>
      </c>
      <c r="C1119" s="6">
        <v>46.05</v>
      </c>
      <c r="D1119" s="11">
        <v>0.0</v>
      </c>
      <c r="E1119" s="12">
        <v>0.0</v>
      </c>
      <c r="F1119" s="6">
        <v>46.1</v>
      </c>
      <c r="G1119" s="6">
        <v>45.98</v>
      </c>
      <c r="H1119" s="6">
        <v>46.22</v>
      </c>
      <c r="I1119" s="9">
        <v>3.8323461E7</v>
      </c>
      <c r="J1119" s="6">
        <v>1.77678792309E9</v>
      </c>
    </row>
    <row r="1120">
      <c r="A1120" s="4" t="s">
        <v>10</v>
      </c>
      <c r="B1120" s="5">
        <v>43263.0</v>
      </c>
      <c r="C1120" s="6">
        <v>45.93</v>
      </c>
      <c r="D1120" s="11">
        <v>-0.12</v>
      </c>
      <c r="E1120" s="12">
        <v>-0.0026</v>
      </c>
      <c r="F1120" s="6">
        <v>46.03</v>
      </c>
      <c r="G1120" s="6">
        <v>45.75</v>
      </c>
      <c r="H1120" s="6">
        <v>46.09</v>
      </c>
      <c r="I1120" s="9">
        <v>5.7189759E7</v>
      </c>
      <c r="J1120" s="6">
        <v>2.64479914359E9</v>
      </c>
    </row>
    <row r="1121">
      <c r="A1121" s="4" t="s">
        <v>10</v>
      </c>
      <c r="B1121" s="5">
        <v>43264.0</v>
      </c>
      <c r="C1121" s="6">
        <v>45.62</v>
      </c>
      <c r="D1121" s="11">
        <v>-0.31</v>
      </c>
      <c r="E1121" s="12">
        <v>-0.0067</v>
      </c>
      <c r="F1121" s="6">
        <v>46.01</v>
      </c>
      <c r="G1121" s="6">
        <v>45.35</v>
      </c>
      <c r="H1121" s="6">
        <v>46.08</v>
      </c>
      <c r="I1121" s="9">
        <v>1.00698771E8</v>
      </c>
      <c r="J1121" s="6">
        <v>4.63071977678E9</v>
      </c>
    </row>
    <row r="1122">
      <c r="A1122" s="4" t="s">
        <v>10</v>
      </c>
      <c r="B1122" s="5">
        <v>43265.0</v>
      </c>
      <c r="C1122" s="6">
        <v>45.32</v>
      </c>
      <c r="D1122" s="11">
        <v>-0.31</v>
      </c>
      <c r="E1122" s="12">
        <v>-0.0068</v>
      </c>
      <c r="F1122" s="6">
        <v>45.62</v>
      </c>
      <c r="G1122" s="6">
        <v>45.27</v>
      </c>
      <c r="H1122" s="6">
        <v>45.71</v>
      </c>
      <c r="I1122" s="9">
        <v>7.6094837E7</v>
      </c>
      <c r="J1122" s="6">
        <v>3.47939939908E9</v>
      </c>
    </row>
    <row r="1123">
      <c r="A1123" s="4" t="s">
        <v>10</v>
      </c>
      <c r="B1123" s="5">
        <v>43266.0</v>
      </c>
      <c r="C1123" s="6">
        <v>44.96</v>
      </c>
      <c r="D1123" s="11">
        <v>-0.36</v>
      </c>
      <c r="E1123" s="12">
        <v>-0.0079</v>
      </c>
      <c r="F1123" s="6">
        <v>44.9</v>
      </c>
      <c r="G1123" s="6">
        <v>44.65</v>
      </c>
      <c r="H1123" s="6">
        <v>45.02</v>
      </c>
      <c r="I1123" s="9">
        <v>8.6065993E7</v>
      </c>
      <c r="J1123" s="6">
        <v>3.881123049E9</v>
      </c>
    </row>
    <row r="1124">
      <c r="A1124" s="4" t="s">
        <v>10</v>
      </c>
      <c r="B1124" s="5">
        <v>43269.0</v>
      </c>
      <c r="C1124" s="6">
        <v>44.41</v>
      </c>
      <c r="D1124" s="11">
        <v>-0.55</v>
      </c>
      <c r="E1124" s="12">
        <v>-0.0122</v>
      </c>
      <c r="F1124" s="6">
        <v>44.32</v>
      </c>
      <c r="G1124" s="6">
        <v>44.07</v>
      </c>
      <c r="H1124" s="6">
        <v>44.47</v>
      </c>
      <c r="I1124" s="9">
        <v>8.3532574E7</v>
      </c>
      <c r="J1124" s="6">
        <v>3.72320332568E9</v>
      </c>
    </row>
    <row r="1125">
      <c r="A1125" s="4" t="s">
        <v>10</v>
      </c>
      <c r="B1125" s="5">
        <v>43270.0</v>
      </c>
      <c r="C1125" s="6">
        <v>43.64</v>
      </c>
      <c r="D1125" s="11">
        <v>-0.78</v>
      </c>
      <c r="E1125" s="12">
        <v>-0.0175</v>
      </c>
      <c r="F1125" s="6">
        <v>43.31</v>
      </c>
      <c r="G1125" s="6">
        <v>43.15</v>
      </c>
      <c r="H1125" s="6">
        <v>43.72</v>
      </c>
      <c r="I1125" s="9">
        <v>1.22657599E8</v>
      </c>
      <c r="J1125" s="6">
        <v>5.36327267902E9</v>
      </c>
    </row>
    <row r="1126">
      <c r="A1126" s="4" t="s">
        <v>10</v>
      </c>
      <c r="B1126" s="5">
        <v>43271.0</v>
      </c>
      <c r="C1126" s="6">
        <v>43.83</v>
      </c>
      <c r="D1126" s="13">
        <f>+0.19</f>
        <v>0.19</v>
      </c>
      <c r="E1126" s="14">
        <f>+0.43%</f>
        <v>0.0043</v>
      </c>
      <c r="F1126" s="6">
        <v>44.03</v>
      </c>
      <c r="G1126" s="6">
        <v>43.77</v>
      </c>
      <c r="H1126" s="6">
        <v>44.09</v>
      </c>
      <c r="I1126" s="9">
        <v>6.9822796E7</v>
      </c>
      <c r="J1126" s="6">
        <v>3.08508986116E9</v>
      </c>
    </row>
    <row r="1127">
      <c r="A1127" s="4" t="s">
        <v>10</v>
      </c>
      <c r="B1127" s="5">
        <v>43272.0</v>
      </c>
      <c r="C1127" s="6">
        <v>43.21</v>
      </c>
      <c r="D1127" s="11">
        <v>-0.62</v>
      </c>
      <c r="E1127" s="12">
        <v>-0.0141</v>
      </c>
      <c r="F1127" s="6">
        <v>43.56</v>
      </c>
      <c r="G1127" s="6">
        <v>43.15</v>
      </c>
      <c r="H1127" s="6">
        <v>43.58</v>
      </c>
      <c r="I1127" s="9">
        <v>8.6214072E7</v>
      </c>
      <c r="J1127" s="6">
        <v>3.75419555318E9</v>
      </c>
    </row>
    <row r="1128">
      <c r="A1128" s="4" t="s">
        <v>10</v>
      </c>
      <c r="B1128" s="5">
        <v>43273.0</v>
      </c>
      <c r="C1128" s="6">
        <v>43.66</v>
      </c>
      <c r="D1128" s="13">
        <f>+0.45</f>
        <v>0.45</v>
      </c>
      <c r="E1128" s="14">
        <f>+1.04%</f>
        <v>0.0104</v>
      </c>
      <c r="F1128" s="6">
        <v>43.84</v>
      </c>
      <c r="G1128" s="6">
        <v>43.51</v>
      </c>
      <c r="H1128" s="6">
        <v>43.86</v>
      </c>
      <c r="I1128" s="9">
        <v>5.5933128E7</v>
      </c>
      <c r="J1128" s="6">
        <v>2.45593570606E9</v>
      </c>
    </row>
    <row r="1129">
      <c r="A1129" s="4" t="s">
        <v>10</v>
      </c>
      <c r="B1129" s="5">
        <v>43276.0</v>
      </c>
      <c r="C1129" s="6">
        <v>43.07</v>
      </c>
      <c r="D1129" s="11">
        <v>-0.59</v>
      </c>
      <c r="E1129" s="12">
        <v>-0.0134</v>
      </c>
      <c r="F1129" s="6">
        <v>43.25</v>
      </c>
      <c r="G1129" s="6">
        <v>42.64</v>
      </c>
      <c r="H1129" s="6">
        <v>43.29</v>
      </c>
      <c r="I1129" s="9">
        <v>1.10854478E8</v>
      </c>
      <c r="J1129" s="6">
        <v>4.78895455825E9</v>
      </c>
    </row>
    <row r="1130">
      <c r="A1130" s="4" t="s">
        <v>10</v>
      </c>
      <c r="B1130" s="5">
        <v>43277.0</v>
      </c>
      <c r="C1130" s="6">
        <v>42.9</v>
      </c>
      <c r="D1130" s="11">
        <v>-0.17</v>
      </c>
      <c r="E1130" s="12">
        <v>-0.0039</v>
      </c>
      <c r="F1130" s="6">
        <v>43.09</v>
      </c>
      <c r="G1130" s="6">
        <v>42.79</v>
      </c>
      <c r="H1130" s="6">
        <v>43.16</v>
      </c>
      <c r="I1130" s="9">
        <v>7.0229141E7</v>
      </c>
      <c r="J1130" s="6">
        <v>3.03620809551E9</v>
      </c>
    </row>
    <row r="1131">
      <c r="A1131" s="4" t="s">
        <v>10</v>
      </c>
      <c r="B1131" s="5">
        <v>43278.0</v>
      </c>
      <c r="C1131" s="6">
        <v>42.08</v>
      </c>
      <c r="D1131" s="11">
        <v>-0.83</v>
      </c>
      <c r="E1131" s="12">
        <v>-0.0192</v>
      </c>
      <c r="F1131" s="6">
        <v>42.84</v>
      </c>
      <c r="G1131" s="6">
        <v>41.95</v>
      </c>
      <c r="H1131" s="6">
        <v>42.85</v>
      </c>
      <c r="I1131" s="9">
        <v>9.5340377E7</v>
      </c>
      <c r="J1131" s="6">
        <v>4.06341323508E9</v>
      </c>
    </row>
    <row r="1132">
      <c r="A1132" s="4" t="s">
        <v>10</v>
      </c>
      <c r="B1132" s="5">
        <v>43279.0</v>
      </c>
      <c r="C1132" s="6">
        <v>42.43</v>
      </c>
      <c r="D1132" s="13">
        <f>+0.36</f>
        <v>0.36</v>
      </c>
      <c r="E1132" s="14">
        <f>+0.85%</f>
        <v>0.0085</v>
      </c>
      <c r="F1132" s="6">
        <v>42.04</v>
      </c>
      <c r="G1132" s="6">
        <v>41.9</v>
      </c>
      <c r="H1132" s="6">
        <v>42.45</v>
      </c>
      <c r="I1132" s="9">
        <v>1.05345285E8</v>
      </c>
      <c r="J1132" s="6">
        <v>4.47124312343E9</v>
      </c>
    </row>
    <row r="1133">
      <c r="A1133" s="4" t="s">
        <v>10</v>
      </c>
      <c r="B1133" s="5">
        <v>43280.0</v>
      </c>
      <c r="C1133" s="6">
        <v>43.07</v>
      </c>
      <c r="D1133" s="13">
        <f>+0.64</f>
        <v>0.64</v>
      </c>
      <c r="E1133" s="14">
        <f>+1.5%</f>
        <v>0.015</v>
      </c>
      <c r="F1133" s="6">
        <v>42.98</v>
      </c>
      <c r="G1133" s="6">
        <v>42.94</v>
      </c>
      <c r="H1133" s="6">
        <v>43.19</v>
      </c>
      <c r="I1133" s="9">
        <v>1.08877043E8</v>
      </c>
      <c r="J1133" s="6">
        <v>4.71798683123E9</v>
      </c>
    </row>
    <row r="1134">
      <c r="A1134" s="4" t="s">
        <v>10</v>
      </c>
      <c r="B1134" s="5">
        <v>43283.0</v>
      </c>
      <c r="C1134" s="6">
        <v>42.64</v>
      </c>
      <c r="D1134" s="11">
        <v>-0.43</v>
      </c>
      <c r="E1134" s="12">
        <v>-0.0099</v>
      </c>
      <c r="F1134" s="6">
        <v>42.36</v>
      </c>
      <c r="G1134" s="6">
        <v>42.27</v>
      </c>
      <c r="H1134" s="6">
        <v>42.71</v>
      </c>
      <c r="I1134" s="9">
        <v>7.8848728E7</v>
      </c>
      <c r="J1134" s="6">
        <v>3.36942821956E9</v>
      </c>
    </row>
    <row r="1135">
      <c r="A1135" s="4" t="s">
        <v>10</v>
      </c>
      <c r="B1135" s="5">
        <v>43284.0</v>
      </c>
      <c r="C1135" s="6">
        <v>42.67</v>
      </c>
      <c r="D1135" s="13">
        <f>+0.03</f>
        <v>0.03</v>
      </c>
      <c r="E1135" s="14">
        <f>+0.07%</f>
        <v>0.0007</v>
      </c>
      <c r="F1135" s="6">
        <v>42.92</v>
      </c>
      <c r="G1135" s="6">
        <v>42.61</v>
      </c>
      <c r="H1135" s="6">
        <v>42.96</v>
      </c>
      <c r="I1135" s="9">
        <v>2.8637231E7</v>
      </c>
      <c r="J1135" s="6">
        <v>1.23290139872E9</v>
      </c>
    </row>
    <row r="1136">
      <c r="A1136" s="4" t="s">
        <v>10</v>
      </c>
      <c r="B1136" s="5">
        <v>43286.0</v>
      </c>
      <c r="C1136" s="6">
        <v>42.56</v>
      </c>
      <c r="D1136" s="11">
        <v>-0.11</v>
      </c>
      <c r="E1136" s="12">
        <v>-0.0026</v>
      </c>
      <c r="F1136" s="6">
        <v>42.79</v>
      </c>
      <c r="G1136" s="6">
        <v>42.39</v>
      </c>
      <c r="H1136" s="6">
        <v>42.83</v>
      </c>
      <c r="I1136" s="9">
        <v>6.7394429E7</v>
      </c>
      <c r="J1136" s="6">
        <v>2.88599374518E9</v>
      </c>
    </row>
    <row r="1137">
      <c r="A1137" s="4" t="s">
        <v>10</v>
      </c>
      <c r="B1137" s="5">
        <v>43287.0</v>
      </c>
      <c r="C1137" s="6">
        <v>43.15</v>
      </c>
      <c r="D1137" s="13">
        <f>+0.59</f>
        <v>0.59</v>
      </c>
      <c r="E1137" s="14">
        <f>+1.38%</f>
        <v>0.0138</v>
      </c>
      <c r="F1137" s="6">
        <v>42.69</v>
      </c>
      <c r="G1137" s="6">
        <v>42.66</v>
      </c>
      <c r="H1137" s="6">
        <v>43.32</v>
      </c>
      <c r="I1137" s="9">
        <v>6.9933923E7</v>
      </c>
      <c r="J1137" s="6">
        <v>3.02974840423E9</v>
      </c>
    </row>
    <row r="1138">
      <c r="A1138" s="4" t="s">
        <v>10</v>
      </c>
      <c r="B1138" s="5">
        <v>43290.0</v>
      </c>
      <c r="C1138" s="6">
        <v>43.93</v>
      </c>
      <c r="D1138" s="13">
        <f>+0.78</f>
        <v>0.78</v>
      </c>
      <c r="E1138" s="14">
        <f>+1.8%</f>
        <v>0.018</v>
      </c>
      <c r="F1138" s="6">
        <v>43.75</v>
      </c>
      <c r="G1138" s="6">
        <v>43.53</v>
      </c>
      <c r="H1138" s="6">
        <v>43.93</v>
      </c>
      <c r="I1138" s="9">
        <v>8.0552656E7</v>
      </c>
      <c r="J1138" s="6">
        <v>3.55052203033E9</v>
      </c>
    </row>
    <row r="1139">
      <c r="A1139" s="4" t="s">
        <v>10</v>
      </c>
      <c r="B1139" s="5">
        <v>43291.0</v>
      </c>
      <c r="C1139" s="6">
        <v>43.83</v>
      </c>
      <c r="D1139" s="11">
        <v>-0.1</v>
      </c>
      <c r="E1139" s="12">
        <v>-0.0023</v>
      </c>
      <c r="F1139" s="6">
        <v>43.79</v>
      </c>
      <c r="G1139" s="6">
        <v>43.48</v>
      </c>
      <c r="H1139" s="6">
        <v>43.85</v>
      </c>
      <c r="I1139" s="9">
        <v>6.3808293E7</v>
      </c>
      <c r="J1139" s="6">
        <v>2.80604881225E9</v>
      </c>
    </row>
    <row r="1140">
      <c r="A1140" s="4" t="s">
        <v>10</v>
      </c>
      <c r="B1140" s="5">
        <v>43292.0</v>
      </c>
      <c r="C1140" s="6">
        <v>42.97</v>
      </c>
      <c r="D1140" s="11">
        <v>-0.85</v>
      </c>
      <c r="E1140" s="12">
        <v>-0.0195</v>
      </c>
      <c r="F1140" s="6">
        <v>43.11</v>
      </c>
      <c r="G1140" s="6">
        <v>42.8</v>
      </c>
      <c r="H1140" s="6">
        <v>43.32</v>
      </c>
      <c r="I1140" s="9">
        <v>5.867917E7</v>
      </c>
      <c r="J1140" s="6">
        <v>2.54387103832E9</v>
      </c>
    </row>
    <row r="1141">
      <c r="A1141" s="4" t="s">
        <v>10</v>
      </c>
      <c r="B1141" s="5">
        <v>43293.0</v>
      </c>
      <c r="C1141" s="6">
        <v>43.56</v>
      </c>
      <c r="D1141" s="13">
        <f>+0.59</f>
        <v>0.59</v>
      </c>
      <c r="E1141" s="14">
        <f>+1.36%</f>
        <v>0.0136</v>
      </c>
      <c r="F1141" s="6">
        <v>43.5</v>
      </c>
      <c r="G1141" s="6">
        <v>43.34</v>
      </c>
      <c r="H1141" s="6">
        <v>43.65</v>
      </c>
      <c r="I1141" s="9">
        <v>5.3833345E7</v>
      </c>
      <c r="J1141" s="6">
        <v>2.35625794494E9</v>
      </c>
    </row>
    <row r="1142">
      <c r="A1142" s="4" t="s">
        <v>10</v>
      </c>
      <c r="B1142" s="5">
        <v>43294.0</v>
      </c>
      <c r="C1142" s="6">
        <v>43.59</v>
      </c>
      <c r="D1142" s="13">
        <f>+0.03</f>
        <v>0.03</v>
      </c>
      <c r="E1142" s="14">
        <f>+0.07%</f>
        <v>0.0007</v>
      </c>
      <c r="F1142" s="6">
        <v>43.51</v>
      </c>
      <c r="G1142" s="6">
        <v>43.36</v>
      </c>
      <c r="H1142" s="6">
        <v>43.68</v>
      </c>
      <c r="I1142" s="9">
        <v>4.0516369E7</v>
      </c>
      <c r="J1142" s="6">
        <v>1.77495972213E9</v>
      </c>
    </row>
    <row r="1143">
      <c r="A1143" s="4" t="s">
        <v>10</v>
      </c>
      <c r="B1143" s="5">
        <v>43297.0</v>
      </c>
      <c r="C1143" s="6">
        <v>43.35</v>
      </c>
      <c r="D1143" s="11">
        <v>-0.24</v>
      </c>
      <c r="E1143" s="12">
        <v>-0.0055</v>
      </c>
      <c r="F1143" s="6">
        <v>43.38</v>
      </c>
      <c r="G1143" s="6">
        <v>43.19</v>
      </c>
      <c r="H1143" s="6">
        <v>43.44</v>
      </c>
      <c r="I1143" s="9">
        <v>3.1717263E7</v>
      </c>
      <c r="J1143" s="6">
        <v>1.3827477024E9</v>
      </c>
    </row>
    <row r="1144">
      <c r="A1144" s="4" t="s">
        <v>10</v>
      </c>
      <c r="B1144" s="5">
        <v>43298.0</v>
      </c>
      <c r="C1144" s="6">
        <v>43.67</v>
      </c>
      <c r="D1144" s="13">
        <f>+0.32</f>
        <v>0.32</v>
      </c>
      <c r="E1144" s="14">
        <f>+0.73%</f>
        <v>0.0073</v>
      </c>
      <c r="F1144" s="6">
        <v>43.18</v>
      </c>
      <c r="G1144" s="6">
        <v>43.13</v>
      </c>
      <c r="H1144" s="6">
        <v>43.75</v>
      </c>
      <c r="I1144" s="9">
        <v>4.6911481E7</v>
      </c>
      <c r="J1144" s="6">
        <v>2.05663848806E9</v>
      </c>
    </row>
    <row r="1145">
      <c r="A1145" s="4" t="s">
        <v>10</v>
      </c>
      <c r="B1145" s="5">
        <v>43299.0</v>
      </c>
      <c r="C1145" s="6">
        <v>43.62</v>
      </c>
      <c r="D1145" s="11">
        <v>-0.05</v>
      </c>
      <c r="E1145" s="12">
        <v>-0.0011</v>
      </c>
      <c r="F1145" s="6">
        <v>43.43</v>
      </c>
      <c r="G1145" s="6">
        <v>43.3</v>
      </c>
      <c r="H1145" s="6">
        <v>43.66</v>
      </c>
      <c r="I1145" s="9">
        <v>4.1182142E7</v>
      </c>
      <c r="J1145" s="6">
        <v>1.80221651972E9</v>
      </c>
    </row>
    <row r="1146">
      <c r="A1146" s="4" t="s">
        <v>10</v>
      </c>
      <c r="B1146" s="5">
        <v>43300.0</v>
      </c>
      <c r="C1146" s="6">
        <v>43.08</v>
      </c>
      <c r="D1146" s="11">
        <v>-0.54</v>
      </c>
      <c r="E1146" s="12">
        <v>-0.0123</v>
      </c>
      <c r="F1146" s="6">
        <v>42.94</v>
      </c>
      <c r="G1146" s="6">
        <v>42.8</v>
      </c>
      <c r="H1146" s="6">
        <v>43.26</v>
      </c>
      <c r="I1146" s="9">
        <v>7.254934E7</v>
      </c>
      <c r="J1146" s="6">
        <v>3.13898644327E9</v>
      </c>
    </row>
    <row r="1147">
      <c r="A1147" s="4" t="s">
        <v>10</v>
      </c>
      <c r="B1147" s="5">
        <v>43301.0</v>
      </c>
      <c r="C1147" s="6">
        <v>43.7</v>
      </c>
      <c r="D1147" s="13">
        <f>+0.62</f>
        <v>0.62</v>
      </c>
      <c r="E1147" s="14">
        <f>+1.43%</f>
        <v>0.0143</v>
      </c>
      <c r="F1147" s="6">
        <v>43.51</v>
      </c>
      <c r="G1147" s="6">
        <v>43.48</v>
      </c>
      <c r="H1147" s="6">
        <v>43.78</v>
      </c>
      <c r="I1147" s="9">
        <v>7.5114612E7</v>
      </c>
      <c r="J1147" s="6">
        <v>3.29915625953E9</v>
      </c>
    </row>
    <row r="1148">
      <c r="A1148" s="4" t="s">
        <v>10</v>
      </c>
      <c r="B1148" s="5">
        <v>43304.0</v>
      </c>
      <c r="C1148" s="6">
        <v>43.41</v>
      </c>
      <c r="D1148" s="11">
        <v>-0.29</v>
      </c>
      <c r="E1148" s="12">
        <v>-0.0066</v>
      </c>
      <c r="F1148" s="6">
        <v>43.5</v>
      </c>
      <c r="G1148" s="6">
        <v>43.27</v>
      </c>
      <c r="H1148" s="6">
        <v>43.51</v>
      </c>
      <c r="I1148" s="9">
        <v>5.76791E7</v>
      </c>
      <c r="J1148" s="6">
        <v>2.51707157823E9</v>
      </c>
    </row>
    <row r="1149">
      <c r="A1149" s="4" t="s">
        <v>10</v>
      </c>
      <c r="B1149" s="5">
        <v>43305.0</v>
      </c>
      <c r="C1149" s="6">
        <v>44.04</v>
      </c>
      <c r="D1149" s="13">
        <f>+0.64</f>
        <v>0.64</v>
      </c>
      <c r="E1149" s="14">
        <f>+1.47%</f>
        <v>0.0147</v>
      </c>
      <c r="F1149" s="6">
        <v>44.12</v>
      </c>
      <c r="G1149" s="6">
        <v>43.91</v>
      </c>
      <c r="H1149" s="6">
        <v>44.3</v>
      </c>
      <c r="I1149" s="9">
        <v>6.663943E7</v>
      </c>
      <c r="J1149" s="6">
        <v>2.95736683374E9</v>
      </c>
    </row>
    <row r="1150">
      <c r="A1150" s="4" t="s">
        <v>10</v>
      </c>
      <c r="B1150" s="5">
        <v>43306.0</v>
      </c>
      <c r="C1150" s="6">
        <v>44.76</v>
      </c>
      <c r="D1150" s="13">
        <f>+0.72</f>
        <v>0.72</v>
      </c>
      <c r="E1150" s="14">
        <f>+1.62%</f>
        <v>0.0162</v>
      </c>
      <c r="F1150" s="6">
        <v>44.33</v>
      </c>
      <c r="G1150" s="6">
        <v>44.21</v>
      </c>
      <c r="H1150" s="6">
        <v>44.79</v>
      </c>
      <c r="I1150" s="9">
        <v>7.7834618E7</v>
      </c>
      <c r="J1150" s="6">
        <v>3.48651148615E9</v>
      </c>
    </row>
    <row r="1151">
      <c r="A1151" s="4" t="s">
        <v>10</v>
      </c>
      <c r="B1151" s="5">
        <v>43307.0</v>
      </c>
      <c r="C1151" s="6">
        <v>44.26</v>
      </c>
      <c r="D1151" s="11">
        <v>-0.5</v>
      </c>
      <c r="E1151" s="12">
        <v>-0.0111</v>
      </c>
      <c r="F1151" s="6">
        <v>44.38</v>
      </c>
      <c r="G1151" s="6">
        <v>44.23</v>
      </c>
      <c r="H1151" s="6">
        <v>44.51</v>
      </c>
      <c r="I1151" s="9">
        <v>6.8705938E7</v>
      </c>
      <c r="J1151" s="6">
        <v>3.06451612269E9</v>
      </c>
    </row>
    <row r="1152">
      <c r="A1152" s="4" t="s">
        <v>10</v>
      </c>
      <c r="B1152" s="5">
        <v>43308.0</v>
      </c>
      <c r="C1152" s="6">
        <v>44.42</v>
      </c>
      <c r="D1152" s="13">
        <f>+0.16</f>
        <v>0.16</v>
      </c>
      <c r="E1152" s="14">
        <f>+0.36%</f>
        <v>0.0036</v>
      </c>
      <c r="F1152" s="6">
        <v>44.59</v>
      </c>
      <c r="G1152" s="6">
        <v>44.18</v>
      </c>
      <c r="H1152" s="6">
        <v>44.68</v>
      </c>
      <c r="I1152" s="9">
        <v>6.3744125E7</v>
      </c>
      <c r="J1152" s="6">
        <v>2.84982914358E9</v>
      </c>
    </row>
    <row r="1153">
      <c r="A1153" s="4" t="s">
        <v>10</v>
      </c>
      <c r="B1153" s="5">
        <v>43311.0</v>
      </c>
      <c r="C1153" s="6">
        <v>44.35</v>
      </c>
      <c r="D1153" s="11">
        <v>-0.07</v>
      </c>
      <c r="E1153" s="12">
        <v>-0.0016</v>
      </c>
      <c r="F1153" s="6">
        <v>44.52</v>
      </c>
      <c r="G1153" s="6">
        <v>44.22</v>
      </c>
      <c r="H1153" s="6">
        <v>44.59</v>
      </c>
      <c r="I1153" s="9">
        <v>4.1541403E7</v>
      </c>
      <c r="J1153" s="6">
        <v>1.85528782799E9</v>
      </c>
    </row>
    <row r="1154">
      <c r="A1154" s="4" t="s">
        <v>10</v>
      </c>
      <c r="B1154" s="5">
        <v>43312.0</v>
      </c>
      <c r="C1154" s="6">
        <v>44.59</v>
      </c>
      <c r="D1154" s="13">
        <f>+0.24</f>
        <v>0.24</v>
      </c>
      <c r="E1154" s="14">
        <f>+0.54%</f>
        <v>0.0054</v>
      </c>
      <c r="F1154" s="6">
        <v>44.35</v>
      </c>
      <c r="G1154" s="6">
        <v>44.24</v>
      </c>
      <c r="H1154" s="6">
        <v>44.66</v>
      </c>
      <c r="I1154" s="9">
        <v>8.8217474E7</v>
      </c>
      <c r="J1154" s="6">
        <v>3.94991488853E9</v>
      </c>
    </row>
    <row r="1155">
      <c r="A1155" s="4" t="s">
        <v>10</v>
      </c>
      <c r="B1155" s="5">
        <v>43313.0</v>
      </c>
      <c r="C1155" s="6">
        <v>44.19</v>
      </c>
      <c r="D1155" s="11">
        <v>-0.4</v>
      </c>
      <c r="E1155" s="12">
        <v>-0.0089</v>
      </c>
      <c r="F1155" s="6">
        <v>44.2</v>
      </c>
      <c r="G1155" s="6">
        <v>44.07</v>
      </c>
      <c r="H1155" s="6">
        <v>44.42</v>
      </c>
      <c r="I1155" s="9">
        <v>6.1755049E7</v>
      </c>
      <c r="J1155" s="6">
        <v>2.74745925658E9</v>
      </c>
    </row>
    <row r="1156">
      <c r="A1156" s="4" t="s">
        <v>10</v>
      </c>
      <c r="B1156" s="5">
        <v>43314.0</v>
      </c>
      <c r="C1156" s="6">
        <v>43.61</v>
      </c>
      <c r="D1156" s="11">
        <v>-0.59</v>
      </c>
      <c r="E1156" s="12">
        <v>-0.0133</v>
      </c>
      <c r="F1156" s="6">
        <v>43.29</v>
      </c>
      <c r="G1156" s="6">
        <v>43.2</v>
      </c>
      <c r="H1156" s="6">
        <v>43.68</v>
      </c>
      <c r="I1156" s="9">
        <v>6.8678627E7</v>
      </c>
      <c r="J1156" s="6">
        <v>3.00308802648E9</v>
      </c>
    </row>
    <row r="1157">
      <c r="A1157" s="4" t="s">
        <v>10</v>
      </c>
      <c r="B1157" s="5">
        <v>43315.0</v>
      </c>
      <c r="C1157" s="6">
        <v>43.94</v>
      </c>
      <c r="D1157" s="13">
        <f>+0.34</f>
        <v>0.34</v>
      </c>
      <c r="E1157" s="14">
        <f>+0.78%</f>
        <v>0.0078</v>
      </c>
      <c r="F1157" s="6">
        <v>43.76</v>
      </c>
      <c r="G1157" s="6">
        <v>43.71</v>
      </c>
      <c r="H1157" s="6">
        <v>43.99</v>
      </c>
      <c r="I1157" s="9">
        <v>4.1043795E7</v>
      </c>
      <c r="J1157" s="6">
        <v>1.81183348904E9</v>
      </c>
    </row>
    <row r="1158">
      <c r="A1158" s="4" t="s">
        <v>10</v>
      </c>
      <c r="B1158" s="5">
        <v>43318.0</v>
      </c>
      <c r="C1158" s="6">
        <v>43.61</v>
      </c>
      <c r="D1158" s="11">
        <v>-0.34</v>
      </c>
      <c r="E1158" s="12">
        <v>-0.0077</v>
      </c>
      <c r="F1158" s="6">
        <v>43.63</v>
      </c>
      <c r="G1158" s="6">
        <v>43.5</v>
      </c>
      <c r="H1158" s="6">
        <v>43.76</v>
      </c>
      <c r="I1158" s="9">
        <v>3.3153764E7</v>
      </c>
      <c r="J1158" s="6">
        <v>1.45530552023E9</v>
      </c>
    </row>
    <row r="1159">
      <c r="A1159" s="4" t="s">
        <v>10</v>
      </c>
      <c r="B1159" s="5">
        <v>43319.0</v>
      </c>
      <c r="C1159" s="6">
        <v>44.05</v>
      </c>
      <c r="D1159" s="13">
        <f>+0.45</f>
        <v>0.45</v>
      </c>
      <c r="E1159" s="14">
        <f>+1.03%</f>
        <v>0.0103</v>
      </c>
      <c r="F1159" s="6">
        <v>44.11</v>
      </c>
      <c r="G1159" s="6">
        <v>44.03</v>
      </c>
      <c r="H1159" s="6">
        <v>44.28</v>
      </c>
      <c r="I1159" s="9">
        <v>3.8719539E7</v>
      </c>
      <c r="J1159" s="6">
        <v>1.72037914752E9</v>
      </c>
    </row>
    <row r="1160">
      <c r="A1160" s="4" t="s">
        <v>10</v>
      </c>
      <c r="B1160" s="5">
        <v>43320.0</v>
      </c>
      <c r="C1160" s="6">
        <v>43.99</v>
      </c>
      <c r="D1160" s="11">
        <v>-0.06</v>
      </c>
      <c r="E1160" s="12">
        <v>-0.0014</v>
      </c>
      <c r="F1160" s="6">
        <v>43.96</v>
      </c>
      <c r="G1160" s="6">
        <v>43.83</v>
      </c>
      <c r="H1160" s="6">
        <v>44.05</v>
      </c>
      <c r="I1160" s="9">
        <v>3.0610395E7</v>
      </c>
      <c r="J1160" s="6">
        <v>1.3540389056E9</v>
      </c>
    </row>
    <row r="1161">
      <c r="A1161" s="4" t="s">
        <v>10</v>
      </c>
      <c r="B1161" s="5">
        <v>43321.0</v>
      </c>
      <c r="C1161" s="6">
        <v>43.87</v>
      </c>
      <c r="D1161" s="11">
        <v>-0.13</v>
      </c>
      <c r="E1161" s="12">
        <v>-0.0029</v>
      </c>
      <c r="F1161" s="6">
        <v>44.05</v>
      </c>
      <c r="G1161" s="6">
        <v>43.84</v>
      </c>
      <c r="H1161" s="6">
        <v>44.15</v>
      </c>
      <c r="I1161" s="9">
        <v>3.5013909E7</v>
      </c>
      <c r="J1161" s="6">
        <v>1.54918501539E9</v>
      </c>
    </row>
    <row r="1162">
      <c r="A1162" s="4" t="s">
        <v>10</v>
      </c>
      <c r="B1162" s="5">
        <v>43322.0</v>
      </c>
      <c r="C1162" s="6">
        <v>42.93</v>
      </c>
      <c r="D1162" s="11">
        <v>-0.93</v>
      </c>
      <c r="E1162" s="12">
        <v>-0.0213</v>
      </c>
      <c r="F1162" s="6">
        <v>42.88</v>
      </c>
      <c r="G1162" s="6">
        <v>42.79</v>
      </c>
      <c r="H1162" s="6">
        <v>43.07</v>
      </c>
      <c r="I1162" s="9">
        <v>8.6629897E7</v>
      </c>
      <c r="J1162" s="6">
        <v>3.74070037992E9</v>
      </c>
    </row>
    <row r="1163">
      <c r="A1163" s="4" t="s">
        <v>10</v>
      </c>
      <c r="B1163" s="5">
        <v>43325.0</v>
      </c>
      <c r="C1163" s="6">
        <v>42.23</v>
      </c>
      <c r="D1163" s="11">
        <v>-0.71</v>
      </c>
      <c r="E1163" s="12">
        <v>-0.0164</v>
      </c>
      <c r="F1163" s="6">
        <v>42.53</v>
      </c>
      <c r="G1163" s="6">
        <v>42.11</v>
      </c>
      <c r="H1163" s="6">
        <v>42.63</v>
      </c>
      <c r="I1163" s="9">
        <v>7.5183458E7</v>
      </c>
      <c r="J1163" s="6">
        <v>3.20098302246E9</v>
      </c>
    </row>
    <row r="1164">
      <c r="A1164" s="4" t="s">
        <v>10</v>
      </c>
      <c r="B1164" s="5">
        <v>43326.0</v>
      </c>
      <c r="C1164" s="6">
        <v>42.48</v>
      </c>
      <c r="D1164" s="13">
        <f>+0.26</f>
        <v>0.26</v>
      </c>
      <c r="E1164" s="14">
        <f>+0.61%</f>
        <v>0.0061</v>
      </c>
      <c r="F1164" s="6">
        <v>42.38</v>
      </c>
      <c r="G1164" s="6">
        <v>42.3</v>
      </c>
      <c r="H1164" s="6">
        <v>42.6</v>
      </c>
      <c r="I1164" s="9">
        <v>5.6724833E7</v>
      </c>
      <c r="J1164" s="6">
        <v>2.42288117853E9</v>
      </c>
    </row>
    <row r="1165">
      <c r="A1165" s="4" t="s">
        <v>10</v>
      </c>
      <c r="B1165" s="5">
        <v>43327.0</v>
      </c>
      <c r="C1165" s="6">
        <v>41.26</v>
      </c>
      <c r="D1165" s="11">
        <v>-1.22</v>
      </c>
      <c r="E1165" s="12">
        <v>-0.0288</v>
      </c>
      <c r="F1165" s="6">
        <v>41.29</v>
      </c>
      <c r="G1165" s="6">
        <v>40.88</v>
      </c>
      <c r="H1165" s="6">
        <v>41.46</v>
      </c>
      <c r="I1165" s="9">
        <v>1.38633621E8</v>
      </c>
      <c r="J1165" s="6">
        <v>5.74467348598E9</v>
      </c>
    </row>
    <row r="1166">
      <c r="A1166" s="4" t="s">
        <v>10</v>
      </c>
      <c r="B1166" s="5">
        <v>43328.0</v>
      </c>
      <c r="C1166" s="6">
        <v>41.52</v>
      </c>
      <c r="D1166" s="13">
        <f>+0.26</f>
        <v>0.26</v>
      </c>
      <c r="E1166" s="14">
        <f>+0.63%</f>
        <v>0.0063</v>
      </c>
      <c r="F1166" s="6">
        <v>41.67</v>
      </c>
      <c r="G1166" s="6">
        <v>41.5</v>
      </c>
      <c r="H1166" s="6">
        <v>41.86</v>
      </c>
      <c r="I1166" s="9">
        <v>7.8123949E7</v>
      </c>
      <c r="J1166" s="6">
        <v>3.27437828814E9</v>
      </c>
    </row>
    <row r="1167">
      <c r="A1167" s="4" t="s">
        <v>10</v>
      </c>
      <c r="B1167" s="5">
        <v>43329.0</v>
      </c>
      <c r="C1167" s="6">
        <v>41.96</v>
      </c>
      <c r="D1167" s="13">
        <f>+0.44</f>
        <v>0.44</v>
      </c>
      <c r="E1167" s="14">
        <f>+1.05%</f>
        <v>0.0105</v>
      </c>
      <c r="F1167" s="6">
        <v>41.37</v>
      </c>
      <c r="G1167" s="6">
        <v>41.27</v>
      </c>
      <c r="H1167" s="6">
        <v>42.06</v>
      </c>
      <c r="I1167" s="9">
        <v>7.6030397E7</v>
      </c>
      <c r="J1167" s="6">
        <v>3.19620410347E9</v>
      </c>
    </row>
    <row r="1168">
      <c r="A1168" s="4" t="s">
        <v>10</v>
      </c>
      <c r="B1168" s="5">
        <v>43332.0</v>
      </c>
      <c r="C1168" s="6">
        <v>42.15</v>
      </c>
      <c r="D1168" s="13">
        <f>+0.19</f>
        <v>0.19</v>
      </c>
      <c r="E1168" s="14">
        <f>+0.45%</f>
        <v>0.0045</v>
      </c>
      <c r="F1168" s="6">
        <v>42.06</v>
      </c>
      <c r="G1168" s="6">
        <v>41.92</v>
      </c>
      <c r="H1168" s="6">
        <v>42.19</v>
      </c>
      <c r="I1168" s="9">
        <v>5.0763065E7</v>
      </c>
      <c r="J1168" s="6">
        <v>2.14856380121E9</v>
      </c>
    </row>
    <row r="1169">
      <c r="A1169" s="4" t="s">
        <v>10</v>
      </c>
      <c r="B1169" s="5">
        <v>43333.0</v>
      </c>
      <c r="C1169" s="6">
        <v>42.68</v>
      </c>
      <c r="D1169" s="13">
        <f>+0.54</f>
        <v>0.54</v>
      </c>
      <c r="E1169" s="14">
        <f>+1.27%</f>
        <v>0.0127</v>
      </c>
      <c r="F1169" s="6">
        <v>42.57</v>
      </c>
      <c r="G1169" s="6">
        <v>42.54</v>
      </c>
      <c r="H1169" s="6">
        <v>42.85</v>
      </c>
      <c r="I1169" s="9">
        <v>7.0462311E7</v>
      </c>
      <c r="J1169" s="6">
        <v>3.02645984802E9</v>
      </c>
    </row>
    <row r="1170">
      <c r="A1170" s="4" t="s">
        <v>10</v>
      </c>
      <c r="B1170" s="5">
        <v>43334.0</v>
      </c>
      <c r="C1170" s="6">
        <v>43.02</v>
      </c>
      <c r="D1170" s="13">
        <f>+0.34</f>
        <v>0.34</v>
      </c>
      <c r="E1170" s="14">
        <f>+0.79%</f>
        <v>0.0079</v>
      </c>
      <c r="F1170" s="6">
        <v>42.72</v>
      </c>
      <c r="G1170" s="6">
        <v>42.72</v>
      </c>
      <c r="H1170" s="6">
        <v>43.09</v>
      </c>
      <c r="I1170" s="9">
        <v>4.5602891E7</v>
      </c>
      <c r="J1170" s="6">
        <v>1.97019262318E9</v>
      </c>
    </row>
    <row r="1171">
      <c r="A1171" s="4" t="s">
        <v>10</v>
      </c>
      <c r="B1171" s="5">
        <v>43335.0</v>
      </c>
      <c r="C1171" s="6">
        <v>42.32</v>
      </c>
      <c r="D1171" s="11">
        <v>-0.7</v>
      </c>
      <c r="E1171" s="12">
        <v>-0.0162</v>
      </c>
      <c r="F1171" s="6">
        <v>42.87</v>
      </c>
      <c r="G1171" s="6">
        <v>42.27</v>
      </c>
      <c r="H1171" s="6">
        <v>43.0</v>
      </c>
      <c r="I1171" s="9">
        <v>6.8878364E7</v>
      </c>
      <c r="J1171" s="6">
        <v>2.94969664915E9</v>
      </c>
    </row>
    <row r="1172">
      <c r="A1172" s="4" t="s">
        <v>10</v>
      </c>
      <c r="B1172" s="5">
        <v>43336.0</v>
      </c>
      <c r="C1172" s="6">
        <v>43.11</v>
      </c>
      <c r="D1172" s="13">
        <f>+0.79</f>
        <v>0.79</v>
      </c>
      <c r="E1172" s="14">
        <f>+1.86%</f>
        <v>0.0186</v>
      </c>
      <c r="F1172" s="6">
        <v>42.96</v>
      </c>
      <c r="G1172" s="6">
        <v>42.82</v>
      </c>
      <c r="H1172" s="6">
        <v>43.14</v>
      </c>
      <c r="I1172" s="9">
        <v>6.9304244E7</v>
      </c>
      <c r="J1172" s="6">
        <v>2.99898255059E9</v>
      </c>
    </row>
    <row r="1173">
      <c r="A1173" s="4" t="s">
        <v>10</v>
      </c>
      <c r="B1173" s="5">
        <v>43339.0</v>
      </c>
      <c r="C1173" s="6">
        <v>43.73</v>
      </c>
      <c r="D1173" s="13">
        <f>+0.62</f>
        <v>0.62</v>
      </c>
      <c r="E1173" s="14">
        <f>+1.43%</f>
        <v>0.0143</v>
      </c>
      <c r="F1173" s="6">
        <v>43.51</v>
      </c>
      <c r="G1173" s="6">
        <v>43.5</v>
      </c>
      <c r="H1173" s="6">
        <v>43.9</v>
      </c>
      <c r="I1173" s="9">
        <v>9.6574756E7</v>
      </c>
      <c r="J1173" s="6">
        <v>4.25010560762E9</v>
      </c>
    </row>
    <row r="1174">
      <c r="A1174" s="4" t="s">
        <v>10</v>
      </c>
      <c r="B1174" s="5">
        <v>43340.0</v>
      </c>
      <c r="C1174" s="6">
        <v>43.57</v>
      </c>
      <c r="D1174" s="11">
        <v>-0.16</v>
      </c>
      <c r="E1174" s="12">
        <v>-0.0036</v>
      </c>
      <c r="F1174" s="6">
        <v>43.85</v>
      </c>
      <c r="G1174" s="6">
        <v>43.48</v>
      </c>
      <c r="H1174" s="6">
        <v>43.92</v>
      </c>
      <c r="I1174" s="9">
        <v>5.0093424E7</v>
      </c>
      <c r="J1174" s="6">
        <v>2.19892321353E9</v>
      </c>
    </row>
    <row r="1175">
      <c r="A1175" s="4" t="s">
        <v>10</v>
      </c>
      <c r="B1175" s="5">
        <v>43341.0</v>
      </c>
      <c r="C1175" s="6">
        <v>43.84</v>
      </c>
      <c r="D1175" s="13">
        <f>+0.27</f>
        <v>0.27</v>
      </c>
      <c r="E1175" s="14">
        <f>+0.62%</f>
        <v>0.0062</v>
      </c>
      <c r="F1175" s="6">
        <v>43.47</v>
      </c>
      <c r="G1175" s="6">
        <v>43.38</v>
      </c>
      <c r="H1175" s="6">
        <v>43.86</v>
      </c>
      <c r="I1175" s="9">
        <v>5.8165632E7</v>
      </c>
      <c r="J1175" s="6">
        <v>2.55755851282E9</v>
      </c>
    </row>
    <row r="1176">
      <c r="A1176" s="4" t="s">
        <v>10</v>
      </c>
      <c r="B1176" s="5">
        <v>43342.0</v>
      </c>
      <c r="C1176" s="6">
        <v>42.69</v>
      </c>
      <c r="D1176" s="11">
        <v>-1.14</v>
      </c>
      <c r="E1176" s="12">
        <v>-0.0261</v>
      </c>
      <c r="F1176" s="6">
        <v>43.16</v>
      </c>
      <c r="G1176" s="6">
        <v>42.54</v>
      </c>
      <c r="H1176" s="6">
        <v>43.16</v>
      </c>
      <c r="I1176" s="9">
        <v>1.20206401E8</v>
      </c>
      <c r="J1176" s="6">
        <v>5.18254513367E9</v>
      </c>
    </row>
    <row r="1177">
      <c r="A1177" s="4" t="s">
        <v>10</v>
      </c>
      <c r="B1177" s="5">
        <v>43343.0</v>
      </c>
      <c r="C1177" s="6">
        <v>42.91</v>
      </c>
      <c r="D1177" s="13">
        <f>+0.22</f>
        <v>0.22</v>
      </c>
      <c r="E1177" s="14">
        <f>+0.51%</f>
        <v>0.0051</v>
      </c>
      <c r="F1177" s="6">
        <v>42.63</v>
      </c>
      <c r="G1177" s="6">
        <v>42.58</v>
      </c>
      <c r="H1177" s="6">
        <v>43.05</v>
      </c>
      <c r="I1177" s="9">
        <v>8.8660471E7</v>
      </c>
      <c r="J1177" s="6">
        <v>3.82273661207E9</v>
      </c>
    </row>
    <row r="1178">
      <c r="A1178" s="4" t="s">
        <v>10</v>
      </c>
      <c r="B1178" s="5">
        <v>43347.0</v>
      </c>
      <c r="C1178" s="6">
        <v>42.08</v>
      </c>
      <c r="D1178" s="11">
        <v>-0.83</v>
      </c>
      <c r="E1178" s="12">
        <v>-0.0195</v>
      </c>
      <c r="F1178" s="6">
        <v>42.24</v>
      </c>
      <c r="G1178" s="6">
        <v>41.97</v>
      </c>
      <c r="H1178" s="6">
        <v>42.24</v>
      </c>
      <c r="I1178" s="9">
        <v>7.6724737E7</v>
      </c>
      <c r="J1178" s="6">
        <v>3.24851632633E9</v>
      </c>
    </row>
    <row r="1179">
      <c r="A1179" s="4" t="s">
        <v>10</v>
      </c>
      <c r="B1179" s="5">
        <v>43348.0</v>
      </c>
      <c r="C1179" s="6">
        <v>41.47</v>
      </c>
      <c r="D1179" s="11">
        <v>-0.61</v>
      </c>
      <c r="E1179" s="12">
        <v>-0.0144</v>
      </c>
      <c r="F1179" s="6">
        <v>41.59</v>
      </c>
      <c r="G1179" s="6">
        <v>41.34</v>
      </c>
      <c r="H1179" s="6">
        <v>41.66</v>
      </c>
      <c r="I1179" s="9">
        <v>7.7835786E7</v>
      </c>
      <c r="J1179" s="6">
        <v>3.2482876919E9</v>
      </c>
    </row>
    <row r="1180">
      <c r="A1180" s="4" t="s">
        <v>10</v>
      </c>
      <c r="B1180" s="5">
        <v>43349.0</v>
      </c>
      <c r="C1180" s="6">
        <v>41.51</v>
      </c>
      <c r="D1180" s="13">
        <f>+0.04</f>
        <v>0.04</v>
      </c>
      <c r="E1180" s="14">
        <f>+0.1%</f>
        <v>0.001</v>
      </c>
      <c r="F1180" s="6">
        <v>41.55</v>
      </c>
      <c r="G1180" s="6">
        <v>41.23</v>
      </c>
      <c r="H1180" s="6">
        <v>41.66</v>
      </c>
      <c r="I1180" s="9">
        <v>7.3104428E7</v>
      </c>
      <c r="J1180" s="6">
        <v>3.04851397633E9</v>
      </c>
    </row>
    <row r="1181">
      <c r="A1181" s="4" t="s">
        <v>10</v>
      </c>
      <c r="B1181" s="5">
        <v>43350.0</v>
      </c>
      <c r="C1181" s="6">
        <v>41.3</v>
      </c>
      <c r="D1181" s="11">
        <v>-0.21</v>
      </c>
      <c r="E1181" s="12">
        <v>-0.005</v>
      </c>
      <c r="F1181" s="6">
        <v>41.38</v>
      </c>
      <c r="G1181" s="6">
        <v>41.14</v>
      </c>
      <c r="H1181" s="6">
        <v>41.69</v>
      </c>
      <c r="I1181" s="9">
        <v>6.1590666E7</v>
      </c>
      <c r="J1181" s="6">
        <v>2.565272018E9</v>
      </c>
    </row>
    <row r="1182">
      <c r="A1182" s="4" t="s">
        <v>10</v>
      </c>
      <c r="B1182" s="5">
        <v>43353.0</v>
      </c>
      <c r="C1182" s="6">
        <v>40.89</v>
      </c>
      <c r="D1182" s="11">
        <v>-0.41</v>
      </c>
      <c r="E1182" s="12">
        <v>-0.0099</v>
      </c>
      <c r="F1182" s="6">
        <v>41.29</v>
      </c>
      <c r="G1182" s="6">
        <v>40.84</v>
      </c>
      <c r="H1182" s="6">
        <v>41.29</v>
      </c>
      <c r="I1182" s="9">
        <v>6.1116599E7</v>
      </c>
      <c r="J1182" s="6">
        <v>2.5199701589E9</v>
      </c>
    </row>
    <row r="1183">
      <c r="A1183" s="4" t="s">
        <v>10</v>
      </c>
      <c r="B1183" s="5">
        <v>43354.0</v>
      </c>
      <c r="C1183" s="6">
        <v>40.98</v>
      </c>
      <c r="D1183" s="13">
        <f>+0.09</f>
        <v>0.09</v>
      </c>
      <c r="E1183" s="14">
        <f>+0.22%</f>
        <v>0.0022</v>
      </c>
      <c r="F1183" s="6">
        <v>40.5</v>
      </c>
      <c r="G1183" s="6">
        <v>40.39</v>
      </c>
      <c r="H1183" s="6">
        <v>40.99</v>
      </c>
      <c r="I1183" s="9">
        <v>7.4608662E7</v>
      </c>
      <c r="J1183" s="6">
        <v>3.05849293533E9</v>
      </c>
    </row>
    <row r="1184">
      <c r="A1184" s="4" t="s">
        <v>10</v>
      </c>
      <c r="B1184" s="5">
        <v>43355.0</v>
      </c>
      <c r="C1184" s="6">
        <v>41.19</v>
      </c>
      <c r="D1184" s="13">
        <f>+0.21</f>
        <v>0.21</v>
      </c>
      <c r="E1184" s="14">
        <f>+0.51%</f>
        <v>0.0051</v>
      </c>
      <c r="F1184" s="6">
        <v>40.79</v>
      </c>
      <c r="G1184" s="6">
        <v>40.64</v>
      </c>
      <c r="H1184" s="6">
        <v>41.44</v>
      </c>
      <c r="I1184" s="9">
        <v>1.16612699E8</v>
      </c>
      <c r="J1184" s="6">
        <v>4.82700189627E9</v>
      </c>
    </row>
    <row r="1185">
      <c r="A1185" s="4" t="s">
        <v>10</v>
      </c>
      <c r="B1185" s="5">
        <v>43356.0</v>
      </c>
      <c r="C1185" s="6">
        <v>41.75</v>
      </c>
      <c r="D1185" s="13">
        <f>+0.56</f>
        <v>0.56</v>
      </c>
      <c r="E1185" s="14">
        <f>+1.35%</f>
        <v>0.0135</v>
      </c>
      <c r="F1185" s="6">
        <v>41.81</v>
      </c>
      <c r="G1185" s="6">
        <v>41.56</v>
      </c>
      <c r="H1185" s="6">
        <v>42.03</v>
      </c>
      <c r="I1185" s="9">
        <v>9.6306519E7</v>
      </c>
      <c r="J1185" s="6">
        <v>4.04616755238E9</v>
      </c>
    </row>
    <row r="1186">
      <c r="A1186" s="4" t="s">
        <v>10</v>
      </c>
      <c r="B1186" s="5">
        <v>43357.0</v>
      </c>
      <c r="C1186" s="6">
        <v>41.71</v>
      </c>
      <c r="D1186" s="11">
        <v>-0.04</v>
      </c>
      <c r="E1186" s="12">
        <v>-0.001</v>
      </c>
      <c r="F1186" s="6">
        <v>41.98</v>
      </c>
      <c r="G1186" s="6">
        <v>41.51</v>
      </c>
      <c r="H1186" s="6">
        <v>42.03</v>
      </c>
      <c r="I1186" s="9">
        <v>6.520269E7</v>
      </c>
      <c r="J1186" s="6">
        <v>2.73902309539E9</v>
      </c>
    </row>
    <row r="1187">
      <c r="A1187" s="4" t="s">
        <v>10</v>
      </c>
      <c r="B1187" s="5">
        <v>43360.0</v>
      </c>
      <c r="C1187" s="6">
        <v>41.33</v>
      </c>
      <c r="D1187" s="11">
        <v>-0.38</v>
      </c>
      <c r="E1187" s="12">
        <v>-0.0091</v>
      </c>
      <c r="F1187" s="6">
        <v>41.4</v>
      </c>
      <c r="G1187" s="6">
        <v>41.27</v>
      </c>
      <c r="H1187" s="6">
        <v>41.56</v>
      </c>
      <c r="I1187" s="9">
        <v>7.4603909E7</v>
      </c>
      <c r="J1187" s="6">
        <v>3.1085660662E9</v>
      </c>
    </row>
    <row r="1188">
      <c r="A1188" s="4" t="s">
        <v>10</v>
      </c>
      <c r="B1188" s="5">
        <v>43361.0</v>
      </c>
      <c r="C1188" s="6">
        <v>41.73</v>
      </c>
      <c r="D1188" s="13">
        <f>+0.4</f>
        <v>0.4</v>
      </c>
      <c r="E1188" s="14">
        <f>+0.96%</f>
        <v>0.0096</v>
      </c>
      <c r="F1188" s="6">
        <v>41.53</v>
      </c>
      <c r="G1188" s="6">
        <v>41.52</v>
      </c>
      <c r="H1188" s="6">
        <v>41.8</v>
      </c>
      <c r="I1188" s="9">
        <v>5.2000734E7</v>
      </c>
      <c r="J1188" s="6">
        <v>2.18137841939E9</v>
      </c>
    </row>
    <row r="1189">
      <c r="A1189" s="4" t="s">
        <v>10</v>
      </c>
      <c r="B1189" s="5">
        <v>43362.0</v>
      </c>
      <c r="C1189" s="6">
        <v>42.3</v>
      </c>
      <c r="D1189" s="13">
        <f>+0.58</f>
        <v>0.58</v>
      </c>
      <c r="E1189" s="14">
        <f>+1.38%</f>
        <v>0.0138</v>
      </c>
      <c r="F1189" s="6">
        <v>42.08</v>
      </c>
      <c r="G1189" s="6">
        <v>42.07</v>
      </c>
      <c r="H1189" s="6">
        <v>42.35</v>
      </c>
      <c r="I1189" s="9">
        <v>5.5892416E7</v>
      </c>
      <c r="J1189" s="6">
        <v>2.37598573115E9</v>
      </c>
    </row>
    <row r="1190">
      <c r="A1190" s="4" t="s">
        <v>10</v>
      </c>
      <c r="B1190" s="5">
        <v>43363.0</v>
      </c>
      <c r="C1190" s="6">
        <v>42.77</v>
      </c>
      <c r="D1190" s="13">
        <f>+0.47</f>
        <v>0.47</v>
      </c>
      <c r="E1190" s="14">
        <f>+1.1%</f>
        <v>0.011</v>
      </c>
      <c r="F1190" s="6">
        <v>42.67</v>
      </c>
      <c r="G1190" s="6">
        <v>42.43</v>
      </c>
      <c r="H1190" s="6">
        <v>42.8</v>
      </c>
      <c r="I1190" s="9">
        <v>9.3427436E7</v>
      </c>
      <c r="J1190" s="6">
        <v>4.00973244869E9</v>
      </c>
    </row>
    <row r="1191">
      <c r="A1191" s="4" t="s">
        <v>10</v>
      </c>
      <c r="B1191" s="5">
        <v>43364.0</v>
      </c>
      <c r="C1191" s="6">
        <v>42.97</v>
      </c>
      <c r="D1191" s="13">
        <f>+0.2</f>
        <v>0.2</v>
      </c>
      <c r="E1191" s="14">
        <f>+0.46%</f>
        <v>0.0046</v>
      </c>
      <c r="F1191" s="6">
        <v>42.83</v>
      </c>
      <c r="G1191" s="6">
        <v>42.77</v>
      </c>
      <c r="H1191" s="6">
        <v>43.04</v>
      </c>
      <c r="I1191" s="9">
        <v>1.02750671E8</v>
      </c>
      <c r="J1191" s="6">
        <v>4.43697494323E9</v>
      </c>
    </row>
    <row r="1192">
      <c r="A1192" s="4" t="s">
        <v>10</v>
      </c>
      <c r="B1192" s="5">
        <v>43367.0</v>
      </c>
      <c r="C1192" s="6">
        <v>42.48</v>
      </c>
      <c r="D1192" s="11">
        <v>-0.49</v>
      </c>
      <c r="E1192" s="12">
        <v>-0.0113</v>
      </c>
      <c r="F1192" s="6">
        <v>42.47</v>
      </c>
      <c r="G1192" s="6">
        <v>42.33</v>
      </c>
      <c r="H1192" s="6">
        <v>42.53</v>
      </c>
      <c r="I1192" s="9">
        <v>5.4411652E7</v>
      </c>
      <c r="J1192" s="6">
        <v>2.32383330852E9</v>
      </c>
    </row>
    <row r="1193">
      <c r="A1193" s="4" t="s">
        <v>10</v>
      </c>
      <c r="B1193" s="5">
        <v>43368.0</v>
      </c>
      <c r="C1193" s="6">
        <v>42.65</v>
      </c>
      <c r="D1193" s="13">
        <f>+0.17</f>
        <v>0.17</v>
      </c>
      <c r="E1193" s="14">
        <f>+0.4%</f>
        <v>0.004</v>
      </c>
      <c r="F1193" s="6">
        <v>42.55</v>
      </c>
      <c r="G1193" s="6">
        <v>42.5</v>
      </c>
      <c r="H1193" s="6">
        <v>42.75</v>
      </c>
      <c r="I1193" s="9">
        <v>4.9466978E7</v>
      </c>
      <c r="J1193" s="6">
        <v>2.12219331162E9</v>
      </c>
    </row>
    <row r="1194">
      <c r="A1194" s="4" t="s">
        <v>10</v>
      </c>
      <c r="B1194" s="5">
        <v>43369.0</v>
      </c>
      <c r="C1194" s="6">
        <v>42.74</v>
      </c>
      <c r="D1194" s="13">
        <f>+0.09</f>
        <v>0.09</v>
      </c>
      <c r="E1194" s="14">
        <f>+0.21%</f>
        <v>0.0021</v>
      </c>
      <c r="F1194" s="6">
        <v>42.72</v>
      </c>
      <c r="G1194" s="6">
        <v>42.68</v>
      </c>
      <c r="H1194" s="6">
        <v>43.25</v>
      </c>
      <c r="I1194" s="9">
        <v>8.4080435E7</v>
      </c>
      <c r="J1194" s="6">
        <v>3.63021992454E9</v>
      </c>
    </row>
    <row r="1195">
      <c r="A1195" s="4" t="s">
        <v>10</v>
      </c>
      <c r="B1195" s="5">
        <v>43370.0</v>
      </c>
      <c r="C1195" s="6">
        <v>42.95</v>
      </c>
      <c r="D1195" s="13">
        <f>+0.21</f>
        <v>0.21</v>
      </c>
      <c r="E1195" s="14">
        <f>+0.49%</f>
        <v>0.0049</v>
      </c>
      <c r="F1195" s="6">
        <v>42.87</v>
      </c>
      <c r="G1195" s="6">
        <v>42.83</v>
      </c>
      <c r="H1195" s="6">
        <v>43.09</v>
      </c>
      <c r="I1195" s="9">
        <v>4.5547496E7</v>
      </c>
      <c r="J1195" s="6">
        <v>1.96872067825E9</v>
      </c>
    </row>
    <row r="1196">
      <c r="A1196" s="4" t="s">
        <v>10</v>
      </c>
      <c r="B1196" s="5">
        <v>43371.0</v>
      </c>
      <c r="C1196" s="6">
        <v>42.66</v>
      </c>
      <c r="D1196" s="11">
        <v>-0.29</v>
      </c>
      <c r="E1196" s="12">
        <v>-0.0067</v>
      </c>
      <c r="F1196" s="6">
        <v>42.63</v>
      </c>
      <c r="G1196" s="6">
        <v>42.52</v>
      </c>
      <c r="H1196" s="6">
        <v>42.89</v>
      </c>
      <c r="I1196" s="9">
        <v>6.4732793E7</v>
      </c>
      <c r="J1196" s="6">
        <v>2.77940497868E9</v>
      </c>
    </row>
    <row r="1197">
      <c r="A1197" s="4" t="s">
        <v>10</v>
      </c>
      <c r="B1197" s="5">
        <v>43374.0</v>
      </c>
      <c r="C1197" s="6">
        <v>42.67</v>
      </c>
      <c r="D1197" s="13">
        <f>+0.01</f>
        <v>0.01</v>
      </c>
      <c r="E1197" s="14">
        <f>+0.02%</f>
        <v>0.0002</v>
      </c>
      <c r="F1197" s="6">
        <v>42.87</v>
      </c>
      <c r="G1197" s="6">
        <v>42.57</v>
      </c>
      <c r="H1197" s="6">
        <v>42.9</v>
      </c>
      <c r="I1197" s="9">
        <v>3.1030819E7</v>
      </c>
      <c r="J1197" s="6">
        <v>1.33377621537E9</v>
      </c>
    </row>
    <row r="1198">
      <c r="A1198" s="4" t="s">
        <v>10</v>
      </c>
      <c r="B1198" s="5">
        <v>43375.0</v>
      </c>
      <c r="C1198" s="6">
        <v>42.14</v>
      </c>
      <c r="D1198" s="11">
        <v>-0.54</v>
      </c>
      <c r="E1198" s="12">
        <v>-0.0126</v>
      </c>
      <c r="F1198" s="6">
        <v>42.12</v>
      </c>
      <c r="G1198" s="6">
        <v>42.0</v>
      </c>
      <c r="H1198" s="6">
        <v>42.34</v>
      </c>
      <c r="I1198" s="9">
        <v>5.7719665E7</v>
      </c>
      <c r="J1198" s="6">
        <v>2.44956701842E9</v>
      </c>
    </row>
    <row r="1199">
      <c r="A1199" s="4" t="s">
        <v>10</v>
      </c>
      <c r="B1199" s="5">
        <v>43376.0</v>
      </c>
      <c r="C1199" s="6">
        <v>41.79</v>
      </c>
      <c r="D1199" s="11">
        <v>-0.35</v>
      </c>
      <c r="E1199" s="12">
        <v>-0.0083</v>
      </c>
      <c r="F1199" s="6">
        <v>42.43</v>
      </c>
      <c r="G1199" s="6">
        <v>41.67</v>
      </c>
      <c r="H1199" s="6">
        <v>42.46</v>
      </c>
      <c r="I1199" s="9">
        <v>7.6571167E7</v>
      </c>
      <c r="J1199" s="6">
        <v>3.23119285841E9</v>
      </c>
    </row>
    <row r="1200">
      <c r="A1200" s="4" t="s">
        <v>10</v>
      </c>
      <c r="B1200" s="5">
        <v>43377.0</v>
      </c>
      <c r="C1200" s="6">
        <v>40.74</v>
      </c>
      <c r="D1200" s="11">
        <v>-1.04</v>
      </c>
      <c r="E1200" s="12">
        <v>-0.025</v>
      </c>
      <c r="F1200" s="6">
        <v>41.36</v>
      </c>
      <c r="G1200" s="6">
        <v>40.57</v>
      </c>
      <c r="H1200" s="6">
        <v>41.37</v>
      </c>
      <c r="I1200" s="9">
        <v>1.32360948E8</v>
      </c>
      <c r="J1200" s="6">
        <v>5.44078795426E9</v>
      </c>
    </row>
    <row r="1201">
      <c r="A1201" s="4" t="s">
        <v>10</v>
      </c>
      <c r="B1201" s="5">
        <v>43378.0</v>
      </c>
      <c r="C1201" s="6">
        <v>40.6</v>
      </c>
      <c r="D1201" s="11">
        <v>-0.15</v>
      </c>
      <c r="E1201" s="12">
        <v>-0.0037</v>
      </c>
      <c r="F1201" s="6">
        <v>40.76</v>
      </c>
      <c r="G1201" s="6">
        <v>40.22</v>
      </c>
      <c r="H1201" s="6">
        <v>40.83</v>
      </c>
      <c r="I1201" s="9">
        <v>8.0578922E7</v>
      </c>
      <c r="J1201" s="6">
        <v>3.28562500395E9</v>
      </c>
    </row>
    <row r="1202">
      <c r="A1202" s="4" t="s">
        <v>10</v>
      </c>
      <c r="B1202" s="5">
        <v>43381.0</v>
      </c>
      <c r="C1202" s="6">
        <v>40.65</v>
      </c>
      <c r="D1202" s="13">
        <f>+0.06</f>
        <v>0.06</v>
      </c>
      <c r="E1202" s="14">
        <f>+0.15%</f>
        <v>0.0015</v>
      </c>
      <c r="F1202" s="6">
        <v>40.32</v>
      </c>
      <c r="G1202" s="6">
        <v>40.24</v>
      </c>
      <c r="H1202" s="6">
        <v>40.74</v>
      </c>
      <c r="I1202" s="9">
        <v>5.974439E7</v>
      </c>
      <c r="J1202" s="6">
        <v>2.43414432372E9</v>
      </c>
    </row>
    <row r="1203">
      <c r="A1203" s="4" t="s">
        <v>10</v>
      </c>
      <c r="B1203" s="5">
        <v>43382.0</v>
      </c>
      <c r="C1203" s="6">
        <v>40.51</v>
      </c>
      <c r="D1203" s="11">
        <v>-0.15</v>
      </c>
      <c r="E1203" s="12">
        <v>-0.0037</v>
      </c>
      <c r="F1203" s="6">
        <v>40.33</v>
      </c>
      <c r="G1203" s="6">
        <v>40.19</v>
      </c>
      <c r="H1203" s="6">
        <v>40.71</v>
      </c>
      <c r="I1203" s="9">
        <v>6.0976845E7</v>
      </c>
      <c r="J1203" s="6">
        <v>2.48598913745E9</v>
      </c>
    </row>
    <row r="1204">
      <c r="A1204" s="4" t="s">
        <v>10</v>
      </c>
      <c r="B1204" s="5">
        <v>43383.0</v>
      </c>
      <c r="C1204" s="6">
        <v>39.3</v>
      </c>
      <c r="D1204" s="11">
        <v>-1.2</v>
      </c>
      <c r="E1204" s="12">
        <v>-0.0297</v>
      </c>
      <c r="F1204" s="6">
        <v>40.3</v>
      </c>
      <c r="G1204" s="6">
        <v>39.29</v>
      </c>
      <c r="H1204" s="6">
        <v>40.31</v>
      </c>
      <c r="I1204" s="9">
        <v>9.9036681E7</v>
      </c>
      <c r="J1204" s="6">
        <v>3.9515730917E9</v>
      </c>
    </row>
    <row r="1205">
      <c r="A1205" s="4" t="s">
        <v>10</v>
      </c>
      <c r="B1205" s="5">
        <v>43384.0</v>
      </c>
      <c r="C1205" s="6">
        <v>38.91</v>
      </c>
      <c r="D1205" s="11">
        <v>-0.4</v>
      </c>
      <c r="E1205" s="12">
        <v>-0.0101</v>
      </c>
      <c r="F1205" s="6">
        <v>39.08</v>
      </c>
      <c r="G1205" s="6">
        <v>38.54</v>
      </c>
      <c r="H1205" s="6">
        <v>39.5</v>
      </c>
      <c r="I1205" s="9">
        <v>1.6892376E8</v>
      </c>
      <c r="J1205" s="6">
        <v>6.64265313739E9</v>
      </c>
    </row>
    <row r="1206">
      <c r="A1206" s="4" t="s">
        <v>10</v>
      </c>
      <c r="B1206" s="5">
        <v>43385.0</v>
      </c>
      <c r="C1206" s="6">
        <v>40.05</v>
      </c>
      <c r="D1206" s="13">
        <f>+1.14</f>
        <v>1.14</v>
      </c>
      <c r="E1206" s="14">
        <f>+2.94%</f>
        <v>0.0294</v>
      </c>
      <c r="F1206" s="6">
        <v>40.02</v>
      </c>
      <c r="G1206" s="6">
        <v>39.51</v>
      </c>
      <c r="H1206" s="6">
        <v>40.12</v>
      </c>
      <c r="I1206" s="9">
        <v>1.16892132E8</v>
      </c>
      <c r="J1206" s="6">
        <v>4.68970086338E9</v>
      </c>
    </row>
    <row r="1207">
      <c r="A1207" s="4" t="s">
        <v>10</v>
      </c>
      <c r="B1207" s="5">
        <v>43388.0</v>
      </c>
      <c r="C1207" s="6">
        <v>39.62</v>
      </c>
      <c r="D1207" s="11">
        <v>-0.43</v>
      </c>
      <c r="E1207" s="12">
        <v>-0.0107</v>
      </c>
      <c r="F1207" s="6">
        <v>39.7</v>
      </c>
      <c r="G1207" s="6">
        <v>39.54</v>
      </c>
      <c r="H1207" s="6">
        <v>39.9</v>
      </c>
      <c r="I1207" s="9">
        <v>5.2651029E7</v>
      </c>
      <c r="J1207" s="6">
        <v>2.10337472583E9</v>
      </c>
    </row>
    <row r="1208">
      <c r="A1208" s="4" t="s">
        <v>10</v>
      </c>
      <c r="B1208" s="5">
        <v>43389.0</v>
      </c>
      <c r="C1208" s="6">
        <v>40.62</v>
      </c>
      <c r="D1208" s="13">
        <f>+0.99</f>
        <v>0.99</v>
      </c>
      <c r="E1208" s="14">
        <f>+2.51%</f>
        <v>0.0251</v>
      </c>
      <c r="F1208" s="6">
        <v>40.12</v>
      </c>
      <c r="G1208" s="6">
        <v>40.05</v>
      </c>
      <c r="H1208" s="6">
        <v>40.65</v>
      </c>
      <c r="I1208" s="9">
        <v>6.5949781E7</v>
      </c>
      <c r="J1208" s="6">
        <v>2.68069280048E9</v>
      </c>
    </row>
    <row r="1209">
      <c r="A1209" s="4" t="s">
        <v>10</v>
      </c>
      <c r="B1209" s="5">
        <v>43390.0</v>
      </c>
      <c r="C1209" s="6">
        <v>40.12</v>
      </c>
      <c r="D1209" s="11">
        <v>-0.5</v>
      </c>
      <c r="E1209" s="12">
        <v>-0.0122</v>
      </c>
      <c r="F1209" s="6">
        <v>40.31</v>
      </c>
      <c r="G1209" s="6">
        <v>39.92</v>
      </c>
      <c r="H1209" s="6">
        <v>40.34</v>
      </c>
      <c r="I1209" s="9">
        <v>6.9718741E7</v>
      </c>
      <c r="J1209" s="6">
        <v>2.81535240487E9</v>
      </c>
    </row>
    <row r="1210">
      <c r="A1210" s="4" t="s">
        <v>10</v>
      </c>
      <c r="B1210" s="5">
        <v>43391.0</v>
      </c>
      <c r="C1210" s="6">
        <v>39.06</v>
      </c>
      <c r="D1210" s="11">
        <v>-1.05</v>
      </c>
      <c r="E1210" s="12">
        <v>-0.0263</v>
      </c>
      <c r="F1210" s="6">
        <v>39.69</v>
      </c>
      <c r="G1210" s="6">
        <v>38.93</v>
      </c>
      <c r="H1210" s="6">
        <v>39.72</v>
      </c>
      <c r="I1210" s="9">
        <v>1.0700506E8</v>
      </c>
      <c r="J1210" s="6">
        <v>4.22506526312E9</v>
      </c>
    </row>
    <row r="1211">
      <c r="A1211" s="4" t="s">
        <v>10</v>
      </c>
      <c r="B1211" s="5">
        <v>43392.0</v>
      </c>
      <c r="C1211" s="6">
        <v>39.43</v>
      </c>
      <c r="D1211" s="13">
        <f>+0.37</f>
        <v>0.37</v>
      </c>
      <c r="E1211" s="14">
        <f>+0.94%</f>
        <v>0.0094</v>
      </c>
      <c r="F1211" s="6">
        <v>39.67</v>
      </c>
      <c r="G1211" s="6">
        <v>39.34</v>
      </c>
      <c r="H1211" s="6">
        <v>39.91</v>
      </c>
      <c r="I1211" s="9">
        <v>8.117619E7</v>
      </c>
      <c r="J1211" s="6">
        <v>3.23201620402E9</v>
      </c>
    </row>
    <row r="1212">
      <c r="A1212" s="4" t="s">
        <v>10</v>
      </c>
      <c r="B1212" s="5">
        <v>43395.0</v>
      </c>
      <c r="C1212" s="6">
        <v>39.86</v>
      </c>
      <c r="D1212" s="13">
        <f>+0.43</f>
        <v>0.43</v>
      </c>
      <c r="E1212" s="14">
        <f>+1.08%</f>
        <v>0.0108</v>
      </c>
      <c r="F1212" s="6">
        <v>40.1</v>
      </c>
      <c r="G1212" s="6">
        <v>39.68</v>
      </c>
      <c r="H1212" s="6">
        <v>40.18</v>
      </c>
      <c r="I1212" s="9">
        <v>6.7724893E7</v>
      </c>
      <c r="J1212" s="6">
        <v>2.71703443979E9</v>
      </c>
    </row>
    <row r="1213">
      <c r="A1213" s="4" t="s">
        <v>10</v>
      </c>
      <c r="B1213" s="5">
        <v>43396.0</v>
      </c>
      <c r="C1213" s="6">
        <v>39.42</v>
      </c>
      <c r="D1213" s="11">
        <v>-0.44</v>
      </c>
      <c r="E1213" s="12">
        <v>-0.011</v>
      </c>
      <c r="F1213" s="6">
        <v>38.92</v>
      </c>
      <c r="G1213" s="6">
        <v>38.7</v>
      </c>
      <c r="H1213" s="6">
        <v>39.65</v>
      </c>
      <c r="I1213" s="9">
        <v>8.9864603E7</v>
      </c>
      <c r="J1213" s="6">
        <v>3.54241241547E9</v>
      </c>
    </row>
    <row r="1214">
      <c r="A1214" s="4" t="s">
        <v>10</v>
      </c>
      <c r="B1214" s="5">
        <v>43397.0</v>
      </c>
      <c r="C1214" s="6">
        <v>38.15</v>
      </c>
      <c r="D1214" s="11">
        <v>-1.27</v>
      </c>
      <c r="E1214" s="12">
        <v>-0.0323</v>
      </c>
      <c r="F1214" s="6">
        <v>39.22</v>
      </c>
      <c r="G1214" s="6">
        <v>38.13</v>
      </c>
      <c r="H1214" s="6">
        <v>39.27</v>
      </c>
      <c r="I1214" s="9">
        <v>8.7632516E7</v>
      </c>
      <c r="J1214" s="6">
        <v>3.40673418275E9</v>
      </c>
    </row>
    <row r="1215">
      <c r="A1215" s="4" t="s">
        <v>10</v>
      </c>
      <c r="B1215" s="5">
        <v>43398.0</v>
      </c>
      <c r="C1215" s="6">
        <v>38.89</v>
      </c>
      <c r="D1215" s="13">
        <f>+0.74</f>
        <v>0.74</v>
      </c>
      <c r="E1215" s="14">
        <f>+1.93%</f>
        <v>0.0193</v>
      </c>
      <c r="F1215" s="6">
        <v>38.59</v>
      </c>
      <c r="G1215" s="6">
        <v>38.48</v>
      </c>
      <c r="H1215" s="6">
        <v>39.15</v>
      </c>
      <c r="I1215" s="9">
        <v>8.0961564E7</v>
      </c>
      <c r="J1215" s="6">
        <v>3.1680390695E9</v>
      </c>
    </row>
    <row r="1216">
      <c r="A1216" s="4" t="s">
        <v>10</v>
      </c>
      <c r="B1216" s="5">
        <v>43399.0</v>
      </c>
      <c r="C1216" s="6">
        <v>38.44</v>
      </c>
      <c r="D1216" s="11">
        <v>-0.45</v>
      </c>
      <c r="E1216" s="12">
        <v>-0.0115</v>
      </c>
      <c r="F1216" s="6">
        <v>38.08</v>
      </c>
      <c r="G1216" s="6">
        <v>37.91</v>
      </c>
      <c r="H1216" s="6">
        <v>38.74</v>
      </c>
      <c r="I1216" s="9">
        <v>1.39198804E8</v>
      </c>
      <c r="J1216" s="6">
        <v>5.36983320839E9</v>
      </c>
    </row>
    <row r="1217">
      <c r="A1217" s="4" t="s">
        <v>10</v>
      </c>
      <c r="B1217" s="5">
        <v>43402.0</v>
      </c>
      <c r="C1217" s="6">
        <v>37.77</v>
      </c>
      <c r="D1217" s="11">
        <v>-0.67</v>
      </c>
      <c r="E1217" s="12">
        <v>-0.0173</v>
      </c>
      <c r="F1217" s="6">
        <v>38.78</v>
      </c>
      <c r="G1217" s="6">
        <v>37.35</v>
      </c>
      <c r="H1217" s="6">
        <v>38.84</v>
      </c>
      <c r="I1217" s="9">
        <v>1.02322849E8</v>
      </c>
      <c r="J1217" s="6">
        <v>3.92075719959E9</v>
      </c>
    </row>
    <row r="1218">
      <c r="A1218" s="4" t="s">
        <v>10</v>
      </c>
      <c r="B1218" s="5">
        <v>43403.0</v>
      </c>
      <c r="C1218" s="6">
        <v>38.51</v>
      </c>
      <c r="D1218" s="13">
        <f>+0.74</f>
        <v>0.74</v>
      </c>
      <c r="E1218" s="14">
        <f>+1.95%</f>
        <v>0.0195</v>
      </c>
      <c r="F1218" s="6">
        <v>38.0</v>
      </c>
      <c r="G1218" s="6">
        <v>37.92</v>
      </c>
      <c r="H1218" s="6">
        <v>38.52</v>
      </c>
      <c r="I1218" s="9">
        <v>9.9881479E7</v>
      </c>
      <c r="J1218" s="6">
        <v>3.84323285881E9</v>
      </c>
    </row>
    <row r="1219">
      <c r="A1219" s="4" t="s">
        <v>10</v>
      </c>
      <c r="B1219" s="5">
        <v>43404.0</v>
      </c>
      <c r="C1219" s="6">
        <v>38.93</v>
      </c>
      <c r="D1219" s="13">
        <f>+0.42</f>
        <v>0.42</v>
      </c>
      <c r="E1219" s="14">
        <f>+1.08%</f>
        <v>0.0108</v>
      </c>
      <c r="F1219" s="6">
        <v>38.93</v>
      </c>
      <c r="G1219" s="6">
        <v>38.77</v>
      </c>
      <c r="H1219" s="6">
        <v>39.15</v>
      </c>
      <c r="I1219" s="9">
        <v>9.2768292E7</v>
      </c>
      <c r="J1219" s="6">
        <v>3.633882609E9</v>
      </c>
    </row>
    <row r="1220">
      <c r="A1220" s="4" t="s">
        <v>10</v>
      </c>
      <c r="B1220" s="5">
        <v>43405.0</v>
      </c>
      <c r="C1220" s="6">
        <v>40.32</v>
      </c>
      <c r="D1220" s="13">
        <f>+1.39</f>
        <v>1.39</v>
      </c>
      <c r="E1220" s="14">
        <f>+3.58%</f>
        <v>0.0358</v>
      </c>
      <c r="F1220" s="6">
        <v>39.54</v>
      </c>
      <c r="G1220" s="6">
        <v>39.32</v>
      </c>
      <c r="H1220" s="6">
        <v>40.35</v>
      </c>
      <c r="I1220" s="9">
        <v>1.20482247E8</v>
      </c>
      <c r="J1220" s="6">
        <v>4.85315574978E9</v>
      </c>
    </row>
    <row r="1221">
      <c r="A1221" s="4" t="s">
        <v>10</v>
      </c>
      <c r="B1221" s="5">
        <v>43406.0</v>
      </c>
      <c r="C1221" s="6">
        <v>40.58</v>
      </c>
      <c r="D1221" s="13">
        <f>+0.26</f>
        <v>0.26</v>
      </c>
      <c r="E1221" s="14">
        <f>+0.64%</f>
        <v>0.0064</v>
      </c>
      <c r="F1221" s="6">
        <v>41.0</v>
      </c>
      <c r="G1221" s="6">
        <v>40.17</v>
      </c>
      <c r="H1221" s="6">
        <v>41.15</v>
      </c>
      <c r="I1221" s="9">
        <v>1.11324677E8</v>
      </c>
      <c r="J1221" s="6">
        <v>4.55596272506E9</v>
      </c>
    </row>
    <row r="1222">
      <c r="A1222" s="4" t="s">
        <v>10</v>
      </c>
      <c r="B1222" s="5">
        <v>43409.0</v>
      </c>
      <c r="C1222" s="6">
        <v>40.68</v>
      </c>
      <c r="D1222" s="13">
        <f>+0.11</f>
        <v>0.11</v>
      </c>
      <c r="E1222" s="14">
        <f>+0.27%</f>
        <v>0.0027</v>
      </c>
      <c r="F1222" s="6">
        <v>40.57</v>
      </c>
      <c r="G1222" s="6">
        <v>40.46</v>
      </c>
      <c r="H1222" s="6">
        <v>40.77</v>
      </c>
      <c r="I1222" s="9">
        <v>5.8320035E7</v>
      </c>
      <c r="J1222" s="6">
        <v>2.38462273014E9</v>
      </c>
    </row>
    <row r="1223">
      <c r="A1223" s="4" t="s">
        <v>10</v>
      </c>
      <c r="B1223" s="5">
        <v>43410.0</v>
      </c>
      <c r="C1223" s="6">
        <v>40.62</v>
      </c>
      <c r="D1223" s="11">
        <v>-0.07</v>
      </c>
      <c r="E1223" s="12">
        <v>-0.0017</v>
      </c>
      <c r="F1223" s="6">
        <v>40.48</v>
      </c>
      <c r="G1223" s="6">
        <v>40.4</v>
      </c>
      <c r="H1223" s="6">
        <v>40.68</v>
      </c>
      <c r="I1223" s="9">
        <v>4.0848033E7</v>
      </c>
      <c r="J1223" s="6">
        <v>1.6666548281E9</v>
      </c>
    </row>
    <row r="1224">
      <c r="A1224" s="4" t="s">
        <v>10</v>
      </c>
      <c r="B1224" s="5">
        <v>43411.0</v>
      </c>
      <c r="C1224" s="6">
        <v>41.38</v>
      </c>
      <c r="D1224" s="13">
        <f>+0.77</f>
        <v>0.77</v>
      </c>
      <c r="E1224" s="14">
        <f>+1.88%</f>
        <v>0.0188</v>
      </c>
      <c r="F1224" s="6">
        <v>41.16</v>
      </c>
      <c r="G1224" s="6">
        <v>40.91</v>
      </c>
      <c r="H1224" s="6">
        <v>41.45</v>
      </c>
      <c r="I1224" s="9">
        <v>8.1011462E7</v>
      </c>
      <c r="J1224" s="6">
        <v>3.35868184969E9</v>
      </c>
    </row>
    <row r="1225">
      <c r="A1225" s="4" t="s">
        <v>10</v>
      </c>
      <c r="B1225" s="5">
        <v>43412.0</v>
      </c>
      <c r="C1225" s="6">
        <v>40.31</v>
      </c>
      <c r="D1225" s="11">
        <v>-1.07</v>
      </c>
      <c r="E1225" s="12">
        <v>-0.0259</v>
      </c>
      <c r="F1225" s="6">
        <v>40.84</v>
      </c>
      <c r="G1225" s="6">
        <v>40.18</v>
      </c>
      <c r="H1225" s="6">
        <v>40.98</v>
      </c>
      <c r="I1225" s="9">
        <v>9.0610903E7</v>
      </c>
      <c r="J1225" s="6">
        <v>3.68869748261E9</v>
      </c>
    </row>
    <row r="1226">
      <c r="A1226" s="4" t="s">
        <v>10</v>
      </c>
      <c r="B1226" s="5">
        <v>43413.0</v>
      </c>
      <c r="C1226" s="6">
        <v>39.56</v>
      </c>
      <c r="D1226" s="11">
        <v>-0.75</v>
      </c>
      <c r="E1226" s="12">
        <v>-0.0185</v>
      </c>
      <c r="F1226" s="6">
        <v>39.69</v>
      </c>
      <c r="G1226" s="6">
        <v>39.25</v>
      </c>
      <c r="H1226" s="6">
        <v>39.74</v>
      </c>
      <c r="I1226" s="9">
        <v>8.2943707E7</v>
      </c>
      <c r="J1226" s="6">
        <v>3.2964777406E9</v>
      </c>
    </row>
    <row r="1227">
      <c r="A1227" s="4" t="s">
        <v>10</v>
      </c>
      <c r="B1227" s="5">
        <v>43416.0</v>
      </c>
      <c r="C1227" s="6">
        <v>39.0</v>
      </c>
      <c r="D1227" s="11">
        <v>-0.56</v>
      </c>
      <c r="E1227" s="12">
        <v>-0.0141</v>
      </c>
      <c r="F1227" s="6">
        <v>39.43</v>
      </c>
      <c r="G1227" s="6">
        <v>38.91</v>
      </c>
      <c r="H1227" s="6">
        <v>39.5</v>
      </c>
      <c r="I1227" s="9">
        <v>6.8569689E7</v>
      </c>
      <c r="J1227" s="6">
        <v>2.69824884303E9</v>
      </c>
    </row>
    <row r="1228">
      <c r="A1228" s="4" t="s">
        <v>10</v>
      </c>
      <c r="B1228" s="5">
        <v>43417.0</v>
      </c>
      <c r="C1228" s="6">
        <v>39.45</v>
      </c>
      <c r="D1228" s="13">
        <f>+0.45</f>
        <v>0.45</v>
      </c>
      <c r="E1228" s="14">
        <f>+1.15%</f>
        <v>0.0115</v>
      </c>
      <c r="F1228" s="6">
        <v>39.38</v>
      </c>
      <c r="G1228" s="6">
        <v>39.2</v>
      </c>
      <c r="H1228" s="6">
        <v>39.83</v>
      </c>
      <c r="I1228" s="9">
        <v>1.06305571E8</v>
      </c>
      <c r="J1228" s="6">
        <v>4.22640731174E9</v>
      </c>
    </row>
    <row r="1229">
      <c r="A1229" s="4" t="s">
        <v>10</v>
      </c>
      <c r="B1229" s="5">
        <v>43418.0</v>
      </c>
      <c r="C1229" s="6">
        <v>39.69</v>
      </c>
      <c r="D1229" s="13">
        <f>+0.24</f>
        <v>0.24</v>
      </c>
      <c r="E1229" s="14">
        <f>+0.6%</f>
        <v>0.006</v>
      </c>
      <c r="F1229" s="6">
        <v>39.82</v>
      </c>
      <c r="G1229" s="6">
        <v>39.33</v>
      </c>
      <c r="H1229" s="6">
        <v>39.95</v>
      </c>
      <c r="I1229" s="9">
        <v>9.6621097E7</v>
      </c>
      <c r="J1229" s="6">
        <v>3.85819980915E9</v>
      </c>
    </row>
    <row r="1230">
      <c r="A1230" s="4" t="s">
        <v>10</v>
      </c>
      <c r="B1230" s="5">
        <v>43419.0</v>
      </c>
      <c r="C1230" s="6">
        <v>40.58</v>
      </c>
      <c r="D1230" s="13">
        <f>+0.88</f>
        <v>0.88</v>
      </c>
      <c r="E1230" s="14">
        <f>+2.23%</f>
        <v>0.0223</v>
      </c>
      <c r="F1230" s="6">
        <v>39.9</v>
      </c>
      <c r="G1230" s="6">
        <v>39.82</v>
      </c>
      <c r="H1230" s="6">
        <v>40.8</v>
      </c>
      <c r="I1230" s="9">
        <v>1.46475788E8</v>
      </c>
      <c r="J1230" s="6">
        <v>5.94675827624E9</v>
      </c>
    </row>
    <row r="1231">
      <c r="A1231" s="4" t="s">
        <v>10</v>
      </c>
      <c r="B1231" s="5">
        <v>43420.0</v>
      </c>
      <c r="C1231" s="6">
        <v>40.65</v>
      </c>
      <c r="D1231" s="13">
        <f>+0.08</f>
        <v>0.08</v>
      </c>
      <c r="E1231" s="14">
        <f>+0.2%</f>
        <v>0.002</v>
      </c>
      <c r="F1231" s="6">
        <v>40.25</v>
      </c>
      <c r="G1231" s="6">
        <v>40.13</v>
      </c>
      <c r="H1231" s="6">
        <v>40.86</v>
      </c>
      <c r="I1231" s="9">
        <v>1.35075944E8</v>
      </c>
      <c r="J1231" s="6">
        <v>5.51179746759E9</v>
      </c>
    </row>
    <row r="1232">
      <c r="A1232" s="4" t="s">
        <v>10</v>
      </c>
      <c r="B1232" s="5">
        <v>43423.0</v>
      </c>
      <c r="C1232" s="6">
        <v>40.11</v>
      </c>
      <c r="D1232" s="11">
        <v>-0.55</v>
      </c>
      <c r="E1232" s="12">
        <v>-0.0134</v>
      </c>
      <c r="F1232" s="6">
        <v>40.38</v>
      </c>
      <c r="G1232" s="6">
        <v>40.0</v>
      </c>
      <c r="H1232" s="6">
        <v>40.44</v>
      </c>
      <c r="I1232" s="9">
        <v>7.7777254E7</v>
      </c>
      <c r="J1232" s="6">
        <v>3.14498852004E9</v>
      </c>
    </row>
    <row r="1233">
      <c r="A1233" s="4" t="s">
        <v>10</v>
      </c>
      <c r="B1233" s="5">
        <v>43424.0</v>
      </c>
      <c r="C1233" s="6">
        <v>39.24</v>
      </c>
      <c r="D1233" s="11">
        <v>-0.86</v>
      </c>
      <c r="E1233" s="12">
        <v>-0.0216</v>
      </c>
      <c r="F1233" s="6">
        <v>39.48</v>
      </c>
      <c r="G1233" s="6">
        <v>39.1</v>
      </c>
      <c r="H1233" s="6">
        <v>39.67</v>
      </c>
      <c r="I1233" s="9">
        <v>9.8272815E7</v>
      </c>
      <c r="J1233" s="6">
        <v>3.88958907538E9</v>
      </c>
    </row>
    <row r="1234">
      <c r="A1234" s="4" t="s">
        <v>10</v>
      </c>
      <c r="B1234" s="5">
        <v>43425.0</v>
      </c>
      <c r="C1234" s="6">
        <v>39.97</v>
      </c>
      <c r="D1234" s="13">
        <f>+0.73</f>
        <v>0.73</v>
      </c>
      <c r="E1234" s="14">
        <f>+1.85%</f>
        <v>0.0185</v>
      </c>
      <c r="F1234" s="6">
        <v>39.97</v>
      </c>
      <c r="G1234" s="6">
        <v>39.89</v>
      </c>
      <c r="H1234" s="6">
        <v>40.24</v>
      </c>
      <c r="I1234" s="9">
        <v>6.8104629E7</v>
      </c>
      <c r="J1234" s="6">
        <v>2.74361619469E9</v>
      </c>
    </row>
    <row r="1235">
      <c r="A1235" s="4" t="s">
        <v>10</v>
      </c>
      <c r="B1235" s="5">
        <v>43427.0</v>
      </c>
      <c r="C1235" s="6">
        <v>39.5</v>
      </c>
      <c r="D1235" s="11">
        <v>-0.47</v>
      </c>
      <c r="E1235" s="12">
        <v>-0.0117</v>
      </c>
      <c r="F1235" s="6">
        <v>39.5</v>
      </c>
      <c r="G1235" s="6">
        <v>39.47</v>
      </c>
      <c r="H1235" s="6">
        <v>39.71</v>
      </c>
      <c r="I1235" s="9">
        <v>3.2048232E7</v>
      </c>
      <c r="J1235" s="6">
        <v>1.27642044473E9</v>
      </c>
    </row>
    <row r="1236">
      <c r="A1236" s="4" t="s">
        <v>10</v>
      </c>
      <c r="B1236" s="5">
        <v>43430.0</v>
      </c>
      <c r="C1236" s="6">
        <v>39.99</v>
      </c>
      <c r="D1236" s="13">
        <f>+0.49</f>
        <v>0.49</v>
      </c>
      <c r="E1236" s="14">
        <f>+1.23%</f>
        <v>0.0123</v>
      </c>
      <c r="F1236" s="6">
        <v>40.06</v>
      </c>
      <c r="G1236" s="6">
        <v>39.84</v>
      </c>
      <c r="H1236" s="6">
        <v>40.18</v>
      </c>
      <c r="I1236" s="9">
        <v>7.6320465E7</v>
      </c>
      <c r="J1236" s="6">
        <v>3.0718005918E9</v>
      </c>
    </row>
    <row r="1237">
      <c r="A1237" s="4" t="s">
        <v>10</v>
      </c>
      <c r="B1237" s="5">
        <v>43431.0</v>
      </c>
      <c r="C1237" s="6">
        <v>40.27</v>
      </c>
      <c r="D1237" s="13">
        <f>+0.28</f>
        <v>0.28</v>
      </c>
      <c r="E1237" s="14">
        <f>+0.7%</f>
        <v>0.007</v>
      </c>
      <c r="F1237" s="6">
        <v>39.85</v>
      </c>
      <c r="G1237" s="6">
        <v>39.79</v>
      </c>
      <c r="H1237" s="6">
        <v>40.27</v>
      </c>
      <c r="I1237" s="9">
        <v>8.1069109E7</v>
      </c>
      <c r="J1237" s="6">
        <v>3.27105942676E9</v>
      </c>
    </row>
    <row r="1238">
      <c r="A1238" s="4" t="s">
        <v>10</v>
      </c>
      <c r="B1238" s="5">
        <v>43432.0</v>
      </c>
      <c r="C1238" s="6">
        <v>41.23</v>
      </c>
      <c r="D1238" s="13">
        <f>+0.96</f>
        <v>0.96</v>
      </c>
      <c r="E1238" s="14">
        <f>+2.39%</f>
        <v>0.0239</v>
      </c>
      <c r="F1238" s="6">
        <v>40.55</v>
      </c>
      <c r="G1238" s="6">
        <v>40.23</v>
      </c>
      <c r="H1238" s="6">
        <v>41.26</v>
      </c>
      <c r="I1238" s="9">
        <v>1.21010942E8</v>
      </c>
      <c r="J1238" s="6">
        <v>4.97971356769E9</v>
      </c>
    </row>
    <row r="1239">
      <c r="A1239" s="4" t="s">
        <v>10</v>
      </c>
      <c r="B1239" s="5">
        <v>43433.0</v>
      </c>
      <c r="C1239" s="6">
        <v>40.87</v>
      </c>
      <c r="D1239" s="11">
        <v>-0.36</v>
      </c>
      <c r="E1239" s="12">
        <v>-0.0087</v>
      </c>
      <c r="F1239" s="6">
        <v>40.94</v>
      </c>
      <c r="G1239" s="6">
        <v>40.67</v>
      </c>
      <c r="H1239" s="6">
        <v>41.15</v>
      </c>
      <c r="I1239" s="9">
        <v>1.04239565E8</v>
      </c>
      <c r="J1239" s="6">
        <v>4.29401025209E9</v>
      </c>
    </row>
    <row r="1240">
      <c r="A1240" s="4" t="s">
        <v>10</v>
      </c>
      <c r="B1240" s="5">
        <v>43434.0</v>
      </c>
      <c r="C1240" s="6">
        <v>40.83</v>
      </c>
      <c r="D1240" s="11">
        <v>-0.04</v>
      </c>
      <c r="E1240" s="12">
        <v>-0.001</v>
      </c>
      <c r="F1240" s="6">
        <v>40.71</v>
      </c>
      <c r="G1240" s="6">
        <v>40.56</v>
      </c>
      <c r="H1240" s="6">
        <v>40.92</v>
      </c>
      <c r="I1240" s="9">
        <v>9.2961164E7</v>
      </c>
      <c r="J1240" s="6">
        <v>3.80858584853E9</v>
      </c>
    </row>
    <row r="1241">
      <c r="A1241" s="4" t="s">
        <v>10</v>
      </c>
      <c r="B1241" s="5">
        <v>43437.0</v>
      </c>
      <c r="C1241" s="6">
        <v>41.66</v>
      </c>
      <c r="D1241" s="13">
        <f>+0.83</f>
        <v>0.83</v>
      </c>
      <c r="E1241" s="14">
        <f>+2.02%</f>
        <v>0.0202</v>
      </c>
      <c r="F1241" s="6">
        <v>41.88</v>
      </c>
      <c r="G1241" s="6">
        <v>41.45</v>
      </c>
      <c r="H1241" s="6">
        <v>41.9</v>
      </c>
      <c r="I1241" s="9">
        <v>1.25019886E8</v>
      </c>
      <c r="J1241" s="6">
        <v>5.24093672465E9</v>
      </c>
    </row>
    <row r="1242">
      <c r="A1242" s="4" t="s">
        <v>10</v>
      </c>
      <c r="B1242" s="5">
        <v>43438.0</v>
      </c>
      <c r="C1242" s="6">
        <v>40.77</v>
      </c>
      <c r="D1242" s="11">
        <v>-0.88</v>
      </c>
      <c r="E1242" s="12">
        <v>-0.0212</v>
      </c>
      <c r="F1242" s="6">
        <v>41.7</v>
      </c>
      <c r="G1242" s="6">
        <v>40.68</v>
      </c>
      <c r="H1242" s="6">
        <v>41.77</v>
      </c>
      <c r="I1242" s="9">
        <v>1.34758231E8</v>
      </c>
      <c r="J1242" s="6">
        <v>5.57597991563E9</v>
      </c>
    </row>
    <row r="1243">
      <c r="A1243" s="4" t="s">
        <v>10</v>
      </c>
      <c r="B1243" s="5">
        <v>43440.0</v>
      </c>
      <c r="C1243" s="6">
        <v>40.4</v>
      </c>
      <c r="D1243" s="11">
        <v>-0.38</v>
      </c>
      <c r="E1243" s="12">
        <v>-0.0093</v>
      </c>
      <c r="F1243" s="6">
        <v>39.69</v>
      </c>
      <c r="G1243" s="6">
        <v>39.44</v>
      </c>
      <c r="H1243" s="6">
        <v>40.44</v>
      </c>
      <c r="I1243" s="9">
        <v>1.65155089E8</v>
      </c>
      <c r="J1243" s="6">
        <v>6.6389058311E9</v>
      </c>
    </row>
    <row r="1244">
      <c r="A1244" s="4" t="s">
        <v>10</v>
      </c>
      <c r="B1244" s="5">
        <v>43441.0</v>
      </c>
      <c r="C1244" s="6">
        <v>39.64</v>
      </c>
      <c r="D1244" s="11">
        <v>-0.76</v>
      </c>
      <c r="E1244" s="12">
        <v>-0.0187</v>
      </c>
      <c r="F1244" s="6">
        <v>40.34</v>
      </c>
      <c r="G1244" s="6">
        <v>39.54</v>
      </c>
      <c r="H1244" s="6">
        <v>40.61</v>
      </c>
      <c r="I1244" s="9">
        <v>1.34304559E8</v>
      </c>
      <c r="J1244" s="6">
        <v>5.39850412328E9</v>
      </c>
    </row>
    <row r="1245">
      <c r="A1245" s="4" t="s">
        <v>10</v>
      </c>
      <c r="B1245" s="5">
        <v>43444.0</v>
      </c>
      <c r="C1245" s="6">
        <v>39.22</v>
      </c>
      <c r="D1245" s="11">
        <v>-0.42</v>
      </c>
      <c r="E1245" s="12">
        <v>-0.0105</v>
      </c>
      <c r="F1245" s="6">
        <v>39.37</v>
      </c>
      <c r="G1245" s="6">
        <v>38.74</v>
      </c>
      <c r="H1245" s="6">
        <v>39.44</v>
      </c>
      <c r="I1245" s="9">
        <v>1.04465323E8</v>
      </c>
      <c r="J1245" s="6">
        <v>4.11383208671E9</v>
      </c>
    </row>
    <row r="1246">
      <c r="A1246" s="4" t="s">
        <v>10</v>
      </c>
      <c r="B1246" s="5">
        <v>43445.0</v>
      </c>
      <c r="C1246" s="6">
        <v>39.52</v>
      </c>
      <c r="D1246" s="13">
        <f>+0.3</f>
        <v>0.3</v>
      </c>
      <c r="E1246" s="14">
        <f>+0.76%</f>
        <v>0.0076</v>
      </c>
      <c r="F1246" s="6">
        <v>39.78</v>
      </c>
      <c r="G1246" s="6">
        <v>39.24</v>
      </c>
      <c r="H1246" s="6">
        <v>39.79</v>
      </c>
      <c r="I1246" s="9">
        <v>1.04014748E8</v>
      </c>
      <c r="J1246" s="6">
        <v>4.1361400194E9</v>
      </c>
    </row>
    <row r="1247">
      <c r="A1247" s="4" t="s">
        <v>10</v>
      </c>
      <c r="B1247" s="5">
        <v>43446.0</v>
      </c>
      <c r="C1247" s="6">
        <v>40.17</v>
      </c>
      <c r="D1247" s="13">
        <f>+0.65</f>
        <v>0.65</v>
      </c>
      <c r="E1247" s="14">
        <f>+1.63%</f>
        <v>0.0163</v>
      </c>
      <c r="F1247" s="6">
        <v>40.26</v>
      </c>
      <c r="G1247" s="6">
        <v>40.14</v>
      </c>
      <c r="H1247" s="6">
        <v>40.54</v>
      </c>
      <c r="I1247" s="9">
        <v>8.9712214E7</v>
      </c>
      <c r="J1247" s="6">
        <v>3.63799204236E9</v>
      </c>
    </row>
    <row r="1248">
      <c r="A1248" s="4" t="s">
        <v>10</v>
      </c>
      <c r="B1248" s="5">
        <v>43447.0</v>
      </c>
      <c r="C1248" s="6">
        <v>40.16</v>
      </c>
      <c r="D1248" s="11">
        <v>-0.01</v>
      </c>
      <c r="E1248" s="12">
        <v>-2.0E-4</v>
      </c>
      <c r="F1248" s="6">
        <v>40.32</v>
      </c>
      <c r="G1248" s="6">
        <v>40.11</v>
      </c>
      <c r="H1248" s="6">
        <v>40.44</v>
      </c>
      <c r="I1248" s="9">
        <v>7.2445402E7</v>
      </c>
      <c r="J1248" s="6">
        <v>2.93329209835E9</v>
      </c>
    </row>
    <row r="1249">
      <c r="A1249" s="4" t="s">
        <v>10</v>
      </c>
      <c r="B1249" s="5">
        <v>43448.0</v>
      </c>
      <c r="C1249" s="6">
        <v>39.59</v>
      </c>
      <c r="D1249" s="11">
        <v>-0.57</v>
      </c>
      <c r="E1249" s="12">
        <v>-0.0141</v>
      </c>
      <c r="F1249" s="6">
        <v>39.65</v>
      </c>
      <c r="G1249" s="6">
        <v>39.56</v>
      </c>
      <c r="H1249" s="6">
        <v>39.94</v>
      </c>
      <c r="I1249" s="9">
        <v>9.4915744E7</v>
      </c>
      <c r="J1249" s="6">
        <v>3.79423603928E9</v>
      </c>
    </row>
    <row r="1250">
      <c r="A1250" s="4" t="s">
        <v>10</v>
      </c>
      <c r="B1250" s="5">
        <v>43451.0</v>
      </c>
      <c r="C1250" s="6">
        <v>39.22</v>
      </c>
      <c r="D1250" s="11">
        <v>-0.37</v>
      </c>
      <c r="E1250" s="12">
        <v>-0.0093</v>
      </c>
      <c r="F1250" s="6">
        <v>39.65</v>
      </c>
      <c r="G1250" s="6">
        <v>39.09</v>
      </c>
      <c r="H1250" s="6">
        <v>39.8</v>
      </c>
      <c r="I1250" s="9">
        <v>1.09276223E8</v>
      </c>
      <c r="J1250" s="6">
        <v>4.33271133186E9</v>
      </c>
    </row>
    <row r="1251">
      <c r="A1251" s="4" t="s">
        <v>10</v>
      </c>
      <c r="B1251" s="5">
        <v>43452.0</v>
      </c>
      <c r="C1251" s="6">
        <v>38.91</v>
      </c>
      <c r="D1251" s="11">
        <v>-0.32</v>
      </c>
      <c r="E1251" s="12">
        <v>-0.0081</v>
      </c>
      <c r="F1251" s="6">
        <v>38.94</v>
      </c>
      <c r="G1251" s="6">
        <v>38.8</v>
      </c>
      <c r="H1251" s="6">
        <v>39.14</v>
      </c>
      <c r="I1251" s="9">
        <v>1.02509755E8</v>
      </c>
      <c r="J1251" s="6">
        <v>4.0211883602E9</v>
      </c>
    </row>
    <row r="1252">
      <c r="A1252" s="4" t="s">
        <v>10</v>
      </c>
      <c r="B1252" s="5">
        <v>43453.0</v>
      </c>
      <c r="C1252" s="6">
        <v>38.26</v>
      </c>
      <c r="D1252" s="11">
        <v>-0.65</v>
      </c>
      <c r="E1252" s="12">
        <v>-0.0166</v>
      </c>
      <c r="F1252" s="6">
        <v>39.09</v>
      </c>
      <c r="G1252" s="6">
        <v>37.94</v>
      </c>
      <c r="H1252" s="6">
        <v>39.49</v>
      </c>
      <c r="I1252" s="9">
        <v>2.04046229E8</v>
      </c>
      <c r="J1252" s="6">
        <v>7.94055559087E9</v>
      </c>
    </row>
    <row r="1253">
      <c r="A1253" s="4" t="s">
        <v>10</v>
      </c>
      <c r="B1253" s="5">
        <v>43454.0</v>
      </c>
      <c r="C1253" s="6">
        <v>38.56</v>
      </c>
      <c r="D1253" s="13">
        <f>+0.3</f>
        <v>0.3</v>
      </c>
      <c r="E1253" s="14">
        <f>+0.78%</f>
        <v>0.0078</v>
      </c>
      <c r="F1253" s="6">
        <v>38.65</v>
      </c>
      <c r="G1253" s="6">
        <v>38.23</v>
      </c>
      <c r="H1253" s="6">
        <v>38.9</v>
      </c>
      <c r="I1253" s="9">
        <v>1.83908834E8</v>
      </c>
      <c r="J1253" s="6">
        <v>7.1419931453E9</v>
      </c>
    </row>
    <row r="1254">
      <c r="A1254" s="4" t="s">
        <v>10</v>
      </c>
      <c r="B1254" s="5">
        <v>43455.0</v>
      </c>
      <c r="C1254" s="6">
        <v>38.29</v>
      </c>
      <c r="D1254" s="11">
        <v>-0.27</v>
      </c>
      <c r="E1254" s="12">
        <v>-0.007</v>
      </c>
      <c r="F1254" s="6">
        <v>38.67</v>
      </c>
      <c r="G1254" s="6">
        <v>38.09</v>
      </c>
      <c r="H1254" s="6">
        <v>38.88</v>
      </c>
      <c r="I1254" s="9">
        <v>1.43673404E8</v>
      </c>
      <c r="J1254" s="6">
        <v>5.5560658666E9</v>
      </c>
    </row>
    <row r="1255">
      <c r="A1255" s="4" t="s">
        <v>10</v>
      </c>
      <c r="B1255" s="5">
        <v>43458.0</v>
      </c>
      <c r="C1255" s="6">
        <v>37.93</v>
      </c>
      <c r="D1255" s="11">
        <v>-0.36</v>
      </c>
      <c r="E1255" s="12">
        <v>-0.0093</v>
      </c>
      <c r="F1255" s="6">
        <v>38.21</v>
      </c>
      <c r="G1255" s="6">
        <v>37.93</v>
      </c>
      <c r="H1255" s="6">
        <v>38.49</v>
      </c>
      <c r="I1255" s="9">
        <v>5.0709476E7</v>
      </c>
      <c r="J1255" s="6">
        <v>1.94869745477E9</v>
      </c>
    </row>
    <row r="1256">
      <c r="A1256" s="4" t="s">
        <v>10</v>
      </c>
      <c r="B1256" s="5">
        <v>43460.0</v>
      </c>
      <c r="C1256" s="6">
        <v>38.69</v>
      </c>
      <c r="D1256" s="13">
        <f>+0.76</f>
        <v>0.76</v>
      </c>
      <c r="E1256" s="14">
        <f>+1.99%</f>
        <v>0.0199</v>
      </c>
      <c r="F1256" s="6">
        <v>38.18</v>
      </c>
      <c r="G1256" s="6">
        <v>37.81</v>
      </c>
      <c r="H1256" s="6">
        <v>38.73</v>
      </c>
      <c r="I1256" s="9">
        <v>9.6347194E7</v>
      </c>
      <c r="J1256" s="6">
        <v>3.71031157747E9</v>
      </c>
    </row>
    <row r="1257">
      <c r="A1257" s="4" t="s">
        <v>10</v>
      </c>
      <c r="B1257" s="5">
        <v>43461.0</v>
      </c>
      <c r="C1257" s="6">
        <v>38.64</v>
      </c>
      <c r="D1257" s="11">
        <v>-0.05</v>
      </c>
      <c r="E1257" s="12">
        <v>-0.0013</v>
      </c>
      <c r="F1257" s="6">
        <v>38.17</v>
      </c>
      <c r="G1257" s="6">
        <v>38.02</v>
      </c>
      <c r="H1257" s="6">
        <v>38.68</v>
      </c>
      <c r="I1257" s="9">
        <v>8.1792664E7</v>
      </c>
      <c r="J1257" s="6">
        <v>3.14975746387E9</v>
      </c>
    </row>
    <row r="1258">
      <c r="A1258" s="4" t="s">
        <v>10</v>
      </c>
      <c r="B1258" s="5">
        <v>43462.0</v>
      </c>
      <c r="C1258" s="6">
        <v>39.0</v>
      </c>
      <c r="D1258" s="13">
        <f>+0.37</f>
        <v>0.37</v>
      </c>
      <c r="E1258" s="14">
        <f>+0.95%</f>
        <v>0.0095</v>
      </c>
      <c r="F1258" s="6">
        <v>38.96</v>
      </c>
      <c r="G1258" s="6">
        <v>38.77</v>
      </c>
      <c r="H1258" s="6">
        <v>39.22</v>
      </c>
      <c r="I1258" s="9">
        <v>7.2869062E7</v>
      </c>
      <c r="J1258" s="6">
        <v>2.856976295E9</v>
      </c>
    </row>
    <row r="1259">
      <c r="A1259" s="4" t="s">
        <v>10</v>
      </c>
      <c r="B1259" s="5">
        <v>43465.0</v>
      </c>
      <c r="C1259" s="6">
        <v>38.83</v>
      </c>
      <c r="D1259" s="11">
        <v>-0.18</v>
      </c>
      <c r="E1259" s="12">
        <v>-0.0046</v>
      </c>
      <c r="F1259" s="6">
        <v>39.26</v>
      </c>
      <c r="G1259" s="6">
        <v>38.7</v>
      </c>
      <c r="H1259" s="6">
        <v>39.3</v>
      </c>
      <c r="I1259" s="9">
        <v>7.2972223E7</v>
      </c>
      <c r="J1259" s="6">
        <v>2.8554060123E9</v>
      </c>
    </row>
    <row r="1260">
      <c r="A1260" s="4" t="s">
        <v>10</v>
      </c>
      <c r="B1260" s="5">
        <v>43467.0</v>
      </c>
      <c r="C1260" s="6">
        <v>38.93</v>
      </c>
      <c r="D1260" s="13">
        <f>+0.1</f>
        <v>0.1</v>
      </c>
      <c r="E1260" s="14">
        <f>+0.26%</f>
        <v>0.0026</v>
      </c>
      <c r="F1260" s="6">
        <v>38.36</v>
      </c>
      <c r="G1260" s="6">
        <v>38.34</v>
      </c>
      <c r="H1260" s="6">
        <v>38.95</v>
      </c>
      <c r="I1260" s="9">
        <v>5.7198837E7</v>
      </c>
      <c r="J1260" s="6">
        <v>2.23202509503E9</v>
      </c>
    </row>
    <row r="1261">
      <c r="A1261" s="4" t="s">
        <v>10</v>
      </c>
      <c r="B1261" s="5">
        <v>43468.0</v>
      </c>
      <c r="C1261" s="6">
        <v>38.22</v>
      </c>
      <c r="D1261" s="11">
        <v>-0.71</v>
      </c>
      <c r="E1261" s="12">
        <v>-0.0181</v>
      </c>
      <c r="F1261" s="6">
        <v>38.5</v>
      </c>
      <c r="G1261" s="6">
        <v>38.07</v>
      </c>
      <c r="H1261" s="6">
        <v>38.53</v>
      </c>
      <c r="I1261" s="9">
        <v>6.2767552E7</v>
      </c>
      <c r="J1261" s="6">
        <v>2.41700396038E9</v>
      </c>
    </row>
    <row r="1262">
      <c r="A1262" s="4" t="s">
        <v>10</v>
      </c>
      <c r="B1262" s="5">
        <v>43469.0</v>
      </c>
      <c r="C1262" s="6">
        <v>39.45</v>
      </c>
      <c r="D1262" s="13">
        <f>+1.23</f>
        <v>1.23</v>
      </c>
      <c r="E1262" s="14">
        <f>+3.22%</f>
        <v>0.0322</v>
      </c>
      <c r="F1262" s="6">
        <v>38.78</v>
      </c>
      <c r="G1262" s="6">
        <v>38.69</v>
      </c>
      <c r="H1262" s="6">
        <v>39.62</v>
      </c>
      <c r="I1262" s="9">
        <v>1.03055092E8</v>
      </c>
      <c r="J1262" s="6">
        <v>4.07618396626E9</v>
      </c>
    </row>
    <row r="1263">
      <c r="A1263" s="4" t="s">
        <v>10</v>
      </c>
      <c r="B1263" s="5">
        <v>43472.0</v>
      </c>
      <c r="C1263" s="6">
        <v>39.54</v>
      </c>
      <c r="D1263" s="13">
        <f>+0.09</f>
        <v>0.09</v>
      </c>
      <c r="E1263" s="14">
        <f>+0.23%</f>
        <v>0.0023</v>
      </c>
      <c r="F1263" s="6">
        <v>39.48</v>
      </c>
      <c r="G1263" s="6">
        <v>39.26</v>
      </c>
      <c r="H1263" s="6">
        <v>39.71</v>
      </c>
      <c r="I1263" s="9">
        <v>7.6597004E7</v>
      </c>
      <c r="J1263" s="6">
        <v>3.04279437618E9</v>
      </c>
    </row>
    <row r="1264">
      <c r="A1264" s="4" t="s">
        <v>10</v>
      </c>
      <c r="B1264" s="5">
        <v>43473.0</v>
      </c>
      <c r="C1264" s="6">
        <v>39.69</v>
      </c>
      <c r="D1264" s="13">
        <f>+0.15</f>
        <v>0.15</v>
      </c>
      <c r="E1264" s="14">
        <f>+0.38%</f>
        <v>0.0038</v>
      </c>
      <c r="F1264" s="6">
        <v>39.56</v>
      </c>
      <c r="G1264" s="6">
        <v>39.33</v>
      </c>
      <c r="H1264" s="6">
        <v>39.76</v>
      </c>
      <c r="I1264" s="9">
        <v>7.0518151E7</v>
      </c>
      <c r="J1264" s="6">
        <v>2.80783603555E9</v>
      </c>
    </row>
    <row r="1265">
      <c r="A1265" s="4" t="s">
        <v>10</v>
      </c>
      <c r="B1265" s="5">
        <v>43474.0</v>
      </c>
      <c r="C1265" s="6">
        <v>40.4</v>
      </c>
      <c r="D1265" s="13">
        <f>+0.71</f>
        <v>0.71</v>
      </c>
      <c r="E1265" s="14">
        <f>+1.78%</f>
        <v>0.0178</v>
      </c>
      <c r="F1265" s="6">
        <v>40.1</v>
      </c>
      <c r="G1265" s="6">
        <v>40.09</v>
      </c>
      <c r="H1265" s="6">
        <v>40.62</v>
      </c>
      <c r="I1265" s="9">
        <v>1.25118786E8</v>
      </c>
      <c r="J1265" s="6">
        <v>5.08218885933E9</v>
      </c>
    </row>
    <row r="1266">
      <c r="A1266" s="4" t="s">
        <v>10</v>
      </c>
      <c r="B1266" s="5">
        <v>43475.0</v>
      </c>
      <c r="C1266" s="6">
        <v>40.68</v>
      </c>
      <c r="D1266" s="13">
        <f>+0.29</f>
        <v>0.29</v>
      </c>
      <c r="E1266" s="14">
        <f>+0.71%</f>
        <v>0.0071</v>
      </c>
      <c r="F1266" s="6">
        <v>40.18</v>
      </c>
      <c r="G1266" s="6">
        <v>40.18</v>
      </c>
      <c r="H1266" s="6">
        <v>40.71</v>
      </c>
      <c r="I1266" s="9">
        <v>8.5207644E7</v>
      </c>
      <c r="J1266" s="6">
        <v>3.47060180084E9</v>
      </c>
    </row>
    <row r="1267">
      <c r="A1267" s="4" t="s">
        <v>10</v>
      </c>
      <c r="B1267" s="5">
        <v>43476.0</v>
      </c>
      <c r="C1267" s="6">
        <v>40.49</v>
      </c>
      <c r="D1267" s="11">
        <v>-0.2</v>
      </c>
      <c r="E1267" s="12">
        <v>-0.0049</v>
      </c>
      <c r="F1267" s="6">
        <v>40.36</v>
      </c>
      <c r="G1267" s="6">
        <v>40.26</v>
      </c>
      <c r="H1267" s="6">
        <v>40.56</v>
      </c>
      <c r="I1267" s="9">
        <v>6.3136215E7</v>
      </c>
      <c r="J1267" s="6">
        <v>2.56853236916E9</v>
      </c>
    </row>
    <row r="1268">
      <c r="A1268" s="4" t="s">
        <v>10</v>
      </c>
      <c r="B1268" s="5">
        <v>43479.0</v>
      </c>
      <c r="C1268" s="6">
        <v>40.15</v>
      </c>
      <c r="D1268" s="11">
        <v>-0.34</v>
      </c>
      <c r="E1268" s="12">
        <v>-0.0083</v>
      </c>
      <c r="F1268" s="6">
        <v>39.97</v>
      </c>
      <c r="G1268" s="6">
        <v>39.9</v>
      </c>
      <c r="H1268" s="6">
        <v>40.33</v>
      </c>
      <c r="I1268" s="9">
        <v>7.6217012E7</v>
      </c>
      <c r="J1268" s="6">
        <v>3.07909643872E9</v>
      </c>
    </row>
    <row r="1269">
      <c r="A1269" s="4" t="s">
        <v>10</v>
      </c>
      <c r="B1269" s="5">
        <v>43480.0</v>
      </c>
      <c r="C1269" s="6">
        <v>40.43</v>
      </c>
      <c r="D1269" s="13">
        <f>+0.28</f>
        <v>0.28</v>
      </c>
      <c r="E1269" s="14">
        <f>+0.69%</f>
        <v>0.0069</v>
      </c>
      <c r="F1269" s="6">
        <v>40.38</v>
      </c>
      <c r="G1269" s="6">
        <v>40.31</v>
      </c>
      <c r="H1269" s="6">
        <v>40.64</v>
      </c>
      <c r="I1269" s="9">
        <v>7.8913211E7</v>
      </c>
      <c r="J1269" s="6">
        <v>3.21301100057E9</v>
      </c>
    </row>
    <row r="1270">
      <c r="A1270" s="4" t="s">
        <v>10</v>
      </c>
      <c r="B1270" s="5">
        <v>43481.0</v>
      </c>
      <c r="C1270" s="6">
        <v>40.92</v>
      </c>
      <c r="D1270" s="13">
        <f>+0.5</f>
        <v>0.5</v>
      </c>
      <c r="E1270" s="14">
        <f>+1.23%</f>
        <v>0.0123</v>
      </c>
      <c r="F1270" s="6">
        <v>40.71</v>
      </c>
      <c r="G1270" s="6">
        <v>40.7</v>
      </c>
      <c r="H1270" s="6">
        <v>41.06</v>
      </c>
      <c r="I1270" s="9">
        <v>8.2543629E7</v>
      </c>
      <c r="J1270" s="6">
        <v>3.39885170518E9</v>
      </c>
    </row>
    <row r="1271">
      <c r="A1271" s="4" t="s">
        <v>10</v>
      </c>
      <c r="B1271" s="5">
        <v>43482.0</v>
      </c>
      <c r="C1271" s="6">
        <v>41.1</v>
      </c>
      <c r="D1271" s="13">
        <f>+0.18</f>
        <v>0.18</v>
      </c>
      <c r="E1271" s="14">
        <f>+0.44%</f>
        <v>0.0044</v>
      </c>
      <c r="F1271" s="6">
        <v>40.6</v>
      </c>
      <c r="G1271" s="6">
        <v>40.56</v>
      </c>
      <c r="H1271" s="6">
        <v>41.3</v>
      </c>
      <c r="I1271" s="9">
        <v>8.5522752E7</v>
      </c>
      <c r="J1271" s="6">
        <v>3.52136664868E9</v>
      </c>
    </row>
    <row r="1272">
      <c r="A1272" s="4" t="s">
        <v>10</v>
      </c>
      <c r="B1272" s="5">
        <v>43483.0</v>
      </c>
      <c r="C1272" s="6">
        <v>41.3</v>
      </c>
      <c r="D1272" s="13">
        <f>+0.2</f>
        <v>0.2</v>
      </c>
      <c r="E1272" s="14">
        <f>+0.48%</f>
        <v>0.0048</v>
      </c>
      <c r="F1272" s="6">
        <v>41.27</v>
      </c>
      <c r="G1272" s="6">
        <v>41.17</v>
      </c>
      <c r="H1272" s="6">
        <v>41.47</v>
      </c>
      <c r="I1272" s="9">
        <v>9.8168925E7</v>
      </c>
      <c r="J1272" s="6">
        <v>4.08166416113E9</v>
      </c>
    </row>
    <row r="1273">
      <c r="A1273" s="4" t="s">
        <v>10</v>
      </c>
      <c r="B1273" s="5">
        <v>43487.0</v>
      </c>
      <c r="C1273" s="6">
        <v>40.59</v>
      </c>
      <c r="D1273" s="11">
        <v>-0.72</v>
      </c>
      <c r="E1273" s="12">
        <v>-0.0173</v>
      </c>
      <c r="F1273" s="6">
        <v>40.81</v>
      </c>
      <c r="G1273" s="6">
        <v>40.41</v>
      </c>
      <c r="H1273" s="6">
        <v>40.9</v>
      </c>
      <c r="I1273" s="9">
        <v>1.01294882E8</v>
      </c>
      <c r="J1273" s="6">
        <v>4.14364968194E9</v>
      </c>
    </row>
    <row r="1274">
      <c r="A1274" s="4" t="s">
        <v>10</v>
      </c>
      <c r="B1274" s="5">
        <v>43488.0</v>
      </c>
      <c r="C1274" s="6">
        <v>41.0</v>
      </c>
      <c r="D1274" s="13">
        <f>+0.42</f>
        <v>0.42</v>
      </c>
      <c r="E1274" s="14">
        <f>+1.03%</f>
        <v>0.0103</v>
      </c>
      <c r="F1274" s="6">
        <v>40.96</v>
      </c>
      <c r="G1274" s="6">
        <v>40.65</v>
      </c>
      <c r="H1274" s="6">
        <v>41.03</v>
      </c>
      <c r="I1274" s="9">
        <v>6.6625171E7</v>
      </c>
      <c r="J1274" s="6">
        <v>2.74185120789E9</v>
      </c>
    </row>
    <row r="1275">
      <c r="A1275" s="4" t="s">
        <v>10</v>
      </c>
      <c r="B1275" s="5">
        <v>43489.0</v>
      </c>
      <c r="C1275" s="6">
        <v>41.4</v>
      </c>
      <c r="D1275" s="13">
        <f>+0.4</f>
        <v>0.4</v>
      </c>
      <c r="E1275" s="14">
        <f>+0.97%</f>
        <v>0.0097</v>
      </c>
      <c r="F1275" s="6">
        <v>41.03</v>
      </c>
      <c r="G1275" s="6">
        <v>41.03</v>
      </c>
      <c r="H1275" s="6">
        <v>41.43</v>
      </c>
      <c r="I1275" s="9">
        <v>7.6076938E7</v>
      </c>
      <c r="J1275" s="6">
        <v>3.1606237885E9</v>
      </c>
    </row>
    <row r="1276">
      <c r="A1276" s="4" t="s">
        <v>10</v>
      </c>
      <c r="B1276" s="5">
        <v>43490.0</v>
      </c>
      <c r="C1276" s="6">
        <v>41.95</v>
      </c>
      <c r="D1276" s="13">
        <f>+0.55</f>
        <v>0.55</v>
      </c>
      <c r="E1276" s="14">
        <f>+1.32%</f>
        <v>0.0132</v>
      </c>
      <c r="F1276" s="6">
        <v>41.85</v>
      </c>
      <c r="G1276" s="6">
        <v>41.79</v>
      </c>
      <c r="H1276" s="6">
        <v>42.06</v>
      </c>
      <c r="I1276" s="9">
        <v>1.05779454E8</v>
      </c>
      <c r="J1276" s="6">
        <v>4.46426875474E9</v>
      </c>
    </row>
    <row r="1277">
      <c r="A1277" s="4" t="s">
        <v>10</v>
      </c>
      <c r="B1277" s="5">
        <v>43493.0</v>
      </c>
      <c r="C1277" s="6">
        <v>41.51</v>
      </c>
      <c r="D1277" s="11">
        <v>-0.44</v>
      </c>
      <c r="E1277" s="12">
        <v>-0.0104</v>
      </c>
      <c r="F1277" s="6">
        <v>41.32</v>
      </c>
      <c r="G1277" s="6">
        <v>41.19</v>
      </c>
      <c r="H1277" s="6">
        <v>41.54</v>
      </c>
      <c r="I1277" s="9">
        <v>8.5543126E7</v>
      </c>
      <c r="J1277" s="6">
        <v>3.56397027211E9</v>
      </c>
    </row>
    <row r="1278">
      <c r="A1278" s="4" t="s">
        <v>10</v>
      </c>
      <c r="B1278" s="5">
        <v>43494.0</v>
      </c>
      <c r="C1278" s="6">
        <v>41.58</v>
      </c>
      <c r="D1278" s="13">
        <f>+0.07</f>
        <v>0.07</v>
      </c>
      <c r="E1278" s="14">
        <f>+0.17%</f>
        <v>0.0017</v>
      </c>
      <c r="F1278" s="6">
        <v>41.72</v>
      </c>
      <c r="G1278" s="6">
        <v>41.48</v>
      </c>
      <c r="H1278" s="6">
        <v>41.74</v>
      </c>
      <c r="I1278" s="9">
        <v>5.6518856E7</v>
      </c>
      <c r="J1278" s="6">
        <v>2.36540731399E9</v>
      </c>
    </row>
    <row r="1279">
      <c r="A1279" s="4" t="s">
        <v>10</v>
      </c>
      <c r="B1279" s="5">
        <v>43495.0</v>
      </c>
      <c r="C1279" s="6">
        <v>42.48</v>
      </c>
      <c r="D1279" s="13">
        <f>+0.9</f>
        <v>0.9</v>
      </c>
      <c r="E1279" s="14">
        <f>+2.18%</f>
        <v>0.0218</v>
      </c>
      <c r="F1279" s="6">
        <v>41.83</v>
      </c>
      <c r="G1279" s="6">
        <v>41.63</v>
      </c>
      <c r="H1279" s="6">
        <v>42.57</v>
      </c>
      <c r="I1279" s="9">
        <v>1.27796788E8</v>
      </c>
      <c r="J1279" s="6">
        <v>5.42968023608E9</v>
      </c>
    </row>
    <row r="1280">
      <c r="A1280" s="4" t="s">
        <v>10</v>
      </c>
      <c r="B1280" s="5">
        <v>43496.0</v>
      </c>
      <c r="C1280" s="6">
        <v>42.84</v>
      </c>
      <c r="D1280" s="13">
        <f>+0.36</f>
        <v>0.36</v>
      </c>
      <c r="E1280" s="14">
        <f>+0.84%</f>
        <v>0.0084</v>
      </c>
      <c r="F1280" s="6">
        <v>42.53</v>
      </c>
      <c r="G1280" s="6">
        <v>42.52</v>
      </c>
      <c r="H1280" s="6">
        <v>42.88</v>
      </c>
      <c r="I1280" s="9">
        <v>1.1992921E8</v>
      </c>
      <c r="J1280" s="6">
        <v>5.15519074489E9</v>
      </c>
    </row>
    <row r="1281">
      <c r="A1281" s="4" t="s">
        <v>10</v>
      </c>
      <c r="B1281" s="5">
        <v>43497.0</v>
      </c>
      <c r="C1281" s="6">
        <v>42.5</v>
      </c>
      <c r="D1281" s="11">
        <v>-0.34</v>
      </c>
      <c r="E1281" s="12">
        <v>-0.0079</v>
      </c>
      <c r="F1281" s="6">
        <v>42.52</v>
      </c>
      <c r="G1281" s="6">
        <v>42.37</v>
      </c>
      <c r="H1281" s="6">
        <v>42.58</v>
      </c>
      <c r="I1281" s="9">
        <v>6.5766095E7</v>
      </c>
      <c r="J1281" s="6">
        <v>2.81107771433E9</v>
      </c>
    </row>
    <row r="1282">
      <c r="A1282" s="4" t="s">
        <v>10</v>
      </c>
      <c r="B1282" s="5">
        <v>43500.0</v>
      </c>
      <c r="C1282" s="6">
        <v>42.57</v>
      </c>
      <c r="D1282" s="13">
        <f>+0.07</f>
        <v>0.07</v>
      </c>
      <c r="E1282" s="14">
        <f>+0.16%</f>
        <v>0.0016</v>
      </c>
      <c r="F1282" s="6">
        <v>42.37</v>
      </c>
      <c r="G1282" s="6">
        <v>42.28</v>
      </c>
      <c r="H1282" s="6">
        <v>42.69</v>
      </c>
      <c r="I1282" s="9">
        <v>4.5770207E7</v>
      </c>
      <c r="J1282" s="6">
        <v>1.95905101405E9</v>
      </c>
    </row>
    <row r="1283">
      <c r="A1283" s="4" t="s">
        <v>10</v>
      </c>
      <c r="B1283" s="5">
        <v>43501.0</v>
      </c>
      <c r="C1283" s="6">
        <v>43.16</v>
      </c>
      <c r="D1283" s="13">
        <f>+0.59</f>
        <v>0.59</v>
      </c>
      <c r="E1283" s="14">
        <f>+1.38%</f>
        <v>0.0138</v>
      </c>
      <c r="F1283" s="6">
        <v>42.77</v>
      </c>
      <c r="G1283" s="6">
        <v>42.7</v>
      </c>
      <c r="H1283" s="6">
        <v>43.2</v>
      </c>
      <c r="I1283" s="9">
        <v>8.17201E7</v>
      </c>
      <c r="J1283" s="6">
        <v>3.53857982005E9</v>
      </c>
    </row>
    <row r="1284">
      <c r="A1284" s="4" t="s">
        <v>10</v>
      </c>
      <c r="B1284" s="5">
        <v>43502.0</v>
      </c>
      <c r="C1284" s="6">
        <v>42.57</v>
      </c>
      <c r="D1284" s="11">
        <v>-0.59</v>
      </c>
      <c r="E1284" s="12">
        <v>-0.0136</v>
      </c>
      <c r="F1284" s="6">
        <v>42.96</v>
      </c>
      <c r="G1284" s="6">
        <v>42.48</v>
      </c>
      <c r="H1284" s="6">
        <v>42.99</v>
      </c>
      <c r="I1284" s="9">
        <v>5.8195044E7</v>
      </c>
      <c r="J1284" s="6">
        <v>2.50089674303E9</v>
      </c>
    </row>
    <row r="1285">
      <c r="A1285" s="4" t="s">
        <v>10</v>
      </c>
      <c r="B1285" s="5">
        <v>43503.0</v>
      </c>
      <c r="C1285" s="6">
        <v>42.15</v>
      </c>
      <c r="D1285" s="11">
        <v>-0.43</v>
      </c>
      <c r="E1285" s="12">
        <v>-0.01</v>
      </c>
      <c r="F1285" s="6">
        <v>42.24</v>
      </c>
      <c r="G1285" s="6">
        <v>41.78</v>
      </c>
      <c r="H1285" s="6">
        <v>42.45</v>
      </c>
      <c r="I1285" s="9">
        <v>1.01061439E8</v>
      </c>
      <c r="J1285" s="6">
        <v>4.28245742098E9</v>
      </c>
    </row>
    <row r="1286">
      <c r="A1286" s="4" t="s">
        <v>10</v>
      </c>
      <c r="B1286" s="5">
        <v>43504.0</v>
      </c>
      <c r="C1286" s="6">
        <v>41.91</v>
      </c>
      <c r="D1286" s="11">
        <v>-0.24</v>
      </c>
      <c r="E1286" s="12">
        <v>-0.0057</v>
      </c>
      <c r="F1286" s="6">
        <v>41.84</v>
      </c>
      <c r="G1286" s="6">
        <v>41.59</v>
      </c>
      <c r="H1286" s="6">
        <v>41.98</v>
      </c>
      <c r="I1286" s="9">
        <v>6.4212352E7</v>
      </c>
      <c r="J1286" s="6">
        <v>2.70150705618E9</v>
      </c>
    </row>
    <row r="1287">
      <c r="A1287" s="4" t="s">
        <v>10</v>
      </c>
      <c r="B1287" s="5">
        <v>43507.0</v>
      </c>
      <c r="C1287" s="6">
        <v>41.77</v>
      </c>
      <c r="D1287" s="11">
        <v>-0.14</v>
      </c>
      <c r="E1287" s="12">
        <v>-0.0033</v>
      </c>
      <c r="F1287" s="6">
        <v>41.99</v>
      </c>
      <c r="G1287" s="6">
        <v>41.75</v>
      </c>
      <c r="H1287" s="6">
        <v>42.01</v>
      </c>
      <c r="I1287" s="9">
        <v>4.2213376E7</v>
      </c>
      <c r="J1287" s="6">
        <v>1.77713587984E9</v>
      </c>
    </row>
    <row r="1288">
      <c r="A1288" s="4" t="s">
        <v>10</v>
      </c>
      <c r="B1288" s="5">
        <v>43508.0</v>
      </c>
      <c r="C1288" s="6">
        <v>42.12</v>
      </c>
      <c r="D1288" s="13">
        <f>+0.35</f>
        <v>0.35</v>
      </c>
      <c r="E1288" s="14">
        <f>+0.83%</f>
        <v>0.0083</v>
      </c>
      <c r="F1288" s="6">
        <v>42.12</v>
      </c>
      <c r="G1288" s="6">
        <v>42.06</v>
      </c>
      <c r="H1288" s="6">
        <v>42.29</v>
      </c>
      <c r="I1288" s="9">
        <v>6.6073136E7</v>
      </c>
      <c r="J1288" s="6">
        <v>2.80257589701E9</v>
      </c>
    </row>
    <row r="1289">
      <c r="A1289" s="4" t="s">
        <v>10</v>
      </c>
      <c r="B1289" s="5">
        <v>43509.0</v>
      </c>
      <c r="C1289" s="6">
        <v>41.82</v>
      </c>
      <c r="D1289" s="11">
        <v>-0.3</v>
      </c>
      <c r="E1289" s="12">
        <v>-0.0071</v>
      </c>
      <c r="F1289" s="6">
        <v>42.14</v>
      </c>
      <c r="G1289" s="6">
        <v>41.72</v>
      </c>
      <c r="H1289" s="6">
        <v>42.22</v>
      </c>
      <c r="I1289" s="9">
        <v>8.2318061E7</v>
      </c>
      <c r="J1289" s="6">
        <v>3.47136266027E9</v>
      </c>
    </row>
    <row r="1290">
      <c r="A1290" s="4" t="s">
        <v>10</v>
      </c>
      <c r="B1290" s="5">
        <v>43510.0</v>
      </c>
      <c r="C1290" s="6">
        <v>41.9</v>
      </c>
      <c r="D1290" s="13">
        <f>+0.08</f>
        <v>0.08</v>
      </c>
      <c r="E1290" s="14">
        <f>+0.19%</f>
        <v>0.0019</v>
      </c>
      <c r="F1290" s="6">
        <v>41.57</v>
      </c>
      <c r="G1290" s="6">
        <v>41.49</v>
      </c>
      <c r="H1290" s="6">
        <v>42.05</v>
      </c>
      <c r="I1290" s="9">
        <v>9.1302782E7</v>
      </c>
      <c r="J1290" s="6">
        <v>3.83740974158E9</v>
      </c>
    </row>
    <row r="1291">
      <c r="A1291" s="4" t="s">
        <v>10</v>
      </c>
      <c r="B1291" s="5">
        <v>43511.0</v>
      </c>
      <c r="C1291" s="6">
        <v>41.84</v>
      </c>
      <c r="D1291" s="11">
        <v>-0.06</v>
      </c>
      <c r="E1291" s="12">
        <v>-0.0014</v>
      </c>
      <c r="F1291" s="6">
        <v>41.88</v>
      </c>
      <c r="G1291" s="6">
        <v>41.7</v>
      </c>
      <c r="H1291" s="6">
        <v>41.88</v>
      </c>
      <c r="I1291" s="9">
        <v>7.2362243E7</v>
      </c>
      <c r="J1291" s="6">
        <v>3.04251287284E9</v>
      </c>
    </row>
    <row r="1292">
      <c r="A1292" s="4" t="s">
        <v>10</v>
      </c>
      <c r="B1292" s="5">
        <v>43515.0</v>
      </c>
      <c r="C1292" s="6">
        <v>42.17</v>
      </c>
      <c r="D1292" s="13">
        <f>+0.33</f>
        <v>0.33</v>
      </c>
      <c r="E1292" s="14">
        <f>+0.78%</f>
        <v>0.0078</v>
      </c>
      <c r="F1292" s="6">
        <v>41.68</v>
      </c>
      <c r="G1292" s="6">
        <v>41.68</v>
      </c>
      <c r="H1292" s="6">
        <v>42.26</v>
      </c>
      <c r="I1292" s="9">
        <v>6.4391533E7</v>
      </c>
      <c r="J1292" s="6">
        <v>2.72477825352E9</v>
      </c>
    </row>
    <row r="1293">
      <c r="A1293" s="4" t="s">
        <v>10</v>
      </c>
      <c r="B1293" s="5">
        <v>43516.0</v>
      </c>
      <c r="C1293" s="6">
        <v>42.4</v>
      </c>
      <c r="D1293" s="13">
        <f>+0.24</f>
        <v>0.24</v>
      </c>
      <c r="E1293" s="14">
        <f>+0.57%</f>
        <v>0.0057</v>
      </c>
      <c r="F1293" s="6">
        <v>42.39</v>
      </c>
      <c r="G1293" s="6">
        <v>42.28</v>
      </c>
      <c r="H1293" s="6">
        <v>42.67</v>
      </c>
      <c r="I1293" s="9">
        <v>7.3694822E7</v>
      </c>
      <c r="J1293" s="6">
        <v>3.1499594081E9</v>
      </c>
    </row>
    <row r="1294">
      <c r="A1294" s="4" t="s">
        <v>10</v>
      </c>
      <c r="B1294" s="5">
        <v>43517.0</v>
      </c>
      <c r="C1294" s="6">
        <v>42.31</v>
      </c>
      <c r="D1294" s="11">
        <v>-0.09</v>
      </c>
      <c r="E1294" s="12">
        <v>-0.0021</v>
      </c>
      <c r="F1294" s="6">
        <v>42.37</v>
      </c>
      <c r="G1294" s="6">
        <v>42.12</v>
      </c>
      <c r="H1294" s="6">
        <v>42.41</v>
      </c>
      <c r="I1294" s="9">
        <v>4.8092664E7</v>
      </c>
      <c r="J1294" s="6">
        <v>2.04354392668E9</v>
      </c>
    </row>
    <row r="1295">
      <c r="A1295" s="4" t="s">
        <v>10</v>
      </c>
      <c r="B1295" s="5">
        <v>43518.0</v>
      </c>
      <c r="C1295" s="6">
        <v>42.78</v>
      </c>
      <c r="D1295" s="13">
        <f>+0.47</f>
        <v>0.47</v>
      </c>
      <c r="E1295" s="14">
        <f>+1.1%</f>
        <v>0.011</v>
      </c>
      <c r="F1295" s="6">
        <v>42.67</v>
      </c>
      <c r="G1295" s="6">
        <v>42.58</v>
      </c>
      <c r="H1295" s="6">
        <v>42.9</v>
      </c>
      <c r="I1295" s="9">
        <v>5.802215E7</v>
      </c>
      <c r="J1295" s="6">
        <v>2.49514481163E9</v>
      </c>
    </row>
    <row r="1296">
      <c r="A1296" s="4" t="s">
        <v>10</v>
      </c>
      <c r="B1296" s="5">
        <v>43521.0</v>
      </c>
      <c r="C1296" s="6">
        <v>43.26</v>
      </c>
      <c r="D1296" s="13">
        <f>+0.48</f>
        <v>0.48</v>
      </c>
      <c r="E1296" s="14">
        <f>+1.12%</f>
        <v>0.0112</v>
      </c>
      <c r="F1296" s="6">
        <v>43.25</v>
      </c>
      <c r="G1296" s="6">
        <v>43.16</v>
      </c>
      <c r="H1296" s="6">
        <v>43.47</v>
      </c>
      <c r="I1296" s="9">
        <v>6.653375E7</v>
      </c>
      <c r="J1296" s="6">
        <v>2.89778883881E9</v>
      </c>
    </row>
    <row r="1297">
      <c r="A1297" s="4" t="s">
        <v>10</v>
      </c>
      <c r="B1297" s="5">
        <v>43522.0</v>
      </c>
      <c r="C1297" s="6">
        <v>43.11</v>
      </c>
      <c r="D1297" s="11">
        <v>-0.15</v>
      </c>
      <c r="E1297" s="12">
        <v>-0.0034</v>
      </c>
      <c r="F1297" s="6">
        <v>42.96</v>
      </c>
      <c r="G1297" s="6">
        <v>42.93</v>
      </c>
      <c r="H1297" s="6">
        <v>43.26</v>
      </c>
      <c r="I1297" s="9">
        <v>5.8330592E7</v>
      </c>
      <c r="J1297" s="6">
        <v>2.52851252704E9</v>
      </c>
    </row>
    <row r="1298">
      <c r="A1298" s="4" t="s">
        <v>10</v>
      </c>
      <c r="B1298" s="5">
        <v>43523.0</v>
      </c>
      <c r="C1298" s="6">
        <v>42.74</v>
      </c>
      <c r="D1298" s="11">
        <v>-0.37</v>
      </c>
      <c r="E1298" s="12">
        <v>-0.0085</v>
      </c>
      <c r="F1298" s="6">
        <v>42.83</v>
      </c>
      <c r="G1298" s="6">
        <v>42.59</v>
      </c>
      <c r="H1298" s="6">
        <v>42.9</v>
      </c>
      <c r="I1298" s="9">
        <v>6.9471165E7</v>
      </c>
      <c r="J1298" s="6">
        <v>2.98762342184E9</v>
      </c>
    </row>
    <row r="1299">
      <c r="A1299" s="4" t="s">
        <v>10</v>
      </c>
      <c r="B1299" s="5">
        <v>43524.0</v>
      </c>
      <c r="C1299" s="6">
        <v>42.19</v>
      </c>
      <c r="D1299" s="11">
        <v>-0.56</v>
      </c>
      <c r="E1299" s="12">
        <v>-0.013</v>
      </c>
      <c r="F1299" s="6">
        <v>42.46</v>
      </c>
      <c r="G1299" s="6">
        <v>42.19</v>
      </c>
      <c r="H1299" s="6">
        <v>42.48</v>
      </c>
      <c r="I1299" s="9">
        <v>8.7434698E7</v>
      </c>
      <c r="J1299" s="6">
        <v>3.71957908567E9</v>
      </c>
    </row>
    <row r="1300">
      <c r="A1300" s="4" t="s">
        <v>10</v>
      </c>
      <c r="B1300" s="5">
        <v>43525.0</v>
      </c>
      <c r="C1300" s="6">
        <v>42.24</v>
      </c>
      <c r="D1300" s="13">
        <f>+0.05</f>
        <v>0.05</v>
      </c>
      <c r="E1300" s="14">
        <f>+0.12%</f>
        <v>0.0012</v>
      </c>
      <c r="F1300" s="6">
        <v>42.52</v>
      </c>
      <c r="G1300" s="6">
        <v>42.16</v>
      </c>
      <c r="H1300" s="6">
        <v>42.55</v>
      </c>
      <c r="I1300" s="9">
        <v>9.4263876E7</v>
      </c>
      <c r="J1300" s="6">
        <v>4.01032705023E9</v>
      </c>
    </row>
    <row r="1301">
      <c r="A1301" s="4" t="s">
        <v>10</v>
      </c>
      <c r="B1301" s="5">
        <v>43528.0</v>
      </c>
      <c r="C1301" s="6">
        <v>42.29</v>
      </c>
      <c r="D1301" s="13">
        <f>+0.06</f>
        <v>0.06</v>
      </c>
      <c r="E1301" s="14">
        <f>+0.14%</f>
        <v>0.0014</v>
      </c>
      <c r="F1301" s="6">
        <v>42.46</v>
      </c>
      <c r="G1301" s="6">
        <v>41.93</v>
      </c>
      <c r="H1301" s="6">
        <v>42.52</v>
      </c>
      <c r="I1301" s="9">
        <v>9.4168259E7</v>
      </c>
      <c r="J1301" s="6">
        <v>3.99854913354E9</v>
      </c>
    </row>
    <row r="1302">
      <c r="A1302" s="4" t="s">
        <v>10</v>
      </c>
      <c r="B1302" s="5">
        <v>43529.0</v>
      </c>
      <c r="C1302" s="6">
        <v>42.71</v>
      </c>
      <c r="D1302" s="13">
        <f>+0.42</f>
        <v>0.42</v>
      </c>
      <c r="E1302" s="14">
        <f>+0.99%</f>
        <v>0.0099</v>
      </c>
      <c r="F1302" s="6">
        <v>42.49</v>
      </c>
      <c r="G1302" s="6">
        <v>42.41</v>
      </c>
      <c r="H1302" s="6">
        <v>42.78</v>
      </c>
      <c r="I1302" s="9">
        <v>5.4576835E7</v>
      </c>
      <c r="J1302" s="6">
        <v>2.34144867454E9</v>
      </c>
    </row>
    <row r="1303">
      <c r="A1303" s="4" t="s">
        <v>10</v>
      </c>
      <c r="B1303" s="5">
        <v>43530.0</v>
      </c>
      <c r="C1303" s="6">
        <v>42.47</v>
      </c>
      <c r="D1303" s="11">
        <v>-0.24</v>
      </c>
      <c r="E1303" s="12">
        <v>-0.0056</v>
      </c>
      <c r="F1303" s="6">
        <v>42.73</v>
      </c>
      <c r="G1303" s="6">
        <v>42.4</v>
      </c>
      <c r="H1303" s="6">
        <v>42.79</v>
      </c>
      <c r="I1303" s="9">
        <v>6.1237842E7</v>
      </c>
      <c r="J1303" s="6">
        <v>2.62237155005E9</v>
      </c>
    </row>
    <row r="1304">
      <c r="A1304" s="4" t="s">
        <v>10</v>
      </c>
      <c r="B1304" s="5">
        <v>43531.0</v>
      </c>
      <c r="C1304" s="6">
        <v>41.69</v>
      </c>
      <c r="D1304" s="11">
        <v>-0.79</v>
      </c>
      <c r="E1304" s="12">
        <v>-0.0185</v>
      </c>
      <c r="F1304" s="6">
        <v>42.23</v>
      </c>
      <c r="G1304" s="6">
        <v>41.62</v>
      </c>
      <c r="H1304" s="6">
        <v>42.24</v>
      </c>
      <c r="I1304" s="9">
        <v>8.3415319E7</v>
      </c>
      <c r="J1304" s="6">
        <v>3.50910185704E9</v>
      </c>
    </row>
    <row r="1305">
      <c r="A1305" s="4" t="s">
        <v>10</v>
      </c>
      <c r="B1305" s="5">
        <v>43532.0</v>
      </c>
      <c r="C1305" s="6">
        <v>41.39</v>
      </c>
      <c r="D1305" s="11">
        <v>-0.3</v>
      </c>
      <c r="E1305" s="12">
        <v>-0.0072</v>
      </c>
      <c r="F1305" s="6">
        <v>41.19</v>
      </c>
      <c r="G1305" s="6">
        <v>41.14</v>
      </c>
      <c r="H1305" s="6">
        <v>41.43</v>
      </c>
      <c r="I1305" s="9">
        <v>9.7742331E7</v>
      </c>
      <c r="J1305" s="6">
        <v>4.06014345071E9</v>
      </c>
    </row>
    <row r="1306">
      <c r="A1306" s="4" t="s">
        <v>10</v>
      </c>
      <c r="B1306" s="5">
        <v>43535.0</v>
      </c>
      <c r="C1306" s="6">
        <v>42.17</v>
      </c>
      <c r="D1306" s="13">
        <f>+0.78</f>
        <v>0.78</v>
      </c>
      <c r="E1306" s="14">
        <f>+1.87%</f>
        <v>0.0187</v>
      </c>
      <c r="F1306" s="6">
        <v>41.76</v>
      </c>
      <c r="G1306" s="6">
        <v>41.76</v>
      </c>
      <c r="H1306" s="6">
        <v>42.22</v>
      </c>
      <c r="I1306" s="9">
        <v>6.3002281E7</v>
      </c>
      <c r="J1306" s="6">
        <v>2.66796377933E9</v>
      </c>
    </row>
    <row r="1307">
      <c r="A1307" s="4" t="s">
        <v>10</v>
      </c>
      <c r="B1307" s="5">
        <v>43536.0</v>
      </c>
      <c r="C1307" s="6">
        <v>42.38</v>
      </c>
      <c r="D1307" s="13">
        <f>+0.22</f>
        <v>0.22</v>
      </c>
      <c r="E1307" s="14">
        <f>+0.52%</f>
        <v>0.0052</v>
      </c>
      <c r="F1307" s="6">
        <v>42.38</v>
      </c>
      <c r="G1307" s="6">
        <v>42.3</v>
      </c>
      <c r="H1307" s="6">
        <v>42.49</v>
      </c>
      <c r="I1307" s="9">
        <v>4.2726928E7</v>
      </c>
      <c r="J1307" s="6">
        <v>1.82333192305E9</v>
      </c>
    </row>
    <row r="1308">
      <c r="A1308" s="4" t="s">
        <v>10</v>
      </c>
      <c r="B1308" s="5">
        <v>43537.0</v>
      </c>
      <c r="C1308" s="6">
        <v>42.43</v>
      </c>
      <c r="D1308" s="13">
        <f>+0.05</f>
        <v>0.05</v>
      </c>
      <c r="E1308" s="14">
        <f>+0.12%</f>
        <v>0.0012</v>
      </c>
      <c r="F1308" s="6">
        <v>42.4</v>
      </c>
      <c r="G1308" s="6">
        <v>42.29</v>
      </c>
      <c r="H1308" s="6">
        <v>42.49</v>
      </c>
      <c r="I1308" s="9">
        <v>6.1450029E7</v>
      </c>
      <c r="J1308" s="6">
        <v>2.62111806342E9</v>
      </c>
    </row>
    <row r="1309">
      <c r="A1309" s="4" t="s">
        <v>10</v>
      </c>
      <c r="B1309" s="5">
        <v>43538.0</v>
      </c>
      <c r="C1309" s="6">
        <v>42.21</v>
      </c>
      <c r="D1309" s="11">
        <v>-0.23</v>
      </c>
      <c r="E1309" s="12">
        <v>-0.0054</v>
      </c>
      <c r="F1309" s="6">
        <v>42.26</v>
      </c>
      <c r="G1309" s="6">
        <v>42.04</v>
      </c>
      <c r="H1309" s="6">
        <v>42.28</v>
      </c>
      <c r="I1309" s="9">
        <v>5.8460653E7</v>
      </c>
      <c r="J1309" s="6">
        <v>2.47944404738E9</v>
      </c>
    </row>
    <row r="1310">
      <c r="A1310" s="4" t="s">
        <v>10</v>
      </c>
      <c r="B1310" s="5">
        <v>43539.0</v>
      </c>
      <c r="C1310" s="6">
        <v>42.82</v>
      </c>
      <c r="D1310" s="13">
        <f>+0.62</f>
        <v>0.62</v>
      </c>
      <c r="E1310" s="14">
        <f>+1.46%</f>
        <v>0.0146</v>
      </c>
      <c r="F1310" s="6">
        <v>42.59</v>
      </c>
      <c r="G1310" s="6">
        <v>42.56</v>
      </c>
      <c r="H1310" s="6">
        <v>42.88</v>
      </c>
      <c r="I1310" s="9">
        <v>1.39870973E8</v>
      </c>
      <c r="J1310" s="6">
        <v>6.02258934882E9</v>
      </c>
    </row>
    <row r="1311">
      <c r="A1311" s="4" t="s">
        <v>10</v>
      </c>
      <c r="B1311" s="5">
        <v>43542.0</v>
      </c>
      <c r="C1311" s="6">
        <v>43.3</v>
      </c>
      <c r="D1311" s="13">
        <f>+0.48</f>
        <v>0.48</v>
      </c>
      <c r="E1311" s="14">
        <f>+1.11%</f>
        <v>0.0111</v>
      </c>
      <c r="F1311" s="6">
        <v>43.13</v>
      </c>
      <c r="G1311" s="6">
        <v>43.07</v>
      </c>
      <c r="H1311" s="6">
        <v>43.32</v>
      </c>
      <c r="I1311" s="9">
        <v>4.2149274E7</v>
      </c>
      <c r="J1311" s="6">
        <v>1.83256477101E9</v>
      </c>
    </row>
    <row r="1312">
      <c r="A1312" s="4" t="s">
        <v>10</v>
      </c>
      <c r="B1312" s="5">
        <v>43543.0</v>
      </c>
      <c r="C1312" s="6">
        <v>43.32</v>
      </c>
      <c r="D1312" s="13">
        <f>+0.02</f>
        <v>0.02</v>
      </c>
      <c r="E1312" s="14">
        <f>+0.05%</f>
        <v>0.0005</v>
      </c>
      <c r="F1312" s="6">
        <v>43.35</v>
      </c>
      <c r="G1312" s="6">
        <v>43.22</v>
      </c>
      <c r="H1312" s="6">
        <v>43.48</v>
      </c>
      <c r="I1312" s="9">
        <v>5.3192726E7</v>
      </c>
      <c r="J1312" s="6">
        <v>2.31995851184E9</v>
      </c>
    </row>
    <row r="1313">
      <c r="A1313" s="4" t="s">
        <v>10</v>
      </c>
      <c r="B1313" s="5">
        <v>43544.0</v>
      </c>
      <c r="C1313" s="6">
        <v>43.39</v>
      </c>
      <c r="D1313" s="13">
        <f>+0.07</f>
        <v>0.07</v>
      </c>
      <c r="E1313" s="14">
        <f>+0.16%</f>
        <v>0.0016</v>
      </c>
      <c r="F1313" s="6">
        <v>43.18</v>
      </c>
      <c r="G1313" s="6">
        <v>42.88</v>
      </c>
      <c r="H1313" s="6">
        <v>43.75</v>
      </c>
      <c r="I1313" s="9">
        <v>9.0678753E7</v>
      </c>
      <c r="J1313" s="6">
        <v>3.9573804179E9</v>
      </c>
    </row>
    <row r="1314">
      <c r="A1314" s="4" t="s">
        <v>10</v>
      </c>
      <c r="B1314" s="5">
        <v>43545.0</v>
      </c>
      <c r="C1314" s="6">
        <v>43.45</v>
      </c>
      <c r="D1314" s="13">
        <f>+0.06</f>
        <v>0.06</v>
      </c>
      <c r="E1314" s="14">
        <f>+0.14%</f>
        <v>0.0014</v>
      </c>
      <c r="F1314" s="6">
        <v>43.16</v>
      </c>
      <c r="G1314" s="6">
        <v>43.06</v>
      </c>
      <c r="H1314" s="6">
        <v>43.46</v>
      </c>
      <c r="I1314" s="9">
        <v>7.1400551E7</v>
      </c>
      <c r="J1314" s="6">
        <v>3.10746006287E9</v>
      </c>
    </row>
    <row r="1315">
      <c r="A1315" s="4" t="s">
        <v>10</v>
      </c>
      <c r="B1315" s="5">
        <v>43546.0</v>
      </c>
      <c r="C1315" s="6">
        <v>42.18</v>
      </c>
      <c r="D1315" s="11">
        <v>-1.27</v>
      </c>
      <c r="E1315" s="12">
        <v>-0.0293</v>
      </c>
      <c r="F1315" s="6">
        <v>42.79</v>
      </c>
      <c r="G1315" s="6">
        <v>42.14</v>
      </c>
      <c r="H1315" s="6">
        <v>42.89</v>
      </c>
      <c r="I1315" s="9">
        <v>1.18616986E8</v>
      </c>
      <c r="J1315" s="6">
        <v>5.0635865782E9</v>
      </c>
    </row>
    <row r="1316">
      <c r="A1316" s="4" t="s">
        <v>10</v>
      </c>
      <c r="B1316" s="5">
        <v>43549.0</v>
      </c>
      <c r="C1316" s="6">
        <v>42.27</v>
      </c>
      <c r="D1316" s="13">
        <f>+0.1</f>
        <v>0.1</v>
      </c>
      <c r="E1316" s="14">
        <f>+0.24%</f>
        <v>0.0024</v>
      </c>
      <c r="F1316" s="6">
        <v>42.09</v>
      </c>
      <c r="G1316" s="6">
        <v>42.05</v>
      </c>
      <c r="H1316" s="6">
        <v>42.4</v>
      </c>
      <c r="I1316" s="9">
        <v>5.3285336E7</v>
      </c>
      <c r="J1316" s="6">
        <v>2.26385062088E9</v>
      </c>
    </row>
    <row r="1317">
      <c r="A1317" s="4" t="s">
        <v>10</v>
      </c>
      <c r="B1317" s="5">
        <v>43550.0</v>
      </c>
      <c r="C1317" s="6">
        <v>42.4</v>
      </c>
      <c r="D1317" s="13">
        <f>+0.13</f>
        <v>0.13</v>
      </c>
      <c r="E1317" s="14">
        <f>+0.31%</f>
        <v>0.0031</v>
      </c>
      <c r="F1317" s="6">
        <v>42.41</v>
      </c>
      <c r="G1317" s="6">
        <v>42.18</v>
      </c>
      <c r="H1317" s="6">
        <v>42.52</v>
      </c>
      <c r="I1317" s="9">
        <v>5.7145814E7</v>
      </c>
      <c r="J1317" s="6">
        <v>2.43499792734E9</v>
      </c>
    </row>
    <row r="1318">
      <c r="A1318" s="4" t="s">
        <v>10</v>
      </c>
      <c r="B1318" s="5">
        <v>43551.0</v>
      </c>
      <c r="C1318" s="6">
        <v>41.95</v>
      </c>
      <c r="D1318" s="11">
        <v>-0.46</v>
      </c>
      <c r="E1318" s="12">
        <v>-0.0108</v>
      </c>
      <c r="F1318" s="6">
        <v>42.19</v>
      </c>
      <c r="G1318" s="6">
        <v>41.81</v>
      </c>
      <c r="H1318" s="6">
        <v>42.27</v>
      </c>
      <c r="I1318" s="9">
        <v>7.2804288E7</v>
      </c>
      <c r="J1318" s="6">
        <v>3.07781993813E9</v>
      </c>
    </row>
    <row r="1319">
      <c r="A1319" s="4" t="s">
        <v>10</v>
      </c>
      <c r="B1319" s="5">
        <v>43552.0</v>
      </c>
      <c r="C1319" s="6">
        <v>42.23</v>
      </c>
      <c r="D1319" s="13">
        <f>+0.28</f>
        <v>0.28</v>
      </c>
      <c r="E1319" s="14">
        <f>+0.66%</f>
        <v>0.0066</v>
      </c>
      <c r="F1319" s="6">
        <v>42.09</v>
      </c>
      <c r="G1319" s="6">
        <v>41.94</v>
      </c>
      <c r="H1319" s="6">
        <v>42.27</v>
      </c>
      <c r="I1319" s="9">
        <v>4.1052892E7</v>
      </c>
      <c r="J1319" s="6">
        <v>1.73980664495E9</v>
      </c>
    </row>
    <row r="1320">
      <c r="A1320" s="4" t="s">
        <v>10</v>
      </c>
      <c r="B1320" s="5">
        <v>43553.0</v>
      </c>
      <c r="C1320" s="6">
        <v>42.66</v>
      </c>
      <c r="D1320" s="13">
        <f>+0.44</f>
        <v>0.44</v>
      </c>
      <c r="E1320" s="14">
        <f>+1.04%</f>
        <v>0.0104</v>
      </c>
      <c r="F1320" s="6">
        <v>42.69</v>
      </c>
      <c r="G1320" s="6">
        <v>42.46</v>
      </c>
      <c r="H1320" s="6">
        <v>42.74</v>
      </c>
      <c r="I1320" s="9">
        <v>7.0439147E7</v>
      </c>
      <c r="J1320" s="6">
        <v>3.02291585582E9</v>
      </c>
    </row>
    <row r="1321">
      <c r="A1321" s="4" t="s">
        <v>10</v>
      </c>
      <c r="B1321" s="5">
        <v>43556.0</v>
      </c>
      <c r="C1321" s="6">
        <v>43.37</v>
      </c>
      <c r="D1321" s="13">
        <f>+0.71</f>
        <v>0.71</v>
      </c>
      <c r="E1321" s="14">
        <f>+1.65%</f>
        <v>0.0165</v>
      </c>
      <c r="F1321" s="6">
        <v>43.24</v>
      </c>
      <c r="G1321" s="6">
        <v>43.14</v>
      </c>
      <c r="H1321" s="6">
        <v>43.41</v>
      </c>
      <c r="I1321" s="9">
        <v>7.0455929E7</v>
      </c>
      <c r="J1321" s="6">
        <v>3.06951426562E9</v>
      </c>
    </row>
    <row r="1322">
      <c r="A1322" s="4" t="s">
        <v>10</v>
      </c>
      <c r="B1322" s="5">
        <v>43557.0</v>
      </c>
      <c r="C1322" s="6">
        <v>43.23</v>
      </c>
      <c r="D1322" s="11">
        <v>-0.14</v>
      </c>
      <c r="E1322" s="12">
        <v>-0.0032</v>
      </c>
      <c r="F1322" s="6">
        <v>43.41</v>
      </c>
      <c r="G1322" s="6">
        <v>43.09</v>
      </c>
      <c r="H1322" s="6">
        <v>43.43</v>
      </c>
      <c r="I1322" s="9">
        <v>4.8692186E7</v>
      </c>
      <c r="J1322" s="6">
        <v>2.1182316307E9</v>
      </c>
    </row>
    <row r="1323">
      <c r="A1323" s="4" t="s">
        <v>10</v>
      </c>
      <c r="B1323" s="5">
        <v>43558.0</v>
      </c>
      <c r="C1323" s="6">
        <v>43.53</v>
      </c>
      <c r="D1323" s="13">
        <f>+0.3</f>
        <v>0.3</v>
      </c>
      <c r="E1323" s="14">
        <f>+0.69%</f>
        <v>0.0069</v>
      </c>
      <c r="F1323" s="6">
        <v>43.65</v>
      </c>
      <c r="G1323" s="6">
        <v>43.47</v>
      </c>
      <c r="H1323" s="6">
        <v>43.88</v>
      </c>
      <c r="I1323" s="9">
        <v>7.3639431E7</v>
      </c>
      <c r="J1323" s="6">
        <v>3.23666466092E9</v>
      </c>
    </row>
    <row r="1324">
      <c r="A1324" s="4" t="s">
        <v>10</v>
      </c>
      <c r="B1324" s="5">
        <v>43559.0</v>
      </c>
      <c r="C1324" s="6">
        <v>43.8</v>
      </c>
      <c r="D1324" s="13">
        <f>+0.27</f>
        <v>0.27</v>
      </c>
      <c r="E1324" s="14">
        <f>+0.62%</f>
        <v>0.0062</v>
      </c>
      <c r="F1324" s="6">
        <v>43.52</v>
      </c>
      <c r="G1324" s="6">
        <v>43.49</v>
      </c>
      <c r="H1324" s="6">
        <v>43.88</v>
      </c>
      <c r="I1324" s="9">
        <v>4.702841E7</v>
      </c>
      <c r="J1324" s="6">
        <v>2.06872042393E9</v>
      </c>
    </row>
    <row r="1325">
      <c r="A1325" s="4" t="s">
        <v>10</v>
      </c>
      <c r="B1325" s="5">
        <v>43560.0</v>
      </c>
      <c r="C1325" s="6">
        <v>44.13</v>
      </c>
      <c r="D1325" s="13">
        <f>+0.34</f>
        <v>0.34</v>
      </c>
      <c r="E1325" s="14">
        <f>+0.77%</f>
        <v>0.0077</v>
      </c>
      <c r="F1325" s="6">
        <v>43.92</v>
      </c>
      <c r="G1325" s="6">
        <v>43.88</v>
      </c>
      <c r="H1325" s="6">
        <v>44.15</v>
      </c>
      <c r="I1325" s="9">
        <v>5.0360884E7</v>
      </c>
      <c r="J1325" s="6">
        <v>2.23384915409E9</v>
      </c>
    </row>
    <row r="1326">
      <c r="A1326" s="4" t="s">
        <v>10</v>
      </c>
      <c r="B1326" s="5">
        <v>43563.0</v>
      </c>
      <c r="C1326" s="6">
        <v>44.13</v>
      </c>
      <c r="D1326" s="11">
        <v>0.0</v>
      </c>
      <c r="E1326" s="12">
        <v>0.0</v>
      </c>
      <c r="F1326" s="6">
        <v>43.92</v>
      </c>
      <c r="G1326" s="6">
        <v>43.84</v>
      </c>
      <c r="H1326" s="6">
        <v>44.17</v>
      </c>
      <c r="I1326" s="9">
        <v>3.020901E7</v>
      </c>
      <c r="J1326" s="6">
        <v>1.33813461162E9</v>
      </c>
    </row>
    <row r="1327">
      <c r="A1327" s="4" t="s">
        <v>10</v>
      </c>
      <c r="B1327" s="5">
        <v>43564.0</v>
      </c>
      <c r="C1327" s="6">
        <v>44.04</v>
      </c>
      <c r="D1327" s="11">
        <v>-0.09</v>
      </c>
      <c r="E1327" s="12">
        <v>-0.002</v>
      </c>
      <c r="F1327" s="6">
        <v>44.16</v>
      </c>
      <c r="G1327" s="6">
        <v>44.0</v>
      </c>
      <c r="H1327" s="6">
        <v>44.19</v>
      </c>
      <c r="I1327" s="9">
        <v>4.9530348E7</v>
      </c>
      <c r="J1327" s="6">
        <v>2.19602278001E9</v>
      </c>
    </row>
    <row r="1328">
      <c r="A1328" s="4" t="s">
        <v>10</v>
      </c>
      <c r="B1328" s="5">
        <v>43565.0</v>
      </c>
      <c r="C1328" s="6">
        <v>44.25</v>
      </c>
      <c r="D1328" s="13">
        <f>+0.21</f>
        <v>0.21</v>
      </c>
      <c r="E1328" s="14">
        <f>+0.47%</f>
        <v>0.0047</v>
      </c>
      <c r="F1328" s="6">
        <v>44.23</v>
      </c>
      <c r="G1328" s="6">
        <v>44.14</v>
      </c>
      <c r="H1328" s="6">
        <v>44.37</v>
      </c>
      <c r="I1328" s="9">
        <v>5.1143393E7</v>
      </c>
      <c r="J1328" s="6">
        <v>2.2776412265E9</v>
      </c>
    </row>
    <row r="1329">
      <c r="A1329" s="4" t="s">
        <v>10</v>
      </c>
      <c r="B1329" s="5">
        <v>43566.0</v>
      </c>
      <c r="C1329" s="6">
        <v>43.78</v>
      </c>
      <c r="D1329" s="11">
        <v>-0.48</v>
      </c>
      <c r="E1329" s="12">
        <v>-0.0108</v>
      </c>
      <c r="F1329" s="6">
        <v>43.93</v>
      </c>
      <c r="G1329" s="6">
        <v>43.66</v>
      </c>
      <c r="H1329" s="6">
        <v>43.96</v>
      </c>
      <c r="I1329" s="9">
        <v>5.5153624E7</v>
      </c>
      <c r="J1329" s="6">
        <v>2.42940137156E9</v>
      </c>
    </row>
    <row r="1330">
      <c r="A1330" s="4" t="s">
        <v>10</v>
      </c>
      <c r="B1330" s="5">
        <v>43567.0</v>
      </c>
      <c r="C1330" s="6">
        <v>44.09</v>
      </c>
      <c r="D1330" s="13">
        <f>+0.32</f>
        <v>0.32</v>
      </c>
      <c r="E1330" s="14">
        <f>+0.73%</f>
        <v>0.0073</v>
      </c>
      <c r="F1330" s="6">
        <v>44.21</v>
      </c>
      <c r="G1330" s="6">
        <v>43.99</v>
      </c>
      <c r="H1330" s="6">
        <v>44.25</v>
      </c>
      <c r="I1330" s="9">
        <v>5.469566E7</v>
      </c>
      <c r="J1330" s="6">
        <v>2.42821546977E9</v>
      </c>
    </row>
    <row r="1331">
      <c r="A1331" s="4" t="s">
        <v>10</v>
      </c>
      <c r="B1331" s="5">
        <v>43570.0</v>
      </c>
      <c r="C1331" s="6">
        <v>43.87</v>
      </c>
      <c r="D1331" s="11">
        <v>-0.23</v>
      </c>
      <c r="E1331" s="12">
        <v>-0.0052</v>
      </c>
      <c r="F1331" s="6">
        <v>44.05</v>
      </c>
      <c r="G1331" s="6">
        <v>43.7</v>
      </c>
      <c r="H1331" s="6">
        <v>44.07</v>
      </c>
      <c r="I1331" s="9">
        <v>3.7958126E7</v>
      </c>
      <c r="J1331" s="6">
        <v>1.67416639396E9</v>
      </c>
    </row>
    <row r="1332">
      <c r="A1332" s="4" t="s">
        <v>10</v>
      </c>
      <c r="B1332" s="5">
        <v>43571.0</v>
      </c>
      <c r="C1332" s="6">
        <v>44.19</v>
      </c>
      <c r="D1332" s="13">
        <f>+0.33</f>
        <v>0.33</v>
      </c>
      <c r="E1332" s="14">
        <f>+0.75%</f>
        <v>0.0075</v>
      </c>
      <c r="F1332" s="6">
        <v>44.05</v>
      </c>
      <c r="G1332" s="6">
        <v>44.05</v>
      </c>
      <c r="H1332" s="6">
        <v>44.25</v>
      </c>
      <c r="I1332" s="9">
        <v>4.386011E7</v>
      </c>
      <c r="J1332" s="6">
        <v>1.94874532819E9</v>
      </c>
    </row>
    <row r="1333">
      <c r="A1333" s="4" t="s">
        <v>10</v>
      </c>
      <c r="B1333" s="5">
        <v>43572.0</v>
      </c>
      <c r="C1333" s="6">
        <v>44.32</v>
      </c>
      <c r="D1333" s="13">
        <f>+0.13</f>
        <v>0.13</v>
      </c>
      <c r="E1333" s="14">
        <f>+0.29%</f>
        <v>0.0029</v>
      </c>
      <c r="F1333" s="6">
        <v>44.5</v>
      </c>
      <c r="G1333" s="6">
        <v>44.21</v>
      </c>
      <c r="H1333" s="6">
        <v>44.57</v>
      </c>
      <c r="I1333" s="9">
        <v>5.6935425E7</v>
      </c>
      <c r="J1333" s="6">
        <v>2.54118850617E9</v>
      </c>
    </row>
    <row r="1334">
      <c r="A1334" s="4" t="s">
        <v>10</v>
      </c>
      <c r="B1334" s="5">
        <v>43573.0</v>
      </c>
      <c r="C1334" s="6">
        <v>44.29</v>
      </c>
      <c r="D1334" s="11">
        <v>-0.03</v>
      </c>
      <c r="E1334" s="12">
        <v>-7.0E-4</v>
      </c>
      <c r="F1334" s="6">
        <v>44.16</v>
      </c>
      <c r="G1334" s="6">
        <v>44.03</v>
      </c>
      <c r="H1334" s="6">
        <v>44.38</v>
      </c>
      <c r="I1334" s="9">
        <v>5.6639815E7</v>
      </c>
      <c r="J1334" s="6">
        <v>2.52086501801E9</v>
      </c>
    </row>
    <row r="1335">
      <c r="A1335" s="4" t="s">
        <v>10</v>
      </c>
      <c r="B1335" s="5">
        <v>43577.0</v>
      </c>
      <c r="C1335" s="6">
        <v>44.0</v>
      </c>
      <c r="D1335" s="11">
        <v>-0.29</v>
      </c>
      <c r="E1335" s="12">
        <v>-0.0065</v>
      </c>
      <c r="F1335" s="6">
        <v>43.88</v>
      </c>
      <c r="G1335" s="6">
        <v>43.8</v>
      </c>
      <c r="H1335" s="6">
        <v>44.05</v>
      </c>
      <c r="I1335" s="9">
        <v>3.5929135E7</v>
      </c>
      <c r="J1335" s="6">
        <v>1.58900439947E9</v>
      </c>
    </row>
    <row r="1336">
      <c r="A1336" s="4" t="s">
        <v>10</v>
      </c>
      <c r="B1336" s="5">
        <v>43578.0</v>
      </c>
      <c r="C1336" s="6">
        <v>44.1</v>
      </c>
      <c r="D1336" s="13">
        <f>+0.1</f>
        <v>0.1</v>
      </c>
      <c r="E1336" s="14">
        <f>+0.23%</f>
        <v>0.0023</v>
      </c>
      <c r="F1336" s="6">
        <v>43.93</v>
      </c>
      <c r="G1336" s="6">
        <v>43.88</v>
      </c>
      <c r="H1336" s="6">
        <v>44.18</v>
      </c>
      <c r="I1336" s="9">
        <v>3.282994E7</v>
      </c>
      <c r="J1336" s="6">
        <v>1.45424405587E9</v>
      </c>
    </row>
    <row r="1337">
      <c r="A1337" s="4" t="s">
        <v>10</v>
      </c>
      <c r="B1337" s="5">
        <v>43579.0</v>
      </c>
      <c r="C1337" s="6">
        <v>43.51</v>
      </c>
      <c r="D1337" s="11">
        <v>-0.6</v>
      </c>
      <c r="E1337" s="12">
        <v>-0.0135</v>
      </c>
      <c r="F1337" s="6">
        <v>43.81</v>
      </c>
      <c r="G1337" s="6">
        <v>43.37</v>
      </c>
      <c r="H1337" s="6">
        <v>43.82</v>
      </c>
      <c r="I1337" s="9">
        <v>6.8961589E7</v>
      </c>
      <c r="J1337" s="6">
        <v>3.02127888705E9</v>
      </c>
    </row>
    <row r="1338">
      <c r="A1338" s="4" t="s">
        <v>10</v>
      </c>
      <c r="B1338" s="5">
        <v>43580.0</v>
      </c>
      <c r="C1338" s="6">
        <v>43.45</v>
      </c>
      <c r="D1338" s="11">
        <v>-0.06</v>
      </c>
      <c r="E1338" s="12">
        <v>-0.0014</v>
      </c>
      <c r="F1338" s="6">
        <v>43.24</v>
      </c>
      <c r="G1338" s="6">
        <v>43.11</v>
      </c>
      <c r="H1338" s="6">
        <v>43.46</v>
      </c>
      <c r="I1338" s="9">
        <v>6.116848E7</v>
      </c>
      <c r="J1338" s="6">
        <v>2.66428809409E9</v>
      </c>
    </row>
    <row r="1339">
      <c r="A1339" s="4" t="s">
        <v>10</v>
      </c>
      <c r="B1339" s="5">
        <v>43581.0</v>
      </c>
      <c r="C1339" s="6">
        <v>43.62</v>
      </c>
      <c r="D1339" s="13">
        <f>+0.17</f>
        <v>0.17</v>
      </c>
      <c r="E1339" s="14">
        <f>+0.39%</f>
        <v>0.0039</v>
      </c>
      <c r="F1339" s="6">
        <v>43.52</v>
      </c>
      <c r="G1339" s="6">
        <v>43.38</v>
      </c>
      <c r="H1339" s="6">
        <v>43.7</v>
      </c>
      <c r="I1339" s="9">
        <v>5.5441688E7</v>
      </c>
      <c r="J1339" s="6">
        <v>2.42990044652E9</v>
      </c>
    </row>
    <row r="1340">
      <c r="A1340" s="4" t="s">
        <v>10</v>
      </c>
      <c r="B1340" s="5">
        <v>43584.0</v>
      </c>
      <c r="C1340" s="6">
        <v>43.71</v>
      </c>
      <c r="D1340" s="13">
        <f>+0.09</f>
        <v>0.09</v>
      </c>
      <c r="E1340" s="14">
        <f>+0.21%</f>
        <v>0.0021</v>
      </c>
      <c r="F1340" s="6">
        <v>43.74</v>
      </c>
      <c r="G1340" s="6">
        <v>43.62</v>
      </c>
      <c r="H1340" s="6">
        <v>43.79</v>
      </c>
      <c r="I1340" s="9">
        <v>3.4398276E7</v>
      </c>
      <c r="J1340" s="6">
        <v>1.51228725128E9</v>
      </c>
    </row>
    <row r="1341">
      <c r="A1341" s="4" t="s">
        <v>10</v>
      </c>
      <c r="B1341" s="5">
        <v>43585.0</v>
      </c>
      <c r="C1341" s="6">
        <v>43.67</v>
      </c>
      <c r="D1341" s="11">
        <v>-0.04</v>
      </c>
      <c r="E1341" s="12">
        <v>-9.0E-4</v>
      </c>
      <c r="F1341" s="6">
        <v>43.59</v>
      </c>
      <c r="G1341" s="6">
        <v>43.37</v>
      </c>
      <c r="H1341" s="6">
        <v>43.76</v>
      </c>
      <c r="I1341" s="9">
        <v>6.9577089E7</v>
      </c>
      <c r="J1341" s="6">
        <v>3.05241464165E9</v>
      </c>
    </row>
    <row r="1342">
      <c r="A1342" s="4" t="s">
        <v>10</v>
      </c>
      <c r="B1342" s="5">
        <v>43586.0</v>
      </c>
      <c r="C1342" s="6">
        <v>43.34</v>
      </c>
      <c r="D1342" s="11">
        <v>-0.33</v>
      </c>
      <c r="E1342" s="12">
        <v>-0.0075</v>
      </c>
      <c r="F1342" s="6">
        <v>43.75</v>
      </c>
      <c r="G1342" s="6">
        <v>43.28</v>
      </c>
      <c r="H1342" s="6">
        <v>44.08</v>
      </c>
      <c r="I1342" s="9">
        <v>9.8629108E7</v>
      </c>
      <c r="J1342" s="6">
        <v>4.33060016924E9</v>
      </c>
    </row>
    <row r="1343">
      <c r="A1343" s="4" t="s">
        <v>10</v>
      </c>
      <c r="B1343" s="5">
        <v>43587.0</v>
      </c>
      <c r="C1343" s="6">
        <v>43.44</v>
      </c>
      <c r="D1343" s="13">
        <f>+0.1</f>
        <v>0.1</v>
      </c>
      <c r="E1343" s="14">
        <f>+0.23%</f>
        <v>0.0023</v>
      </c>
      <c r="F1343" s="6">
        <v>43.44</v>
      </c>
      <c r="G1343" s="6">
        <v>43.19</v>
      </c>
      <c r="H1343" s="6">
        <v>43.59</v>
      </c>
      <c r="I1343" s="9">
        <v>5.310189E7</v>
      </c>
      <c r="J1343" s="6">
        <v>2.3184556787E9</v>
      </c>
    </row>
    <row r="1344">
      <c r="A1344" s="4" t="s">
        <v>10</v>
      </c>
      <c r="B1344" s="5">
        <v>43588.0</v>
      </c>
      <c r="C1344" s="6">
        <v>43.95</v>
      </c>
      <c r="D1344" s="13">
        <f>+0.52</f>
        <v>0.52</v>
      </c>
      <c r="E1344" s="14">
        <f>+1.19%</f>
        <v>0.0119</v>
      </c>
      <c r="F1344" s="6">
        <v>43.76</v>
      </c>
      <c r="G1344" s="6">
        <v>43.69</v>
      </c>
      <c r="H1344" s="6">
        <v>44.01</v>
      </c>
      <c r="I1344" s="9">
        <v>5.6642026E7</v>
      </c>
      <c r="J1344" s="6">
        <v>2.50223154112E9</v>
      </c>
    </row>
    <row r="1345">
      <c r="A1345" s="4" t="s">
        <v>10</v>
      </c>
      <c r="B1345" s="5">
        <v>43591.0</v>
      </c>
      <c r="C1345" s="6">
        <v>43.05</v>
      </c>
      <c r="D1345" s="11">
        <v>-0.9</v>
      </c>
      <c r="E1345" s="12">
        <v>-0.0206</v>
      </c>
      <c r="F1345" s="6">
        <v>42.58</v>
      </c>
      <c r="G1345" s="6">
        <v>42.53</v>
      </c>
      <c r="H1345" s="6">
        <v>43.13</v>
      </c>
      <c r="I1345" s="9">
        <v>8.0976981E7</v>
      </c>
      <c r="J1345" s="6">
        <v>3.49366413962E9</v>
      </c>
    </row>
    <row r="1346">
      <c r="A1346" s="4" t="s">
        <v>10</v>
      </c>
      <c r="B1346" s="5">
        <v>43592.0</v>
      </c>
      <c r="C1346" s="6">
        <v>42.21</v>
      </c>
      <c r="D1346" s="11">
        <v>-0.84</v>
      </c>
      <c r="E1346" s="12">
        <v>-0.0196</v>
      </c>
      <c r="F1346" s="6">
        <v>42.6</v>
      </c>
      <c r="G1346" s="6">
        <v>41.96</v>
      </c>
      <c r="H1346" s="6">
        <v>42.6</v>
      </c>
      <c r="I1346" s="9">
        <v>9.4189032E7</v>
      </c>
      <c r="J1346" s="6">
        <v>4.00068283914E9</v>
      </c>
    </row>
    <row r="1347">
      <c r="A1347" s="4" t="s">
        <v>10</v>
      </c>
      <c r="B1347" s="5">
        <v>43593.0</v>
      </c>
      <c r="C1347" s="6">
        <v>42.15</v>
      </c>
      <c r="D1347" s="11">
        <v>-0.06</v>
      </c>
      <c r="E1347" s="12">
        <v>-0.0014</v>
      </c>
      <c r="F1347" s="6">
        <v>42.32</v>
      </c>
      <c r="G1347" s="6">
        <v>42.13</v>
      </c>
      <c r="H1347" s="6">
        <v>42.5</v>
      </c>
      <c r="I1347" s="9">
        <v>7.3548621E7</v>
      </c>
      <c r="J1347" s="6">
        <v>3.12833305689E9</v>
      </c>
    </row>
    <row r="1348">
      <c r="A1348" s="4" t="s">
        <v>10</v>
      </c>
      <c r="B1348" s="5">
        <v>43594.0</v>
      </c>
      <c r="C1348" s="6">
        <v>41.48</v>
      </c>
      <c r="D1348" s="11">
        <v>-0.67</v>
      </c>
      <c r="E1348" s="12">
        <v>-0.0158</v>
      </c>
      <c r="F1348" s="6">
        <v>41.2</v>
      </c>
      <c r="G1348" s="6">
        <v>40.9</v>
      </c>
      <c r="H1348" s="6">
        <v>41.68</v>
      </c>
      <c r="I1348" s="9">
        <v>1.30848958E8</v>
      </c>
      <c r="J1348" s="6">
        <v>5.43623615714E9</v>
      </c>
    </row>
    <row r="1349">
      <c r="A1349" s="4" t="s">
        <v>10</v>
      </c>
      <c r="B1349" s="5">
        <v>43595.0</v>
      </c>
      <c r="C1349" s="6">
        <v>41.73</v>
      </c>
      <c r="D1349" s="13">
        <f>+0.25</f>
        <v>0.25</v>
      </c>
      <c r="E1349" s="14">
        <f>+0.6%</f>
        <v>0.006</v>
      </c>
      <c r="F1349" s="6">
        <v>41.6</v>
      </c>
      <c r="G1349" s="6">
        <v>41.09</v>
      </c>
      <c r="H1349" s="6">
        <v>41.86</v>
      </c>
      <c r="I1349" s="9">
        <v>9.0343274E7</v>
      </c>
      <c r="J1349" s="6">
        <v>3.769971639E9</v>
      </c>
    </row>
    <row r="1350">
      <c r="A1350" s="4" t="s">
        <v>10</v>
      </c>
      <c r="B1350" s="5">
        <v>43598.0</v>
      </c>
      <c r="C1350" s="6">
        <v>40.34</v>
      </c>
      <c r="D1350" s="11">
        <v>-1.39</v>
      </c>
      <c r="E1350" s="12">
        <v>-0.0333</v>
      </c>
      <c r="F1350" s="6">
        <v>40.44</v>
      </c>
      <c r="G1350" s="6">
        <v>40.14</v>
      </c>
      <c r="H1350" s="6">
        <v>40.62</v>
      </c>
      <c r="I1350" s="9">
        <v>1.54670935E8</v>
      </c>
      <c r="J1350" s="6">
        <v>6.27826133884E9</v>
      </c>
    </row>
    <row r="1351">
      <c r="A1351" s="4" t="s">
        <v>10</v>
      </c>
      <c r="B1351" s="5">
        <v>43599.0</v>
      </c>
      <c r="C1351" s="6">
        <v>40.9</v>
      </c>
      <c r="D1351" s="13">
        <f>+0.57</f>
        <v>0.57</v>
      </c>
      <c r="E1351" s="14">
        <f>+1.4%</f>
        <v>0.014</v>
      </c>
      <c r="F1351" s="6">
        <v>40.88</v>
      </c>
      <c r="G1351" s="6">
        <v>40.73</v>
      </c>
      <c r="H1351" s="6">
        <v>41.05</v>
      </c>
      <c r="I1351" s="9">
        <v>8.9406841E7</v>
      </c>
      <c r="J1351" s="6">
        <v>3.67802518269E9</v>
      </c>
    </row>
    <row r="1352">
      <c r="A1352" s="4" t="s">
        <v>10</v>
      </c>
      <c r="B1352" s="5">
        <v>43600.0</v>
      </c>
      <c r="C1352" s="6">
        <v>40.98</v>
      </c>
      <c r="D1352" s="13">
        <f>+0.08</f>
        <v>0.08</v>
      </c>
      <c r="E1352" s="14">
        <f>+0.19%</f>
        <v>0.0019</v>
      </c>
      <c r="F1352" s="6">
        <v>40.65</v>
      </c>
      <c r="G1352" s="6">
        <v>40.6</v>
      </c>
      <c r="H1352" s="6">
        <v>41.06</v>
      </c>
      <c r="I1352" s="9">
        <v>7.9039531E7</v>
      </c>
      <c r="J1352" s="6">
        <v>3.25297602808E9</v>
      </c>
    </row>
    <row r="1353">
      <c r="A1353" s="4" t="s">
        <v>10</v>
      </c>
      <c r="B1353" s="5">
        <v>43601.0</v>
      </c>
      <c r="C1353" s="6">
        <v>40.78</v>
      </c>
      <c r="D1353" s="11">
        <v>-0.2</v>
      </c>
      <c r="E1353" s="12">
        <v>-0.0049</v>
      </c>
      <c r="F1353" s="6">
        <v>40.92</v>
      </c>
      <c r="G1353" s="6">
        <v>40.76</v>
      </c>
      <c r="H1353" s="6">
        <v>41.17</v>
      </c>
      <c r="I1353" s="9">
        <v>6.0101129E7</v>
      </c>
      <c r="J1353" s="6">
        <v>2.47653898469E9</v>
      </c>
    </row>
    <row r="1354">
      <c r="A1354" s="4" t="s">
        <v>10</v>
      </c>
      <c r="B1354" s="5">
        <v>43602.0</v>
      </c>
      <c r="C1354" s="6">
        <v>40.05</v>
      </c>
      <c r="D1354" s="11">
        <v>-0.74</v>
      </c>
      <c r="E1354" s="12">
        <v>-0.018</v>
      </c>
      <c r="F1354" s="6">
        <v>40.11</v>
      </c>
      <c r="G1354" s="6">
        <v>40.01</v>
      </c>
      <c r="H1354" s="6">
        <v>40.39</v>
      </c>
      <c r="I1354" s="9">
        <v>8.3972521E7</v>
      </c>
      <c r="J1354" s="6">
        <v>3.3928966107E9</v>
      </c>
    </row>
    <row r="1355">
      <c r="A1355" s="4" t="s">
        <v>10</v>
      </c>
      <c r="B1355" s="5">
        <v>43605.0</v>
      </c>
      <c r="C1355" s="6">
        <v>39.88</v>
      </c>
      <c r="D1355" s="11">
        <v>-0.17</v>
      </c>
      <c r="E1355" s="12">
        <v>-0.0042</v>
      </c>
      <c r="F1355" s="6">
        <v>39.93</v>
      </c>
      <c r="G1355" s="6">
        <v>39.73</v>
      </c>
      <c r="H1355" s="6">
        <v>40.06</v>
      </c>
      <c r="I1355" s="9">
        <v>5.3810044E7</v>
      </c>
      <c r="J1355" s="6">
        <v>2.1600819827E9</v>
      </c>
    </row>
    <row r="1356">
      <c r="A1356" s="4" t="s">
        <v>10</v>
      </c>
      <c r="B1356" s="5">
        <v>43606.0</v>
      </c>
      <c r="C1356" s="6">
        <v>40.39</v>
      </c>
      <c r="D1356" s="13">
        <f>+0.51</f>
        <v>0.51</v>
      </c>
      <c r="E1356" s="14">
        <f>+1.27%</f>
        <v>0.0127</v>
      </c>
      <c r="F1356" s="6">
        <v>40.15</v>
      </c>
      <c r="G1356" s="6">
        <v>40.05</v>
      </c>
      <c r="H1356" s="6">
        <v>40.4</v>
      </c>
      <c r="I1356" s="9">
        <v>5.9832625E7</v>
      </c>
      <c r="J1356" s="6">
        <v>2.42460458069E9</v>
      </c>
    </row>
    <row r="1357">
      <c r="A1357" s="4" t="s">
        <v>10</v>
      </c>
      <c r="B1357" s="5">
        <v>43607.0</v>
      </c>
      <c r="C1357" s="6">
        <v>40.19</v>
      </c>
      <c r="D1357" s="11">
        <v>-0.2</v>
      </c>
      <c r="E1357" s="12">
        <v>-0.0049</v>
      </c>
      <c r="F1357" s="6">
        <v>40.34</v>
      </c>
      <c r="G1357" s="6">
        <v>40.15</v>
      </c>
      <c r="H1357" s="6">
        <v>40.38</v>
      </c>
      <c r="I1357" s="9">
        <v>4.4117578E7</v>
      </c>
      <c r="J1357" s="6">
        <v>1.78664521956E9</v>
      </c>
    </row>
    <row r="1358">
      <c r="A1358" s="4" t="s">
        <v>10</v>
      </c>
      <c r="B1358" s="5">
        <v>43608.0</v>
      </c>
      <c r="C1358" s="6">
        <v>39.67</v>
      </c>
      <c r="D1358" s="11">
        <v>-0.52</v>
      </c>
      <c r="E1358" s="12">
        <v>-0.0129</v>
      </c>
      <c r="F1358" s="6">
        <v>39.64</v>
      </c>
      <c r="G1358" s="6">
        <v>39.51</v>
      </c>
      <c r="H1358" s="6">
        <v>39.84</v>
      </c>
      <c r="I1358" s="9">
        <v>8.6731077E7</v>
      </c>
      <c r="J1358" s="6">
        <v>3.460200431E9</v>
      </c>
    </row>
    <row r="1359">
      <c r="A1359" s="4" t="s">
        <v>10</v>
      </c>
      <c r="B1359" s="5">
        <v>43609.0</v>
      </c>
      <c r="C1359" s="6">
        <v>39.71</v>
      </c>
      <c r="D1359" s="13">
        <f>+0.04</f>
        <v>0.04</v>
      </c>
      <c r="E1359" s="14">
        <f>+0.1%</f>
        <v>0.001</v>
      </c>
      <c r="F1359" s="6">
        <v>39.98</v>
      </c>
      <c r="G1359" s="6">
        <v>39.67</v>
      </c>
      <c r="H1359" s="6">
        <v>40.03</v>
      </c>
      <c r="I1359" s="9">
        <v>6.6379673E7</v>
      </c>
      <c r="J1359" s="6">
        <v>2.65636527477E9</v>
      </c>
    </row>
    <row r="1360">
      <c r="A1360" s="4" t="s">
        <v>10</v>
      </c>
      <c r="B1360" s="5">
        <v>43613.0</v>
      </c>
      <c r="C1360" s="6">
        <v>39.85</v>
      </c>
      <c r="D1360" s="13">
        <f>+0.14</f>
        <v>0.14</v>
      </c>
      <c r="E1360" s="14">
        <f>+0.35%</f>
        <v>0.0035</v>
      </c>
      <c r="F1360" s="6">
        <v>40.13</v>
      </c>
      <c r="G1360" s="6">
        <v>39.77</v>
      </c>
      <c r="H1360" s="6">
        <v>40.18</v>
      </c>
      <c r="I1360" s="9">
        <v>9.8395196E7</v>
      </c>
      <c r="J1360" s="6">
        <v>3.95244043088E9</v>
      </c>
    </row>
    <row r="1361">
      <c r="A1361" s="4" t="s">
        <v>10</v>
      </c>
      <c r="B1361" s="5">
        <v>43614.0</v>
      </c>
      <c r="C1361" s="6">
        <v>40.11</v>
      </c>
      <c r="D1361" s="13">
        <f>+0.26</f>
        <v>0.26</v>
      </c>
      <c r="E1361" s="14">
        <f>+0.65%</f>
        <v>0.0065</v>
      </c>
      <c r="F1361" s="6">
        <v>39.69</v>
      </c>
      <c r="G1361" s="6">
        <v>39.64</v>
      </c>
      <c r="H1361" s="6">
        <v>40.13</v>
      </c>
      <c r="I1361" s="9">
        <v>8.2060436E7</v>
      </c>
      <c r="J1361" s="6">
        <v>3.29459827405E9</v>
      </c>
    </row>
    <row r="1362">
      <c r="A1362" s="4" t="s">
        <v>10</v>
      </c>
      <c r="B1362" s="5">
        <v>43615.0</v>
      </c>
      <c r="C1362" s="6">
        <v>40.33</v>
      </c>
      <c r="D1362" s="13">
        <f>+0.22</f>
        <v>0.22</v>
      </c>
      <c r="E1362" s="14">
        <f>+0.55%</f>
        <v>0.0055</v>
      </c>
      <c r="F1362" s="6">
        <v>40.24</v>
      </c>
      <c r="G1362" s="6">
        <v>40.2</v>
      </c>
      <c r="H1362" s="6">
        <v>40.49</v>
      </c>
      <c r="I1362" s="9">
        <v>6.9626266E7</v>
      </c>
      <c r="J1362" s="6">
        <v>2.82647058958E9</v>
      </c>
    </row>
    <row r="1363">
      <c r="A1363" s="4" t="s">
        <v>10</v>
      </c>
      <c r="B1363" s="5">
        <v>43616.0</v>
      </c>
      <c r="C1363" s="6">
        <v>40.47</v>
      </c>
      <c r="D1363" s="13">
        <f>+0.14</f>
        <v>0.14</v>
      </c>
      <c r="E1363" s="14">
        <f>+0.35%</f>
        <v>0.0035</v>
      </c>
      <c r="F1363" s="6">
        <v>40.14</v>
      </c>
      <c r="G1363" s="6">
        <v>40.11</v>
      </c>
      <c r="H1363" s="6">
        <v>40.56</v>
      </c>
      <c r="I1363" s="9">
        <v>8.5220608E7</v>
      </c>
      <c r="J1363" s="6">
        <v>3.46681823792E9</v>
      </c>
    </row>
    <row r="1364">
      <c r="A1364" s="4" t="s">
        <v>10</v>
      </c>
      <c r="B1364" s="5">
        <v>43619.0</v>
      </c>
      <c r="C1364" s="6">
        <v>40.83</v>
      </c>
      <c r="D1364" s="13">
        <f>+0.37</f>
        <v>0.37</v>
      </c>
      <c r="E1364" s="14">
        <f>+0.91%</f>
        <v>0.0091</v>
      </c>
      <c r="F1364" s="6">
        <v>40.8</v>
      </c>
      <c r="G1364" s="6">
        <v>40.72</v>
      </c>
      <c r="H1364" s="6">
        <v>41.05</v>
      </c>
      <c r="I1364" s="9">
        <v>7.5619908E7</v>
      </c>
      <c r="J1364" s="6">
        <v>3.10905438964E9</v>
      </c>
    </row>
    <row r="1365">
      <c r="A1365" s="4" t="s">
        <v>10</v>
      </c>
      <c r="B1365" s="5">
        <v>43620.0</v>
      </c>
      <c r="C1365" s="6">
        <v>40.92</v>
      </c>
      <c r="D1365" s="13">
        <f>+0.09</f>
        <v>0.09</v>
      </c>
      <c r="E1365" s="14">
        <f>+0.22%</f>
        <v>0.0022</v>
      </c>
      <c r="F1365" s="6">
        <v>40.66</v>
      </c>
      <c r="G1365" s="6">
        <v>40.58</v>
      </c>
      <c r="H1365" s="6">
        <v>40.95</v>
      </c>
      <c r="I1365" s="9">
        <v>6.4141927E7</v>
      </c>
      <c r="J1365" s="6">
        <v>2.63128226869E9</v>
      </c>
    </row>
    <row r="1366">
      <c r="A1366" s="4" t="s">
        <v>10</v>
      </c>
      <c r="B1366" s="5">
        <v>43621.0</v>
      </c>
      <c r="C1366" s="6">
        <v>40.6</v>
      </c>
      <c r="D1366" s="11">
        <v>-0.33</v>
      </c>
      <c r="E1366" s="12">
        <v>-0.008</v>
      </c>
      <c r="F1366" s="6">
        <v>40.97</v>
      </c>
      <c r="G1366" s="6">
        <v>40.49</v>
      </c>
      <c r="H1366" s="6">
        <v>40.99</v>
      </c>
      <c r="I1366" s="9">
        <v>6.4072152E7</v>
      </c>
      <c r="J1366" s="6">
        <v>2.62073450309E9</v>
      </c>
    </row>
    <row r="1367">
      <c r="A1367" s="4" t="s">
        <v>10</v>
      </c>
      <c r="B1367" s="5">
        <v>43622.0</v>
      </c>
      <c r="C1367" s="6">
        <v>40.62</v>
      </c>
      <c r="D1367" s="13">
        <f>+0.02</f>
        <v>0.02</v>
      </c>
      <c r="E1367" s="14">
        <f>+0.05%</f>
        <v>0.0005</v>
      </c>
      <c r="F1367" s="6">
        <v>40.59</v>
      </c>
      <c r="G1367" s="6">
        <v>40.45</v>
      </c>
      <c r="H1367" s="6">
        <v>40.7</v>
      </c>
      <c r="I1367" s="9">
        <v>4.7722546E7</v>
      </c>
      <c r="J1367" s="6">
        <v>1.94844011863E9</v>
      </c>
    </row>
    <row r="1368">
      <c r="A1368" s="4" t="s">
        <v>10</v>
      </c>
      <c r="B1368" s="5">
        <v>43623.0</v>
      </c>
      <c r="C1368" s="6">
        <v>40.93</v>
      </c>
      <c r="D1368" s="13">
        <f>+0.32</f>
        <v>0.32</v>
      </c>
      <c r="E1368" s="14">
        <f>+0.78%</f>
        <v>0.0078</v>
      </c>
      <c r="F1368" s="6">
        <v>40.83</v>
      </c>
      <c r="G1368" s="6">
        <v>40.81</v>
      </c>
      <c r="H1368" s="6">
        <v>41.27</v>
      </c>
      <c r="I1368" s="9">
        <v>6.3584414E7</v>
      </c>
      <c r="J1368" s="6">
        <v>2.62510275337E9</v>
      </c>
    </row>
    <row r="1369">
      <c r="A1369" s="4" t="s">
        <v>10</v>
      </c>
      <c r="B1369" s="5">
        <v>43626.0</v>
      </c>
      <c r="C1369" s="6">
        <v>41.36</v>
      </c>
      <c r="D1369" s="13">
        <f>+0.43</f>
        <v>0.43</v>
      </c>
      <c r="E1369" s="14">
        <f>+1.04%</f>
        <v>0.0104</v>
      </c>
      <c r="F1369" s="6">
        <v>41.31</v>
      </c>
      <c r="G1369" s="6">
        <v>41.22</v>
      </c>
      <c r="H1369" s="6">
        <v>41.56</v>
      </c>
      <c r="I1369" s="9">
        <v>5.7245783E7</v>
      </c>
      <c r="J1369" s="6">
        <v>2.38453455188E9</v>
      </c>
    </row>
    <row r="1370">
      <c r="A1370" s="4" t="s">
        <v>10</v>
      </c>
      <c r="B1370" s="5">
        <v>43627.0</v>
      </c>
      <c r="C1370" s="6">
        <v>41.83</v>
      </c>
      <c r="D1370" s="13">
        <f>+0.47</f>
        <v>0.47</v>
      </c>
      <c r="E1370" s="14">
        <f>+1.13%</f>
        <v>0.0113</v>
      </c>
      <c r="F1370" s="6">
        <v>41.9</v>
      </c>
      <c r="G1370" s="6">
        <v>41.71</v>
      </c>
      <c r="H1370" s="6">
        <v>41.96</v>
      </c>
      <c r="I1370" s="9">
        <v>6.9040637E7</v>
      </c>
      <c r="J1370" s="6">
        <v>2.90651142039E9</v>
      </c>
    </row>
    <row r="1371">
      <c r="A1371" s="4" t="s">
        <v>10</v>
      </c>
      <c r="B1371" s="5">
        <v>43628.0</v>
      </c>
      <c r="C1371" s="6">
        <v>41.38</v>
      </c>
      <c r="D1371" s="11">
        <v>-0.45</v>
      </c>
      <c r="E1371" s="12">
        <v>-0.0107</v>
      </c>
      <c r="F1371" s="6">
        <v>41.53</v>
      </c>
      <c r="G1371" s="6">
        <v>41.3</v>
      </c>
      <c r="H1371" s="6">
        <v>41.56</v>
      </c>
      <c r="I1371" s="9">
        <v>5.5120584E7</v>
      </c>
      <c r="J1371" s="6">
        <v>2.2962585416E9</v>
      </c>
    </row>
    <row r="1372">
      <c r="A1372" s="4" t="s">
        <v>10</v>
      </c>
      <c r="B1372" s="5">
        <v>43629.0</v>
      </c>
      <c r="C1372" s="6">
        <v>41.31</v>
      </c>
      <c r="D1372" s="11">
        <v>-0.07</v>
      </c>
      <c r="E1372" s="12">
        <v>-0.0017</v>
      </c>
      <c r="F1372" s="6">
        <v>41.44</v>
      </c>
      <c r="G1372" s="6">
        <v>41.18</v>
      </c>
      <c r="H1372" s="6">
        <v>41.51</v>
      </c>
      <c r="I1372" s="9">
        <v>5.9717507E7</v>
      </c>
      <c r="J1372" s="6">
        <v>2.48170614644E9</v>
      </c>
    </row>
    <row r="1373">
      <c r="A1373" s="4" t="s">
        <v>10</v>
      </c>
      <c r="B1373" s="5">
        <v>43630.0</v>
      </c>
      <c r="C1373" s="6">
        <v>40.85</v>
      </c>
      <c r="D1373" s="11">
        <v>-0.46</v>
      </c>
      <c r="E1373" s="12">
        <v>-0.0111</v>
      </c>
      <c r="F1373" s="6">
        <v>41.04</v>
      </c>
      <c r="G1373" s="6">
        <v>40.83</v>
      </c>
      <c r="H1373" s="6">
        <v>41.06</v>
      </c>
      <c r="I1373" s="9">
        <v>7.1468267E7</v>
      </c>
      <c r="J1373" s="6">
        <v>2.94363545559E9</v>
      </c>
    </row>
    <row r="1374">
      <c r="A1374" s="4" t="s">
        <v>10</v>
      </c>
      <c r="B1374" s="5">
        <v>43633.0</v>
      </c>
      <c r="C1374" s="6">
        <v>40.7</v>
      </c>
      <c r="D1374" s="11">
        <v>-0.15</v>
      </c>
      <c r="E1374" s="12">
        <v>-0.0036</v>
      </c>
      <c r="F1374" s="6">
        <v>40.58</v>
      </c>
      <c r="G1374" s="6">
        <v>40.57</v>
      </c>
      <c r="H1374" s="6">
        <v>40.78</v>
      </c>
      <c r="I1374" s="9">
        <v>4.8715626E7</v>
      </c>
      <c r="J1374" s="6">
        <v>1.99479772262E9</v>
      </c>
    </row>
    <row r="1375">
      <c r="A1375" s="4" t="s">
        <v>10</v>
      </c>
      <c r="B1375" s="5">
        <v>43634.0</v>
      </c>
      <c r="C1375" s="6">
        <v>41.69</v>
      </c>
      <c r="D1375" s="13">
        <f>+0.98</f>
        <v>0.98</v>
      </c>
      <c r="E1375" s="14">
        <f>+2.42%</f>
        <v>0.0242</v>
      </c>
      <c r="F1375" s="6">
        <v>41.15</v>
      </c>
      <c r="G1375" s="6">
        <v>41.14</v>
      </c>
      <c r="H1375" s="6">
        <v>41.78</v>
      </c>
      <c r="I1375" s="9">
        <v>1.1248237E8</v>
      </c>
      <c r="J1375" s="6">
        <v>4.70511311224E9</v>
      </c>
    </row>
    <row r="1376">
      <c r="A1376" s="4" t="s">
        <v>10</v>
      </c>
      <c r="B1376" s="5">
        <v>43635.0</v>
      </c>
      <c r="C1376" s="6">
        <v>42.04</v>
      </c>
      <c r="D1376" s="13">
        <f>+0.35</f>
        <v>0.35</v>
      </c>
      <c r="E1376" s="14">
        <f>+0.83%</f>
        <v>0.0083</v>
      </c>
      <c r="F1376" s="6">
        <v>41.77</v>
      </c>
      <c r="G1376" s="6">
        <v>41.67</v>
      </c>
      <c r="H1376" s="6">
        <v>42.25</v>
      </c>
      <c r="I1376" s="9">
        <v>1.05746236E8</v>
      </c>
      <c r="J1376" s="6">
        <v>4.46238538367E9</v>
      </c>
    </row>
    <row r="1377">
      <c r="A1377" s="4" t="s">
        <v>10</v>
      </c>
      <c r="B1377" s="5">
        <v>43636.0</v>
      </c>
      <c r="C1377" s="6">
        <v>42.65</v>
      </c>
      <c r="D1377" s="13">
        <f>+0.62</f>
        <v>0.62</v>
      </c>
      <c r="E1377" s="14">
        <f>+1.47%</f>
        <v>0.0147</v>
      </c>
      <c r="F1377" s="6">
        <v>42.92</v>
      </c>
      <c r="G1377" s="6">
        <v>42.48</v>
      </c>
      <c r="H1377" s="6">
        <v>42.95</v>
      </c>
      <c r="I1377" s="9">
        <v>8.9200408E7</v>
      </c>
      <c r="J1377" s="6">
        <v>3.8328301596E9</v>
      </c>
    </row>
    <row r="1378">
      <c r="A1378" s="4" t="s">
        <v>10</v>
      </c>
      <c r="B1378" s="5">
        <v>43637.0</v>
      </c>
      <c r="C1378" s="6">
        <v>42.51</v>
      </c>
      <c r="D1378" s="11">
        <v>-0.14</v>
      </c>
      <c r="E1378" s="12">
        <v>-0.0033</v>
      </c>
      <c r="F1378" s="6">
        <v>42.48</v>
      </c>
      <c r="G1378" s="6">
        <v>42.41</v>
      </c>
      <c r="H1378" s="6">
        <v>42.61</v>
      </c>
      <c r="I1378" s="9">
        <v>5.5543967E7</v>
      </c>
      <c r="J1378" s="6">
        <v>2.37498881594E9</v>
      </c>
    </row>
    <row r="1379">
      <c r="A1379" s="4" t="s">
        <v>10</v>
      </c>
      <c r="B1379" s="5">
        <v>43640.0</v>
      </c>
      <c r="C1379" s="6">
        <v>42.45</v>
      </c>
      <c r="D1379" s="11">
        <v>-0.06</v>
      </c>
      <c r="E1379" s="12">
        <v>-0.0014</v>
      </c>
      <c r="F1379" s="6">
        <v>42.49</v>
      </c>
      <c r="G1379" s="6">
        <v>42.41</v>
      </c>
      <c r="H1379" s="6">
        <v>42.56</v>
      </c>
      <c r="I1379" s="9">
        <v>3.7025571E7</v>
      </c>
      <c r="J1379" s="6">
        <v>1.58199040665E9</v>
      </c>
    </row>
    <row r="1380">
      <c r="A1380" s="4" t="s">
        <v>10</v>
      </c>
      <c r="B1380" s="5">
        <v>43641.0</v>
      </c>
      <c r="C1380" s="6">
        <v>42.02</v>
      </c>
      <c r="D1380" s="11">
        <v>-0.44</v>
      </c>
      <c r="E1380" s="12">
        <v>-0.0103</v>
      </c>
      <c r="F1380" s="6">
        <v>42.28</v>
      </c>
      <c r="G1380" s="6">
        <v>41.96</v>
      </c>
      <c r="H1380" s="6">
        <v>42.33</v>
      </c>
      <c r="I1380" s="9">
        <v>6.2167462E7</v>
      </c>
      <c r="J1380" s="6">
        <v>2.63394023972E9</v>
      </c>
    </row>
    <row r="1381">
      <c r="A1381" s="4" t="s">
        <v>10</v>
      </c>
      <c r="B1381" s="5">
        <v>43642.0</v>
      </c>
      <c r="C1381" s="6">
        <v>42.41</v>
      </c>
      <c r="D1381" s="13">
        <f>+0.4</f>
        <v>0.4</v>
      </c>
      <c r="E1381" s="14">
        <f>+0.95%</f>
        <v>0.0095</v>
      </c>
      <c r="F1381" s="6">
        <v>42.34</v>
      </c>
      <c r="G1381" s="6">
        <v>42.31</v>
      </c>
      <c r="H1381" s="6">
        <v>42.56</v>
      </c>
      <c r="I1381" s="9">
        <v>4.5126654E7</v>
      </c>
      <c r="J1381" s="6">
        <v>1.92669310999E9</v>
      </c>
    </row>
    <row r="1382">
      <c r="A1382" s="4" t="s">
        <v>10</v>
      </c>
      <c r="B1382" s="5">
        <v>43643.0</v>
      </c>
      <c r="C1382" s="6">
        <v>42.71</v>
      </c>
      <c r="D1382" s="13">
        <f>+0.3</f>
        <v>0.3</v>
      </c>
      <c r="E1382" s="14">
        <f>+0.7%</f>
        <v>0.007</v>
      </c>
      <c r="F1382" s="6">
        <v>42.59</v>
      </c>
      <c r="G1382" s="6">
        <v>42.52</v>
      </c>
      <c r="H1382" s="6">
        <v>42.73</v>
      </c>
      <c r="I1382" s="9">
        <v>4.2358152E7</v>
      </c>
      <c r="J1382" s="6">
        <v>1.81744552325E9</v>
      </c>
    </row>
    <row r="1383">
      <c r="A1383" s="4" t="s">
        <v>10</v>
      </c>
      <c r="B1383" s="5">
        <v>43644.0</v>
      </c>
      <c r="C1383" s="6">
        <v>42.65</v>
      </c>
      <c r="D1383" s="11">
        <v>-0.06</v>
      </c>
      <c r="E1383" s="12">
        <v>-0.0014</v>
      </c>
      <c r="F1383" s="6">
        <v>42.71</v>
      </c>
      <c r="G1383" s="6">
        <v>42.52</v>
      </c>
      <c r="H1383" s="6">
        <v>42.74</v>
      </c>
      <c r="I1383" s="9">
        <v>6.6236038E7</v>
      </c>
      <c r="J1383" s="6">
        <v>2.83946029174E9</v>
      </c>
    </row>
    <row r="1384">
      <c r="A1384" s="4" t="s">
        <v>10</v>
      </c>
      <c r="B1384" s="5">
        <v>43647.0</v>
      </c>
      <c r="C1384" s="6">
        <v>43.16</v>
      </c>
      <c r="D1384" s="13">
        <f>+0.51</f>
        <v>0.51</v>
      </c>
      <c r="E1384" s="14">
        <f>+1.19%</f>
        <v>0.0119</v>
      </c>
      <c r="F1384" s="6">
        <v>43.44</v>
      </c>
      <c r="G1384" s="6">
        <v>43.0</v>
      </c>
      <c r="H1384" s="6">
        <v>43.48</v>
      </c>
      <c r="I1384" s="9">
        <v>7.3395993E7</v>
      </c>
      <c r="J1384" s="6">
        <v>3.19064822243E9</v>
      </c>
    </row>
    <row r="1385">
      <c r="A1385" s="4" t="s">
        <v>10</v>
      </c>
      <c r="B1385" s="5">
        <v>43648.0</v>
      </c>
      <c r="C1385" s="6">
        <v>43.05</v>
      </c>
      <c r="D1385" s="11">
        <v>-0.11</v>
      </c>
      <c r="E1385" s="12">
        <v>-0.0025</v>
      </c>
      <c r="F1385" s="6">
        <v>43.12</v>
      </c>
      <c r="G1385" s="6">
        <v>42.93</v>
      </c>
      <c r="H1385" s="6">
        <v>43.15</v>
      </c>
      <c r="I1385" s="9">
        <v>6.7518954E7</v>
      </c>
      <c r="J1385" s="6">
        <v>2.92282902448E9</v>
      </c>
    </row>
    <row r="1386">
      <c r="A1386" s="4" t="s">
        <v>10</v>
      </c>
      <c r="B1386" s="5">
        <v>43649.0</v>
      </c>
      <c r="C1386" s="6">
        <v>42.97</v>
      </c>
      <c r="D1386" s="11">
        <v>-0.08</v>
      </c>
      <c r="E1386" s="12">
        <v>-0.0018</v>
      </c>
      <c r="F1386" s="6">
        <v>42.85</v>
      </c>
      <c r="G1386" s="6">
        <v>42.79</v>
      </c>
      <c r="H1386" s="6">
        <v>42.97</v>
      </c>
      <c r="I1386" s="9">
        <v>3.1218534E7</v>
      </c>
      <c r="J1386" s="6">
        <v>1.34667151201E9</v>
      </c>
    </row>
    <row r="1387">
      <c r="A1387" s="4" t="s">
        <v>10</v>
      </c>
      <c r="B1387" s="5">
        <v>43651.0</v>
      </c>
      <c r="C1387" s="6">
        <v>42.67</v>
      </c>
      <c r="D1387" s="11">
        <v>-0.3</v>
      </c>
      <c r="E1387" s="12">
        <v>-0.0069</v>
      </c>
      <c r="F1387" s="6">
        <v>42.67</v>
      </c>
      <c r="G1387" s="6">
        <v>42.45</v>
      </c>
      <c r="H1387" s="6">
        <v>42.77</v>
      </c>
      <c r="I1387" s="9">
        <v>5.167801E7</v>
      </c>
      <c r="J1387" s="6">
        <v>2.21596351138E9</v>
      </c>
    </row>
    <row r="1388">
      <c r="A1388" s="4" t="s">
        <v>10</v>
      </c>
      <c r="B1388" s="5">
        <v>43654.0</v>
      </c>
      <c r="C1388" s="6">
        <v>42.41</v>
      </c>
      <c r="D1388" s="11">
        <v>-0.26</v>
      </c>
      <c r="E1388" s="12">
        <v>-0.0061</v>
      </c>
      <c r="F1388" s="6">
        <v>42.37</v>
      </c>
      <c r="G1388" s="6">
        <v>42.3</v>
      </c>
      <c r="H1388" s="6">
        <v>42.47</v>
      </c>
      <c r="I1388" s="9">
        <v>3.7679412E7</v>
      </c>
      <c r="J1388" s="6">
        <v>1.6077809608E9</v>
      </c>
    </row>
    <row r="1389">
      <c r="A1389" s="4" t="s">
        <v>10</v>
      </c>
      <c r="B1389" s="5">
        <v>43655.0</v>
      </c>
      <c r="C1389" s="6">
        <v>42.28</v>
      </c>
      <c r="D1389" s="11">
        <v>-0.13</v>
      </c>
      <c r="E1389" s="12">
        <v>-0.003</v>
      </c>
      <c r="F1389" s="6">
        <v>42.08</v>
      </c>
      <c r="G1389" s="6">
        <v>42.07</v>
      </c>
      <c r="H1389" s="6">
        <v>42.33</v>
      </c>
      <c r="I1389" s="9">
        <v>2.822761E7</v>
      </c>
      <c r="J1389" s="6">
        <v>1.20029351193E9</v>
      </c>
    </row>
    <row r="1390">
      <c r="A1390" s="4" t="s">
        <v>10</v>
      </c>
      <c r="B1390" s="5">
        <v>43656.0</v>
      </c>
      <c r="C1390" s="6">
        <v>42.64</v>
      </c>
      <c r="D1390" s="13">
        <f>+0.36</f>
        <v>0.36</v>
      </c>
      <c r="E1390" s="14">
        <f>+0.85%</f>
        <v>0.0085</v>
      </c>
      <c r="F1390" s="6">
        <v>42.71</v>
      </c>
      <c r="G1390" s="6">
        <v>42.6</v>
      </c>
      <c r="H1390" s="6">
        <v>42.87</v>
      </c>
      <c r="I1390" s="9">
        <v>5.367306E7</v>
      </c>
      <c r="J1390" s="6">
        <v>2.30577852965E9</v>
      </c>
    </row>
    <row r="1391">
      <c r="A1391" s="4" t="s">
        <v>10</v>
      </c>
      <c r="B1391" s="5">
        <v>43657.0</v>
      </c>
      <c r="C1391" s="6">
        <v>42.56</v>
      </c>
      <c r="D1391" s="11">
        <v>-0.08</v>
      </c>
      <c r="E1391" s="12">
        <v>-0.0019</v>
      </c>
      <c r="F1391" s="6">
        <v>42.79</v>
      </c>
      <c r="G1391" s="6">
        <v>42.44</v>
      </c>
      <c r="H1391" s="6">
        <v>42.79</v>
      </c>
      <c r="I1391" s="9">
        <v>4.4486089E7</v>
      </c>
      <c r="J1391" s="6">
        <v>1.90582718451E9</v>
      </c>
    </row>
    <row r="1392">
      <c r="A1392" s="4" t="s">
        <v>10</v>
      </c>
      <c r="B1392" s="5">
        <v>43658.0</v>
      </c>
      <c r="C1392" s="6">
        <v>42.59</v>
      </c>
      <c r="D1392" s="13">
        <f>+0.03</f>
        <v>0.03</v>
      </c>
      <c r="E1392" s="14">
        <f>+0.07%</f>
        <v>0.0007</v>
      </c>
      <c r="F1392" s="6">
        <v>42.6</v>
      </c>
      <c r="G1392" s="6">
        <v>42.42</v>
      </c>
      <c r="H1392" s="6">
        <v>42.63</v>
      </c>
      <c r="I1392" s="9">
        <v>3.0512213E7</v>
      </c>
      <c r="J1392" s="6">
        <v>1.3063140469E9</v>
      </c>
    </row>
    <row r="1393">
      <c r="A1393" s="4" t="s">
        <v>10</v>
      </c>
      <c r="B1393" s="5">
        <v>43661.0</v>
      </c>
      <c r="C1393" s="6">
        <v>42.75</v>
      </c>
      <c r="D1393" s="13">
        <f>+0.16</f>
        <v>0.16</v>
      </c>
      <c r="E1393" s="14">
        <f>+0.37%</f>
        <v>0.0037</v>
      </c>
      <c r="F1393" s="6">
        <v>42.77</v>
      </c>
      <c r="G1393" s="6">
        <v>42.71</v>
      </c>
      <c r="H1393" s="6">
        <v>42.84</v>
      </c>
      <c r="I1393" s="9">
        <v>2.8026464E7</v>
      </c>
      <c r="J1393" s="6">
        <v>1.205734233E9</v>
      </c>
    </row>
    <row r="1394">
      <c r="A1394" s="4" t="s">
        <v>10</v>
      </c>
      <c r="B1394" s="5">
        <v>43662.0</v>
      </c>
      <c r="C1394" s="6">
        <v>42.69</v>
      </c>
      <c r="D1394" s="11">
        <v>-0.06</v>
      </c>
      <c r="E1394" s="12">
        <v>-0.0014</v>
      </c>
      <c r="F1394" s="6">
        <v>42.8</v>
      </c>
      <c r="G1394" s="6">
        <v>42.65</v>
      </c>
      <c r="H1394" s="6">
        <v>42.92</v>
      </c>
      <c r="I1394" s="9">
        <v>3.7093688E7</v>
      </c>
      <c r="J1394" s="6">
        <v>1.59667717304E9</v>
      </c>
    </row>
    <row r="1395">
      <c r="A1395" s="4" t="s">
        <v>10</v>
      </c>
      <c r="B1395" s="5">
        <v>43663.0</v>
      </c>
      <c r="C1395" s="6">
        <v>42.56</v>
      </c>
      <c r="D1395" s="11">
        <v>-0.13</v>
      </c>
      <c r="E1395" s="12">
        <v>-0.003</v>
      </c>
      <c r="F1395" s="6">
        <v>42.67</v>
      </c>
      <c r="G1395" s="6">
        <v>42.51</v>
      </c>
      <c r="H1395" s="6">
        <v>42.75</v>
      </c>
      <c r="I1395" s="9">
        <v>3.2866045E7</v>
      </c>
      <c r="J1395" s="6">
        <v>1.40916380804E9</v>
      </c>
    </row>
    <row r="1396">
      <c r="A1396" s="4" t="s">
        <v>10</v>
      </c>
      <c r="B1396" s="5">
        <v>43664.0</v>
      </c>
      <c r="C1396" s="6">
        <v>42.82</v>
      </c>
      <c r="D1396" s="13">
        <f>+0.26</f>
        <v>0.26</v>
      </c>
      <c r="E1396" s="14">
        <f>+0.61%</f>
        <v>0.0061</v>
      </c>
      <c r="F1396" s="6">
        <v>42.54</v>
      </c>
      <c r="G1396" s="6">
        <v>42.52</v>
      </c>
      <c r="H1396" s="6">
        <v>42.87</v>
      </c>
      <c r="I1396" s="9">
        <v>6.3380468E7</v>
      </c>
      <c r="J1396" s="6">
        <v>2.72599495057E9</v>
      </c>
    </row>
    <row r="1397">
      <c r="A1397" s="4" t="s">
        <v>10</v>
      </c>
      <c r="B1397" s="5">
        <v>43665.0</v>
      </c>
      <c r="C1397" s="6">
        <v>42.6</v>
      </c>
      <c r="D1397" s="11">
        <v>-0.22</v>
      </c>
      <c r="E1397" s="12">
        <v>-0.0051</v>
      </c>
      <c r="F1397" s="6">
        <v>42.94</v>
      </c>
      <c r="G1397" s="6">
        <v>42.56</v>
      </c>
      <c r="H1397" s="6">
        <v>42.96</v>
      </c>
      <c r="I1397" s="9">
        <v>8.1774913E7</v>
      </c>
      <c r="J1397" s="6">
        <v>3.5151705379E9</v>
      </c>
    </row>
    <row r="1398">
      <c r="A1398" s="4" t="s">
        <v>10</v>
      </c>
      <c r="B1398" s="5">
        <v>43668.0</v>
      </c>
      <c r="C1398" s="6">
        <v>42.61</v>
      </c>
      <c r="D1398" s="13">
        <f>+0.01</f>
        <v>0.01</v>
      </c>
      <c r="E1398" s="14">
        <f>+0.02%</f>
        <v>0.0002</v>
      </c>
      <c r="F1398" s="6">
        <v>42.71</v>
      </c>
      <c r="G1398" s="6">
        <v>42.58</v>
      </c>
      <c r="H1398" s="6">
        <v>42.77</v>
      </c>
      <c r="I1398" s="9">
        <v>2.9826345E7</v>
      </c>
      <c r="J1398" s="6">
        <v>1.27959970517E9</v>
      </c>
    </row>
    <row r="1399">
      <c r="A1399" s="4" t="s">
        <v>10</v>
      </c>
      <c r="B1399" s="5">
        <v>43669.0</v>
      </c>
      <c r="C1399" s="6">
        <v>42.66</v>
      </c>
      <c r="D1399" s="13">
        <f>+0.05</f>
        <v>0.05</v>
      </c>
      <c r="E1399" s="14">
        <f>+0.12%</f>
        <v>0.0012</v>
      </c>
      <c r="F1399" s="6">
        <v>42.66</v>
      </c>
      <c r="G1399" s="6">
        <v>42.49</v>
      </c>
      <c r="H1399" s="6">
        <v>42.76</v>
      </c>
      <c r="I1399" s="9">
        <v>3.7246383E7</v>
      </c>
      <c r="J1399" s="6">
        <v>1.5968036699E9</v>
      </c>
    </row>
    <row r="1400">
      <c r="A1400" s="4" t="s">
        <v>10</v>
      </c>
      <c r="B1400" s="5">
        <v>43670.0</v>
      </c>
      <c r="C1400" s="6">
        <v>42.73</v>
      </c>
      <c r="D1400" s="13">
        <f>+0.07</f>
        <v>0.07</v>
      </c>
      <c r="E1400" s="14">
        <f>+0.16%</f>
        <v>0.0016</v>
      </c>
      <c r="F1400" s="6">
        <v>42.61</v>
      </c>
      <c r="G1400" s="6">
        <v>42.61</v>
      </c>
      <c r="H1400" s="6">
        <v>42.76</v>
      </c>
      <c r="I1400" s="9">
        <v>4.0358793E7</v>
      </c>
      <c r="J1400" s="6">
        <v>1.73372710578E9</v>
      </c>
    </row>
    <row r="1401">
      <c r="A1401" s="4" t="s">
        <v>10</v>
      </c>
      <c r="B1401" s="5">
        <v>43671.0</v>
      </c>
      <c r="C1401" s="6">
        <v>42.35</v>
      </c>
      <c r="D1401" s="11">
        <v>-0.38</v>
      </c>
      <c r="E1401" s="12">
        <v>-0.0088</v>
      </c>
      <c r="F1401" s="6">
        <v>42.64</v>
      </c>
      <c r="G1401" s="6">
        <v>42.27</v>
      </c>
      <c r="H1401" s="6">
        <v>42.85</v>
      </c>
      <c r="I1401" s="9">
        <v>5.5327733E7</v>
      </c>
      <c r="J1401" s="6">
        <v>2.35950811691E9</v>
      </c>
    </row>
    <row r="1402">
      <c r="A1402" s="4" t="s">
        <v>10</v>
      </c>
      <c r="B1402" s="5">
        <v>43672.0</v>
      </c>
      <c r="C1402" s="6">
        <v>42.44</v>
      </c>
      <c r="D1402" s="13">
        <f>+0.09</f>
        <v>0.09</v>
      </c>
      <c r="E1402" s="14">
        <f>+0.21%</f>
        <v>0.0021</v>
      </c>
      <c r="F1402" s="6">
        <v>42.52</v>
      </c>
      <c r="G1402" s="6">
        <v>42.32</v>
      </c>
      <c r="H1402" s="6">
        <v>42.56</v>
      </c>
      <c r="I1402" s="9">
        <v>3.306863E7</v>
      </c>
      <c r="J1402" s="6">
        <v>1.41179836775E9</v>
      </c>
    </row>
    <row r="1403">
      <c r="A1403" s="4" t="s">
        <v>10</v>
      </c>
      <c r="B1403" s="5">
        <v>43675.0</v>
      </c>
      <c r="C1403" s="6">
        <v>42.36</v>
      </c>
      <c r="D1403" s="11">
        <v>-0.08</v>
      </c>
      <c r="E1403" s="12">
        <v>-0.0019</v>
      </c>
      <c r="F1403" s="6">
        <v>42.3</v>
      </c>
      <c r="G1403" s="6">
        <v>42.16</v>
      </c>
      <c r="H1403" s="6">
        <v>42.39</v>
      </c>
      <c r="I1403" s="9">
        <v>3.191238E7</v>
      </c>
      <c r="J1403" s="6">
        <v>1.35744428834E9</v>
      </c>
    </row>
    <row r="1404">
      <c r="A1404" s="4" t="s">
        <v>10</v>
      </c>
      <c r="B1404" s="5">
        <v>43676.0</v>
      </c>
      <c r="C1404" s="6">
        <v>42.04</v>
      </c>
      <c r="D1404" s="11">
        <v>-0.33</v>
      </c>
      <c r="E1404" s="12">
        <v>-0.0077</v>
      </c>
      <c r="F1404" s="6">
        <v>42.04</v>
      </c>
      <c r="G1404" s="6">
        <v>41.91</v>
      </c>
      <c r="H1404" s="6">
        <v>42.18</v>
      </c>
      <c r="I1404" s="9">
        <v>5.7335796E7</v>
      </c>
      <c r="J1404" s="6">
        <v>2.42225238443E9</v>
      </c>
    </row>
    <row r="1405">
      <c r="A1405" s="4" t="s">
        <v>10</v>
      </c>
      <c r="B1405" s="5">
        <v>43677.0</v>
      </c>
      <c r="C1405" s="6">
        <v>41.52</v>
      </c>
      <c r="D1405" s="11">
        <v>-0.52</v>
      </c>
      <c r="E1405" s="12">
        <v>-0.0123</v>
      </c>
      <c r="F1405" s="6">
        <v>42.02</v>
      </c>
      <c r="G1405" s="6">
        <v>41.03</v>
      </c>
      <c r="H1405" s="6">
        <v>42.04</v>
      </c>
      <c r="I1405" s="9">
        <v>9.8764739E7</v>
      </c>
      <c r="J1405" s="6">
        <v>4.139924547E9</v>
      </c>
    </row>
    <row r="1406">
      <c r="A1406" s="4" t="s">
        <v>10</v>
      </c>
      <c r="B1406" s="5">
        <v>43678.0</v>
      </c>
      <c r="C1406" s="6">
        <v>40.7</v>
      </c>
      <c r="D1406" s="11">
        <v>-0.82</v>
      </c>
      <c r="E1406" s="12">
        <v>-0.0196</v>
      </c>
      <c r="F1406" s="6">
        <v>41.53</v>
      </c>
      <c r="G1406" s="6">
        <v>40.6</v>
      </c>
      <c r="H1406" s="6">
        <v>41.85</v>
      </c>
      <c r="I1406" s="9">
        <v>1.39325851E8</v>
      </c>
      <c r="J1406" s="6">
        <v>5.75959302204E9</v>
      </c>
    </row>
    <row r="1407">
      <c r="A1407" s="4" t="s">
        <v>10</v>
      </c>
      <c r="B1407" s="5">
        <v>43679.0</v>
      </c>
      <c r="C1407" s="6">
        <v>40.31</v>
      </c>
      <c r="D1407" s="11">
        <v>-0.4</v>
      </c>
      <c r="E1407" s="12">
        <v>-0.0098</v>
      </c>
      <c r="F1407" s="6">
        <v>40.55</v>
      </c>
      <c r="G1407" s="6">
        <v>40.19</v>
      </c>
      <c r="H1407" s="6">
        <v>40.63</v>
      </c>
      <c r="I1407" s="9">
        <v>9.2796263E7</v>
      </c>
      <c r="J1407" s="6">
        <v>3.76563244649E9</v>
      </c>
    </row>
    <row r="1408">
      <c r="A1408" s="4" t="s">
        <v>10</v>
      </c>
      <c r="B1408" s="5">
        <v>43682.0</v>
      </c>
      <c r="C1408" s="6">
        <v>38.82</v>
      </c>
      <c r="D1408" s="11">
        <v>-1.49</v>
      </c>
      <c r="E1408" s="12">
        <v>-0.037</v>
      </c>
      <c r="F1408" s="6">
        <v>39.19</v>
      </c>
      <c r="G1408" s="6">
        <v>38.62</v>
      </c>
      <c r="H1408" s="6">
        <v>39.27</v>
      </c>
      <c r="I1408" s="9">
        <v>1.31194119E8</v>
      </c>
      <c r="J1408" s="6">
        <v>5.13661096168E9</v>
      </c>
    </row>
    <row r="1409">
      <c r="A1409" s="4" t="s">
        <v>10</v>
      </c>
      <c r="B1409" s="5">
        <v>43683.0</v>
      </c>
      <c r="C1409" s="6">
        <v>39.37</v>
      </c>
      <c r="D1409" s="13">
        <f>+0.56</f>
        <v>0.56</v>
      </c>
      <c r="E1409" s="14">
        <f>+1.43%</f>
        <v>0.0143</v>
      </c>
      <c r="F1409" s="6">
        <v>39.48</v>
      </c>
      <c r="G1409" s="6">
        <v>39.11</v>
      </c>
      <c r="H1409" s="6">
        <v>39.57</v>
      </c>
      <c r="I1409" s="9">
        <v>8.8071482E7</v>
      </c>
      <c r="J1409" s="6">
        <v>3.48419536469E9</v>
      </c>
    </row>
    <row r="1410">
      <c r="A1410" s="4" t="s">
        <v>10</v>
      </c>
      <c r="B1410" s="5">
        <v>43684.0</v>
      </c>
      <c r="C1410" s="6">
        <v>39.55</v>
      </c>
      <c r="D1410" s="13">
        <f>+0.18</f>
        <v>0.18</v>
      </c>
      <c r="E1410" s="14">
        <f>+0.45%</f>
        <v>0.0045</v>
      </c>
      <c r="F1410" s="6">
        <v>38.97</v>
      </c>
      <c r="G1410" s="6">
        <v>38.82</v>
      </c>
      <c r="H1410" s="6">
        <v>39.57</v>
      </c>
      <c r="I1410" s="9">
        <v>1.0677254E8</v>
      </c>
      <c r="J1410" s="6">
        <v>4.21687128938E9</v>
      </c>
    </row>
    <row r="1411">
      <c r="A1411" s="4" t="s">
        <v>10</v>
      </c>
      <c r="B1411" s="5">
        <v>43685.0</v>
      </c>
      <c r="C1411" s="6">
        <v>40.04</v>
      </c>
      <c r="D1411" s="13">
        <f>+0.49</f>
        <v>0.49</v>
      </c>
      <c r="E1411" s="14">
        <f>+1.23%</f>
        <v>0.0123</v>
      </c>
      <c r="F1411" s="6">
        <v>39.8</v>
      </c>
      <c r="G1411" s="6">
        <v>39.7</v>
      </c>
      <c r="H1411" s="6">
        <v>40.06</v>
      </c>
      <c r="I1411" s="9">
        <v>8.118774E7</v>
      </c>
      <c r="J1411" s="6">
        <v>3.26250518598E9</v>
      </c>
    </row>
    <row r="1412">
      <c r="A1412" s="4" t="s">
        <v>10</v>
      </c>
      <c r="B1412" s="5">
        <v>43686.0</v>
      </c>
      <c r="C1412" s="6">
        <v>39.63</v>
      </c>
      <c r="D1412" s="11">
        <v>-0.41</v>
      </c>
      <c r="E1412" s="12">
        <v>-0.0102</v>
      </c>
      <c r="F1412" s="6">
        <v>39.79</v>
      </c>
      <c r="G1412" s="6">
        <v>39.46</v>
      </c>
      <c r="H1412" s="6">
        <v>39.85</v>
      </c>
      <c r="I1412" s="9">
        <v>6.4703987E7</v>
      </c>
      <c r="J1412" s="6">
        <v>2.57848624062E9</v>
      </c>
    </row>
    <row r="1413">
      <c r="A1413" s="4" t="s">
        <v>10</v>
      </c>
      <c r="B1413" s="5">
        <v>43689.0</v>
      </c>
      <c r="C1413" s="6">
        <v>39.15</v>
      </c>
      <c r="D1413" s="11">
        <v>-0.48</v>
      </c>
      <c r="E1413" s="12">
        <v>-0.012</v>
      </c>
      <c r="F1413" s="6">
        <v>39.13</v>
      </c>
      <c r="G1413" s="6">
        <v>39.04</v>
      </c>
      <c r="H1413" s="6">
        <v>39.28</v>
      </c>
      <c r="I1413" s="9">
        <v>7.8559798E7</v>
      </c>
      <c r="J1413" s="6">
        <v>3.12770734057E9</v>
      </c>
    </row>
    <row r="1414">
      <c r="A1414" s="4" t="s">
        <v>10</v>
      </c>
      <c r="B1414" s="5">
        <v>43690.0</v>
      </c>
      <c r="C1414" s="6">
        <v>39.65</v>
      </c>
      <c r="D1414" s="13">
        <f>+0.5</f>
        <v>0.5</v>
      </c>
      <c r="E1414" s="14">
        <f>+1.27%</f>
        <v>0.0127</v>
      </c>
      <c r="F1414" s="6">
        <v>38.86</v>
      </c>
      <c r="G1414" s="6">
        <v>38.79</v>
      </c>
      <c r="H1414" s="6">
        <v>39.87</v>
      </c>
      <c r="I1414" s="9">
        <v>1.10812058E8</v>
      </c>
      <c r="J1414" s="6">
        <v>4.41036680433E9</v>
      </c>
    </row>
    <row r="1415">
      <c r="A1415" s="4" t="s">
        <v>10</v>
      </c>
      <c r="B1415" s="5">
        <v>43691.0</v>
      </c>
      <c r="C1415" s="6">
        <v>38.51</v>
      </c>
      <c r="D1415" s="11">
        <v>-1.14</v>
      </c>
      <c r="E1415" s="12">
        <v>-0.0288</v>
      </c>
      <c r="F1415" s="6">
        <v>38.86</v>
      </c>
      <c r="G1415" s="6">
        <v>38.49</v>
      </c>
      <c r="H1415" s="6">
        <v>38.96</v>
      </c>
      <c r="I1415" s="9">
        <v>1.02911485E8</v>
      </c>
      <c r="J1415" s="6">
        <v>4.00433426407E9</v>
      </c>
    </row>
    <row r="1416">
      <c r="A1416" s="4" t="s">
        <v>10</v>
      </c>
      <c r="B1416" s="5">
        <v>43692.0</v>
      </c>
      <c r="C1416" s="6">
        <v>38.77</v>
      </c>
      <c r="D1416" s="13">
        <f>+0.26</f>
        <v>0.26</v>
      </c>
      <c r="E1416" s="14">
        <f>+0.67%</f>
        <v>0.0067</v>
      </c>
      <c r="F1416" s="6">
        <v>38.87</v>
      </c>
      <c r="G1416" s="6">
        <v>38.58</v>
      </c>
      <c r="H1416" s="6">
        <v>38.93</v>
      </c>
      <c r="I1416" s="9">
        <v>7.8403199E7</v>
      </c>
      <c r="J1416" s="6">
        <v>3.05751833272E9</v>
      </c>
    </row>
    <row r="1417">
      <c r="A1417" s="4" t="s">
        <v>10</v>
      </c>
      <c r="B1417" s="5">
        <v>43693.0</v>
      </c>
      <c r="C1417" s="6">
        <v>39.3</v>
      </c>
      <c r="D1417" s="13">
        <f>+0.54</f>
        <v>0.54</v>
      </c>
      <c r="E1417" s="14">
        <f>+1.38%</f>
        <v>0.0138</v>
      </c>
      <c r="F1417" s="6">
        <v>39.12</v>
      </c>
      <c r="G1417" s="6">
        <v>39.12</v>
      </c>
      <c r="H1417" s="6">
        <v>39.4</v>
      </c>
      <c r="I1417" s="9">
        <v>5.3443372E7</v>
      </c>
      <c r="J1417" s="6">
        <v>2.11310506698E9</v>
      </c>
    </row>
    <row r="1418">
      <c r="A1418" s="4" t="s">
        <v>10</v>
      </c>
      <c r="B1418" s="5">
        <v>43696.0</v>
      </c>
      <c r="C1418" s="6">
        <v>39.46</v>
      </c>
      <c r="D1418" s="13">
        <f>+0.16</f>
        <v>0.16</v>
      </c>
      <c r="E1418" s="14">
        <f>+0.4%</f>
        <v>0.004</v>
      </c>
      <c r="F1418" s="6">
        <v>39.8</v>
      </c>
      <c r="G1418" s="6">
        <v>39.43</v>
      </c>
      <c r="H1418" s="6">
        <v>39.81</v>
      </c>
      <c r="I1418" s="9">
        <v>4.3331556E7</v>
      </c>
      <c r="J1418" s="6">
        <v>1.7244193167E9</v>
      </c>
    </row>
    <row r="1419">
      <c r="A1419" s="4" t="s">
        <v>10</v>
      </c>
      <c r="B1419" s="5">
        <v>43697.0</v>
      </c>
      <c r="C1419" s="6">
        <v>39.54</v>
      </c>
      <c r="D1419" s="13">
        <f>+0.08</f>
        <v>0.08</v>
      </c>
      <c r="E1419" s="14">
        <f>+0.2%</f>
        <v>0.002</v>
      </c>
      <c r="F1419" s="6">
        <v>39.59</v>
      </c>
      <c r="G1419" s="6">
        <v>39.49</v>
      </c>
      <c r="H1419" s="6">
        <v>39.73</v>
      </c>
      <c r="I1419" s="9">
        <v>4.4922944E7</v>
      </c>
      <c r="J1419" s="6">
        <v>1.78999500936E9</v>
      </c>
    </row>
    <row r="1420">
      <c r="A1420" s="4" t="s">
        <v>10</v>
      </c>
      <c r="B1420" s="5">
        <v>43698.0</v>
      </c>
      <c r="C1420" s="6">
        <v>39.92</v>
      </c>
      <c r="D1420" s="13">
        <f>+0.38</f>
        <v>0.38</v>
      </c>
      <c r="E1420" s="14">
        <f>+0.96%</f>
        <v>0.0096</v>
      </c>
      <c r="F1420" s="6">
        <v>39.96</v>
      </c>
      <c r="G1420" s="6">
        <v>39.73</v>
      </c>
      <c r="H1420" s="6">
        <v>39.96</v>
      </c>
      <c r="I1420" s="9">
        <v>4.1678152E7</v>
      </c>
      <c r="J1420" s="6">
        <v>1.67159603913E9</v>
      </c>
    </row>
    <row r="1421">
      <c r="A1421" s="4" t="s">
        <v>10</v>
      </c>
      <c r="B1421" s="5">
        <v>43699.0</v>
      </c>
      <c r="C1421" s="6">
        <v>39.4</v>
      </c>
      <c r="D1421" s="11">
        <v>-0.52</v>
      </c>
      <c r="E1421" s="12">
        <v>-0.0129</v>
      </c>
      <c r="F1421" s="6">
        <v>39.62</v>
      </c>
      <c r="G1421" s="6">
        <v>39.29</v>
      </c>
      <c r="H1421" s="6">
        <v>39.68</v>
      </c>
      <c r="I1421" s="9">
        <v>4.1603816E7</v>
      </c>
      <c r="J1421" s="6">
        <v>1.65038770526E9</v>
      </c>
    </row>
    <row r="1422">
      <c r="A1422" s="4" t="s">
        <v>10</v>
      </c>
      <c r="B1422" s="5">
        <v>43700.0</v>
      </c>
      <c r="C1422" s="6">
        <v>38.82</v>
      </c>
      <c r="D1422" s="11">
        <v>-0.59</v>
      </c>
      <c r="E1422" s="12">
        <v>-0.0149</v>
      </c>
      <c r="F1422" s="6">
        <v>39.31</v>
      </c>
      <c r="G1422" s="6">
        <v>38.76</v>
      </c>
      <c r="H1422" s="6">
        <v>39.69</v>
      </c>
      <c r="I1422" s="9">
        <v>8.0562617E7</v>
      </c>
      <c r="J1422" s="6">
        <v>3.16458523222E9</v>
      </c>
    </row>
    <row r="1423">
      <c r="A1423" s="4" t="s">
        <v>10</v>
      </c>
      <c r="B1423" s="5">
        <v>43703.0</v>
      </c>
      <c r="C1423" s="6">
        <v>39.02</v>
      </c>
      <c r="D1423" s="13">
        <f>+0.21</f>
        <v>0.21</v>
      </c>
      <c r="E1423" s="14">
        <f>+0.54%</f>
        <v>0.0054</v>
      </c>
      <c r="F1423" s="6">
        <v>39.09</v>
      </c>
      <c r="G1423" s="6">
        <v>38.93</v>
      </c>
      <c r="H1423" s="6">
        <v>39.14</v>
      </c>
      <c r="I1423" s="9">
        <v>5.8145024E7</v>
      </c>
      <c r="J1423" s="6">
        <v>2.28335678996E9</v>
      </c>
    </row>
    <row r="1424">
      <c r="A1424" s="4" t="s">
        <v>10</v>
      </c>
      <c r="B1424" s="5">
        <v>43704.0</v>
      </c>
      <c r="C1424" s="6">
        <v>39.09</v>
      </c>
      <c r="D1424" s="13">
        <f>+0.07</f>
        <v>0.07</v>
      </c>
      <c r="E1424" s="14">
        <f>+0.18%</f>
        <v>0.0018</v>
      </c>
      <c r="F1424" s="6">
        <v>39.29</v>
      </c>
      <c r="G1424" s="6">
        <v>39.06</v>
      </c>
      <c r="H1424" s="6">
        <v>39.43</v>
      </c>
      <c r="I1424" s="9">
        <v>6.2905351E7</v>
      </c>
      <c r="J1424" s="6">
        <v>2.48240388355E9</v>
      </c>
    </row>
    <row r="1425">
      <c r="A1425" s="4" t="s">
        <v>10</v>
      </c>
      <c r="B1425" s="5">
        <v>43705.0</v>
      </c>
      <c r="C1425" s="6">
        <v>39.2</v>
      </c>
      <c r="D1425" s="13">
        <f>+0.11</f>
        <v>0.11</v>
      </c>
      <c r="E1425" s="14">
        <f>+0.28%</f>
        <v>0.0028</v>
      </c>
      <c r="F1425" s="6">
        <v>39.02</v>
      </c>
      <c r="G1425" s="6">
        <v>38.93</v>
      </c>
      <c r="H1425" s="6">
        <v>39.27</v>
      </c>
      <c r="I1425" s="9">
        <v>4.9484638E7</v>
      </c>
      <c r="J1425" s="6">
        <v>1.94955674717E9</v>
      </c>
    </row>
    <row r="1426">
      <c r="A1426" s="4" t="s">
        <v>10</v>
      </c>
      <c r="B1426" s="5">
        <v>43706.0</v>
      </c>
      <c r="C1426" s="6">
        <v>39.64</v>
      </c>
      <c r="D1426" s="13">
        <f>+0.44</f>
        <v>0.44</v>
      </c>
      <c r="E1426" s="14">
        <f>+1.12%</f>
        <v>0.0112</v>
      </c>
      <c r="F1426" s="6">
        <v>39.45</v>
      </c>
      <c r="G1426" s="6">
        <v>39.31</v>
      </c>
      <c r="H1426" s="6">
        <v>39.67</v>
      </c>
      <c r="I1426" s="9">
        <v>4.3360547E7</v>
      </c>
      <c r="J1426" s="6">
        <v>1.72587994187E9</v>
      </c>
    </row>
    <row r="1427">
      <c r="A1427" s="4" t="s">
        <v>10</v>
      </c>
      <c r="B1427" s="5">
        <v>43707.0</v>
      </c>
      <c r="C1427" s="6">
        <v>39.95</v>
      </c>
      <c r="D1427" s="13">
        <f>+0.31</f>
        <v>0.31</v>
      </c>
      <c r="E1427" s="14">
        <f>+0.78%</f>
        <v>0.0078</v>
      </c>
      <c r="F1427" s="6">
        <v>39.97</v>
      </c>
      <c r="G1427" s="6">
        <v>39.72</v>
      </c>
      <c r="H1427" s="6">
        <v>39.97</v>
      </c>
      <c r="I1427" s="9">
        <v>5.7071304E7</v>
      </c>
      <c r="J1427" s="6">
        <v>2.28889501326E9</v>
      </c>
    </row>
    <row r="1428">
      <c r="A1428" s="4" t="s">
        <v>10</v>
      </c>
      <c r="B1428" s="5">
        <v>43711.0</v>
      </c>
      <c r="C1428" s="6">
        <v>39.7</v>
      </c>
      <c r="D1428" s="11">
        <v>-0.25</v>
      </c>
      <c r="E1428" s="12">
        <v>-0.0062</v>
      </c>
      <c r="F1428" s="6">
        <v>39.49</v>
      </c>
      <c r="G1428" s="6">
        <v>39.49</v>
      </c>
      <c r="H1428" s="6">
        <v>39.71</v>
      </c>
      <c r="I1428" s="9">
        <v>5.0339954E7</v>
      </c>
      <c r="J1428" s="6">
        <v>2.00648589499E9</v>
      </c>
    </row>
    <row r="1429">
      <c r="A1429" s="4" t="s">
        <v>10</v>
      </c>
      <c r="B1429" s="5">
        <v>43712.0</v>
      </c>
      <c r="C1429" s="6">
        <v>40.37</v>
      </c>
      <c r="D1429" s="13">
        <f>+0.67</f>
        <v>0.67</v>
      </c>
      <c r="E1429" s="14">
        <f>+1.68%</f>
        <v>0.0168</v>
      </c>
      <c r="F1429" s="6">
        <v>40.25</v>
      </c>
      <c r="G1429" s="6">
        <v>40.16</v>
      </c>
      <c r="H1429" s="6">
        <v>40.42</v>
      </c>
      <c r="I1429" s="9">
        <v>6.5960008E7</v>
      </c>
      <c r="J1429" s="6">
        <v>2.67540181438E9</v>
      </c>
    </row>
    <row r="1430">
      <c r="A1430" s="4" t="s">
        <v>10</v>
      </c>
      <c r="B1430" s="5">
        <v>43713.0</v>
      </c>
      <c r="C1430" s="6">
        <v>40.82</v>
      </c>
      <c r="D1430" s="13">
        <f>+0.46</f>
        <v>0.46</v>
      </c>
      <c r="E1430" s="14">
        <f>+1.13%</f>
        <v>0.0113</v>
      </c>
      <c r="F1430" s="6">
        <v>40.84</v>
      </c>
      <c r="G1430" s="6">
        <v>40.8</v>
      </c>
      <c r="H1430" s="6">
        <v>40.97</v>
      </c>
      <c r="I1430" s="9">
        <v>7.2705311E7</v>
      </c>
      <c r="J1430" s="6">
        <v>2.98929420766E9</v>
      </c>
    </row>
    <row r="1431">
      <c r="A1431" s="4" t="s">
        <v>10</v>
      </c>
      <c r="B1431" s="5">
        <v>43714.0</v>
      </c>
      <c r="C1431" s="6">
        <v>41.0</v>
      </c>
      <c r="D1431" s="13">
        <f>+0.18</f>
        <v>0.18</v>
      </c>
      <c r="E1431" s="14">
        <f>+0.44%</f>
        <v>0.0044</v>
      </c>
      <c r="F1431" s="6">
        <v>41.05</v>
      </c>
      <c r="G1431" s="6">
        <v>40.95</v>
      </c>
      <c r="H1431" s="6">
        <v>41.14</v>
      </c>
      <c r="I1431" s="9">
        <v>4.8716198E7</v>
      </c>
      <c r="J1431" s="6">
        <v>2.01085248855E9</v>
      </c>
    </row>
    <row r="1432">
      <c r="A1432" s="4" t="s">
        <v>10</v>
      </c>
      <c r="B1432" s="5">
        <v>43717.0</v>
      </c>
      <c r="C1432" s="6">
        <v>41.13</v>
      </c>
      <c r="D1432" s="13">
        <f>+0.13</f>
        <v>0.13</v>
      </c>
      <c r="E1432" s="14">
        <f>+0.32%</f>
        <v>0.0032</v>
      </c>
      <c r="F1432" s="6">
        <v>41.11</v>
      </c>
      <c r="G1432" s="6">
        <v>41.0</v>
      </c>
      <c r="H1432" s="6">
        <v>41.25</v>
      </c>
      <c r="I1432" s="9">
        <v>3.8554203E7</v>
      </c>
      <c r="J1432" s="6">
        <v>1.5955761932E9</v>
      </c>
    </row>
    <row r="1433">
      <c r="A1433" s="4" t="s">
        <v>10</v>
      </c>
      <c r="B1433" s="5">
        <v>43718.0</v>
      </c>
      <c r="C1433" s="6">
        <v>41.16</v>
      </c>
      <c r="D1433" s="13">
        <f>+0.03</f>
        <v>0.03</v>
      </c>
      <c r="E1433" s="14">
        <f>+0.07%</f>
        <v>0.0007</v>
      </c>
      <c r="F1433" s="6">
        <v>41.09</v>
      </c>
      <c r="G1433" s="6">
        <v>40.92</v>
      </c>
      <c r="H1433" s="6">
        <v>41.24</v>
      </c>
      <c r="I1433" s="9">
        <v>4.8449551E7</v>
      </c>
      <c r="J1433" s="6">
        <v>2.00249559788E9</v>
      </c>
    </row>
    <row r="1434">
      <c r="A1434" s="4" t="s">
        <v>10</v>
      </c>
      <c r="B1434" s="5">
        <v>43719.0</v>
      </c>
      <c r="C1434" s="6">
        <v>41.45</v>
      </c>
      <c r="D1434" s="13">
        <f>+0.29</f>
        <v>0.29</v>
      </c>
      <c r="E1434" s="14">
        <f>+0.7%</f>
        <v>0.007</v>
      </c>
      <c r="F1434" s="6">
        <v>41.31</v>
      </c>
      <c r="G1434" s="6">
        <v>41.24</v>
      </c>
      <c r="H1434" s="6">
        <v>41.48</v>
      </c>
      <c r="I1434" s="9">
        <v>6.2563891E7</v>
      </c>
      <c r="J1434" s="6">
        <v>2.60704061709E9</v>
      </c>
    </row>
    <row r="1435">
      <c r="A1435" s="4" t="s">
        <v>10</v>
      </c>
      <c r="B1435" s="5">
        <v>43720.0</v>
      </c>
      <c r="C1435" s="6">
        <v>41.75</v>
      </c>
      <c r="D1435" s="13">
        <f>+0.3</f>
        <v>0.3</v>
      </c>
      <c r="E1435" s="14">
        <f>+0.72%</f>
        <v>0.0072</v>
      </c>
      <c r="F1435" s="6">
        <v>41.72</v>
      </c>
      <c r="G1435" s="6">
        <v>41.57</v>
      </c>
      <c r="H1435" s="6">
        <v>42.0</v>
      </c>
      <c r="I1435" s="9">
        <v>7.4590051E7</v>
      </c>
      <c r="J1435" s="6">
        <v>3.13523347615E9</v>
      </c>
    </row>
    <row r="1436">
      <c r="A1436" s="4" t="s">
        <v>10</v>
      </c>
      <c r="B1436" s="5">
        <v>43721.0</v>
      </c>
      <c r="C1436" s="6">
        <v>41.99</v>
      </c>
      <c r="D1436" s="13">
        <f>+0.24</f>
        <v>0.24</v>
      </c>
      <c r="E1436" s="14">
        <f>+0.57%</f>
        <v>0.0057</v>
      </c>
      <c r="F1436" s="6">
        <v>42.0</v>
      </c>
      <c r="G1436" s="6">
        <v>41.91</v>
      </c>
      <c r="H1436" s="6">
        <v>42.1</v>
      </c>
      <c r="I1436" s="9">
        <v>5.840345E7</v>
      </c>
      <c r="J1436" s="6">
        <v>2.46670602119E9</v>
      </c>
    </row>
    <row r="1437">
      <c r="A1437" s="4" t="s">
        <v>10</v>
      </c>
      <c r="B1437" s="5">
        <v>43724.0</v>
      </c>
      <c r="C1437" s="6">
        <v>41.66</v>
      </c>
      <c r="D1437" s="11">
        <v>-0.33</v>
      </c>
      <c r="E1437" s="12">
        <v>-0.0078</v>
      </c>
      <c r="F1437" s="6">
        <v>41.66</v>
      </c>
      <c r="G1437" s="6">
        <v>41.56</v>
      </c>
      <c r="H1437" s="6">
        <v>41.86</v>
      </c>
      <c r="I1437" s="9">
        <v>6.2905788E7</v>
      </c>
      <c r="J1437" s="6">
        <v>2.63716403078E9</v>
      </c>
    </row>
    <row r="1438">
      <c r="A1438" s="4" t="s">
        <v>10</v>
      </c>
      <c r="B1438" s="5">
        <v>43725.0</v>
      </c>
      <c r="C1438" s="6">
        <v>41.66</v>
      </c>
      <c r="D1438" s="11">
        <v>0.0</v>
      </c>
      <c r="E1438" s="12">
        <v>0.0</v>
      </c>
      <c r="F1438" s="6">
        <v>41.28</v>
      </c>
      <c r="G1438" s="6">
        <v>41.25</v>
      </c>
      <c r="H1438" s="6">
        <v>41.69</v>
      </c>
      <c r="I1438" s="9">
        <v>9.8987768E7</v>
      </c>
      <c r="J1438" s="6">
        <v>4.1370575683E9</v>
      </c>
    </row>
    <row r="1439">
      <c r="A1439" s="4" t="s">
        <v>10</v>
      </c>
      <c r="B1439" s="5">
        <v>43726.0</v>
      </c>
      <c r="C1439" s="6">
        <v>41.49</v>
      </c>
      <c r="D1439" s="11">
        <v>-0.17</v>
      </c>
      <c r="E1439" s="12">
        <v>-0.0041</v>
      </c>
      <c r="F1439" s="6">
        <v>41.59</v>
      </c>
      <c r="G1439" s="6">
        <v>41.16</v>
      </c>
      <c r="H1439" s="6">
        <v>41.64</v>
      </c>
      <c r="I1439" s="9">
        <v>7.1023402E7</v>
      </c>
      <c r="J1439" s="6">
        <v>2.96092440081E9</v>
      </c>
    </row>
    <row r="1440">
      <c r="A1440" s="4" t="s">
        <v>10</v>
      </c>
      <c r="B1440" s="5">
        <v>43727.0</v>
      </c>
      <c r="C1440" s="6">
        <v>41.32</v>
      </c>
      <c r="D1440" s="11">
        <v>-0.17</v>
      </c>
      <c r="E1440" s="12">
        <v>-0.0041</v>
      </c>
      <c r="F1440" s="6">
        <v>41.49</v>
      </c>
      <c r="G1440" s="6">
        <v>41.25</v>
      </c>
      <c r="H1440" s="6">
        <v>41.62</v>
      </c>
      <c r="I1440" s="9">
        <v>5.2530279E7</v>
      </c>
      <c r="J1440" s="6">
        <v>2.18980720539E9</v>
      </c>
    </row>
    <row r="1441">
      <c r="A1441" s="4" t="s">
        <v>10</v>
      </c>
      <c r="B1441" s="5">
        <v>43728.0</v>
      </c>
      <c r="C1441" s="6">
        <v>41.36</v>
      </c>
      <c r="D1441" s="13">
        <f t="shared" ref="D1441:D1442" si="7">+0.04</f>
        <v>0.04</v>
      </c>
      <c r="E1441" s="14">
        <f t="shared" ref="E1441:E1442" si="8">+0.1%</f>
        <v>0.001</v>
      </c>
      <c r="F1441" s="6">
        <v>41.63</v>
      </c>
      <c r="G1441" s="6">
        <v>41.19</v>
      </c>
      <c r="H1441" s="6">
        <v>41.68</v>
      </c>
      <c r="I1441" s="9">
        <v>8.613321E7</v>
      </c>
      <c r="J1441" s="6">
        <v>3.58911522936E9</v>
      </c>
    </row>
    <row r="1442">
      <c r="A1442" s="4" t="s">
        <v>10</v>
      </c>
      <c r="B1442" s="5">
        <v>43731.0</v>
      </c>
      <c r="C1442" s="6">
        <v>41.4</v>
      </c>
      <c r="D1442" s="13">
        <f t="shared" si="7"/>
        <v>0.04</v>
      </c>
      <c r="E1442" s="14">
        <f t="shared" si="8"/>
        <v>0.001</v>
      </c>
      <c r="F1442" s="6">
        <v>41.16</v>
      </c>
      <c r="G1442" s="6">
        <v>41.16</v>
      </c>
      <c r="H1442" s="6">
        <v>41.42</v>
      </c>
      <c r="I1442" s="9">
        <v>4.3554749E7</v>
      </c>
      <c r="J1442" s="6">
        <v>1.81127387506E9</v>
      </c>
    </row>
    <row r="1443">
      <c r="A1443" s="4" t="s">
        <v>10</v>
      </c>
      <c r="B1443" s="5">
        <v>43732.0</v>
      </c>
      <c r="C1443" s="6">
        <v>40.96</v>
      </c>
      <c r="D1443" s="11">
        <v>-0.44</v>
      </c>
      <c r="E1443" s="12">
        <v>-0.0106</v>
      </c>
      <c r="F1443" s="6">
        <v>41.38</v>
      </c>
      <c r="G1443" s="6">
        <v>40.92</v>
      </c>
      <c r="H1443" s="6">
        <v>41.39</v>
      </c>
      <c r="I1443" s="9">
        <v>5.746984E7</v>
      </c>
      <c r="J1443" s="6">
        <v>2.37385012626E9</v>
      </c>
    </row>
    <row r="1444">
      <c r="A1444" s="4" t="s">
        <v>10</v>
      </c>
      <c r="B1444" s="5">
        <v>43733.0</v>
      </c>
      <c r="C1444" s="6">
        <v>40.93</v>
      </c>
      <c r="D1444" s="11">
        <v>-0.03</v>
      </c>
      <c r="E1444" s="12">
        <v>-7.0E-4</v>
      </c>
      <c r="F1444" s="6">
        <v>40.69</v>
      </c>
      <c r="G1444" s="6">
        <v>40.55</v>
      </c>
      <c r="H1444" s="6">
        <v>41.02</v>
      </c>
      <c r="I1444" s="9">
        <v>4.3467163E7</v>
      </c>
      <c r="J1444" s="6">
        <v>1.78410343357E9</v>
      </c>
    </row>
    <row r="1445">
      <c r="A1445" s="4" t="s">
        <v>10</v>
      </c>
      <c r="B1445" s="5">
        <v>43734.0</v>
      </c>
      <c r="C1445" s="6">
        <v>40.92</v>
      </c>
      <c r="D1445" s="11">
        <v>-0.01</v>
      </c>
      <c r="E1445" s="12">
        <v>-2.0E-4</v>
      </c>
      <c r="F1445" s="6">
        <v>41.0</v>
      </c>
      <c r="G1445" s="6">
        <v>40.8</v>
      </c>
      <c r="H1445" s="6">
        <v>41.05</v>
      </c>
      <c r="I1445" s="9">
        <v>3.8031302E7</v>
      </c>
      <c r="J1445" s="6">
        <v>1.56560393595E9</v>
      </c>
    </row>
    <row r="1446">
      <c r="A1446" s="4" t="s">
        <v>10</v>
      </c>
      <c r="B1446" s="5">
        <v>43735.0</v>
      </c>
      <c r="C1446" s="6">
        <v>40.4</v>
      </c>
      <c r="D1446" s="11">
        <v>-0.53</v>
      </c>
      <c r="E1446" s="12">
        <v>-0.0129</v>
      </c>
      <c r="F1446" s="6">
        <v>40.92</v>
      </c>
      <c r="G1446" s="6">
        <v>40.25</v>
      </c>
      <c r="H1446" s="6">
        <v>41.02</v>
      </c>
      <c r="I1446" s="9">
        <v>7.9886694E7</v>
      </c>
      <c r="J1446" s="6">
        <v>3.25815751321E9</v>
      </c>
    </row>
    <row r="1447">
      <c r="A1447" s="4" t="s">
        <v>10</v>
      </c>
      <c r="B1447" s="5">
        <v>43738.0</v>
      </c>
      <c r="C1447" s="6">
        <v>40.62</v>
      </c>
      <c r="D1447" s="13">
        <f>+0.23</f>
        <v>0.23</v>
      </c>
      <c r="E1447" s="14">
        <f>+0.57%</f>
        <v>0.0057</v>
      </c>
      <c r="F1447" s="6">
        <v>40.73</v>
      </c>
      <c r="G1447" s="6">
        <v>40.58</v>
      </c>
      <c r="H1447" s="6">
        <v>40.85</v>
      </c>
      <c r="I1447" s="9">
        <v>4.4218634E7</v>
      </c>
      <c r="J1447" s="6">
        <v>1.81154048386E9</v>
      </c>
    </row>
    <row r="1448">
      <c r="A1448" s="4" t="s">
        <v>10</v>
      </c>
      <c r="B1448" s="5">
        <v>43739.0</v>
      </c>
      <c r="C1448" s="6">
        <v>40.34</v>
      </c>
      <c r="D1448" s="11">
        <v>-0.29</v>
      </c>
      <c r="E1448" s="12">
        <v>-0.0071</v>
      </c>
      <c r="F1448" s="6">
        <v>40.65</v>
      </c>
      <c r="G1448" s="6">
        <v>40.31</v>
      </c>
      <c r="H1448" s="6">
        <v>40.66</v>
      </c>
      <c r="I1448" s="9">
        <v>4.8907565E7</v>
      </c>
      <c r="J1448" s="6">
        <v>1.98891509186E9</v>
      </c>
    </row>
    <row r="1449">
      <c r="A1449" s="4" t="s">
        <v>10</v>
      </c>
      <c r="B1449" s="5">
        <v>43740.0</v>
      </c>
      <c r="C1449" s="6">
        <v>40.03</v>
      </c>
      <c r="D1449" s="11">
        <v>-0.31</v>
      </c>
      <c r="E1449" s="12">
        <v>-0.0076</v>
      </c>
      <c r="F1449" s="6">
        <v>40.04</v>
      </c>
      <c r="G1449" s="6">
        <v>39.83</v>
      </c>
      <c r="H1449" s="6">
        <v>40.1</v>
      </c>
      <c r="I1449" s="9">
        <v>4.1850827E7</v>
      </c>
      <c r="J1449" s="6">
        <v>1.68360995453E9</v>
      </c>
    </row>
    <row r="1450">
      <c r="A1450" s="4" t="s">
        <v>10</v>
      </c>
      <c r="B1450" s="5">
        <v>43741.0</v>
      </c>
      <c r="C1450" s="6">
        <v>40.55</v>
      </c>
      <c r="D1450" s="13">
        <f>+0.52</f>
        <v>0.52</v>
      </c>
      <c r="E1450" s="14">
        <f>+1.29%</f>
        <v>0.0129</v>
      </c>
      <c r="F1450" s="6">
        <v>40.17</v>
      </c>
      <c r="G1450" s="6">
        <v>40.06</v>
      </c>
      <c r="H1450" s="6">
        <v>40.55</v>
      </c>
      <c r="I1450" s="9">
        <v>6.2375078E7</v>
      </c>
      <c r="J1450" s="6">
        <v>2.5314623258E9</v>
      </c>
    </row>
    <row r="1451">
      <c r="A1451" s="4" t="s">
        <v>10</v>
      </c>
      <c r="B1451" s="5">
        <v>43742.0</v>
      </c>
      <c r="C1451" s="6">
        <v>40.72</v>
      </c>
      <c r="D1451" s="13">
        <f>+0.18</f>
        <v>0.18</v>
      </c>
      <c r="E1451" s="14">
        <f>+0.44%</f>
        <v>0.0044</v>
      </c>
      <c r="F1451" s="6">
        <v>40.43</v>
      </c>
      <c r="G1451" s="6">
        <v>40.38</v>
      </c>
      <c r="H1451" s="6">
        <v>40.8</v>
      </c>
      <c r="I1451" s="9">
        <v>5.4334699E7</v>
      </c>
      <c r="J1451" s="6">
        <v>2.21978791662E9</v>
      </c>
    </row>
    <row r="1452">
      <c r="A1452" s="4" t="s">
        <v>10</v>
      </c>
      <c r="B1452" s="5">
        <v>43745.0</v>
      </c>
      <c r="C1452" s="6">
        <v>40.39</v>
      </c>
      <c r="D1452" s="11">
        <v>-0.34</v>
      </c>
      <c r="E1452" s="12">
        <v>-0.0083</v>
      </c>
      <c r="F1452" s="6">
        <v>40.48</v>
      </c>
      <c r="G1452" s="6">
        <v>40.35</v>
      </c>
      <c r="H1452" s="6">
        <v>40.68</v>
      </c>
      <c r="I1452" s="9">
        <v>5.7119507E7</v>
      </c>
      <c r="J1452" s="6">
        <v>2.32669362581E9</v>
      </c>
    </row>
    <row r="1453">
      <c r="A1453" s="4" t="s">
        <v>10</v>
      </c>
      <c r="B1453" s="5">
        <v>43746.0</v>
      </c>
      <c r="C1453" s="6">
        <v>40.1</v>
      </c>
      <c r="D1453" s="11">
        <v>-0.29</v>
      </c>
      <c r="E1453" s="12">
        <v>-0.0071</v>
      </c>
      <c r="F1453" s="6">
        <v>40.31</v>
      </c>
      <c r="G1453" s="6">
        <v>40.07</v>
      </c>
      <c r="H1453" s="6">
        <v>40.36</v>
      </c>
      <c r="I1453" s="9">
        <v>5.8679975E7</v>
      </c>
      <c r="J1453" s="6">
        <v>2.37379749696E9</v>
      </c>
    </row>
    <row r="1454">
      <c r="A1454" s="4" t="s">
        <v>10</v>
      </c>
      <c r="B1454" s="5">
        <v>43747.0</v>
      </c>
      <c r="C1454" s="6">
        <v>40.41</v>
      </c>
      <c r="D1454" s="13">
        <f>+0.31</f>
        <v>0.31</v>
      </c>
      <c r="E1454" s="14">
        <f>+0.77%</f>
        <v>0.0077</v>
      </c>
      <c r="F1454" s="6">
        <v>40.43</v>
      </c>
      <c r="G1454" s="6">
        <v>40.36</v>
      </c>
      <c r="H1454" s="6">
        <v>40.57</v>
      </c>
      <c r="I1454" s="9">
        <v>4.1483869E7</v>
      </c>
      <c r="J1454" s="6">
        <v>1.68803563666E9</v>
      </c>
    </row>
    <row r="1455">
      <c r="A1455" s="4" t="s">
        <v>10</v>
      </c>
      <c r="B1455" s="5">
        <v>43748.0</v>
      </c>
      <c r="C1455" s="6">
        <v>40.82</v>
      </c>
      <c r="D1455" s="13">
        <f>+0.42</f>
        <v>0.42</v>
      </c>
      <c r="E1455" s="14">
        <f>+1.03%</f>
        <v>0.0103</v>
      </c>
      <c r="F1455" s="6">
        <v>40.56</v>
      </c>
      <c r="G1455" s="6">
        <v>40.55</v>
      </c>
      <c r="H1455" s="6">
        <v>40.99</v>
      </c>
      <c r="I1455" s="9">
        <v>5.2315046E7</v>
      </c>
      <c r="J1455" s="6">
        <v>2.14823969867E9</v>
      </c>
    </row>
    <row r="1456">
      <c r="A1456" s="4" t="s">
        <v>10</v>
      </c>
      <c r="B1456" s="5">
        <v>43749.0</v>
      </c>
      <c r="C1456" s="6">
        <v>41.48</v>
      </c>
      <c r="D1456" s="13">
        <f>+0.66</f>
        <v>0.66</v>
      </c>
      <c r="E1456" s="14">
        <f>+1.61%</f>
        <v>0.0161</v>
      </c>
      <c r="F1456" s="6">
        <v>41.44</v>
      </c>
      <c r="G1456" s="6">
        <v>41.38</v>
      </c>
      <c r="H1456" s="6">
        <v>41.79</v>
      </c>
      <c r="I1456" s="9">
        <v>9.6068245E7</v>
      </c>
      <c r="J1456" s="6">
        <v>4.02033936831E9</v>
      </c>
    </row>
    <row r="1457">
      <c r="A1457" s="4" t="s">
        <v>10</v>
      </c>
      <c r="B1457" s="5">
        <v>43752.0</v>
      </c>
      <c r="C1457" s="6">
        <v>41.3</v>
      </c>
      <c r="D1457" s="11">
        <v>-0.18</v>
      </c>
      <c r="E1457" s="12">
        <v>-0.0043</v>
      </c>
      <c r="F1457" s="6">
        <v>41.43</v>
      </c>
      <c r="G1457" s="6">
        <v>41.29</v>
      </c>
      <c r="H1457" s="6">
        <v>41.49</v>
      </c>
      <c r="I1457" s="9">
        <v>2.9268598E7</v>
      </c>
      <c r="J1457" s="6">
        <v>1.21811893983E9</v>
      </c>
    </row>
    <row r="1458">
      <c r="A1458" s="4" t="s">
        <v>10</v>
      </c>
      <c r="B1458" s="5">
        <v>43753.0</v>
      </c>
      <c r="C1458" s="6">
        <v>41.67</v>
      </c>
      <c r="D1458" s="13">
        <f>+0.37</f>
        <v>0.37</v>
      </c>
      <c r="E1458" s="14">
        <f>+0.89%</f>
        <v>0.0089</v>
      </c>
      <c r="F1458" s="6">
        <v>41.42</v>
      </c>
      <c r="G1458" s="6">
        <v>41.4</v>
      </c>
      <c r="H1458" s="6">
        <v>41.76</v>
      </c>
      <c r="I1458" s="9">
        <v>5.1167119E7</v>
      </c>
      <c r="J1458" s="6">
        <v>2.14268632052E9</v>
      </c>
    </row>
    <row r="1459">
      <c r="A1459" s="4" t="s">
        <v>10</v>
      </c>
      <c r="B1459" s="5">
        <v>43754.0</v>
      </c>
      <c r="C1459" s="6">
        <v>41.79</v>
      </c>
      <c r="D1459" s="13">
        <f>+0.12</f>
        <v>0.12</v>
      </c>
      <c r="E1459" s="14">
        <f>+0.29%</f>
        <v>0.0029</v>
      </c>
      <c r="F1459" s="6">
        <v>41.63</v>
      </c>
      <c r="G1459" s="6">
        <v>41.54</v>
      </c>
      <c r="H1459" s="6">
        <v>41.83</v>
      </c>
      <c r="I1459" s="9">
        <v>4.0793926E7</v>
      </c>
      <c r="J1459" s="6">
        <v>1.71273533764E9</v>
      </c>
    </row>
    <row r="1460">
      <c r="A1460" s="4" t="s">
        <v>10</v>
      </c>
      <c r="B1460" s="5">
        <v>43755.0</v>
      </c>
      <c r="C1460" s="6">
        <v>41.95</v>
      </c>
      <c r="D1460" s="13">
        <f>+0.16</f>
        <v>0.16</v>
      </c>
      <c r="E1460" s="14">
        <f>+0.38%</f>
        <v>0.0038</v>
      </c>
      <c r="F1460" s="6">
        <v>42.12</v>
      </c>
      <c r="G1460" s="6">
        <v>41.89</v>
      </c>
      <c r="H1460" s="6">
        <v>42.14</v>
      </c>
      <c r="I1460" s="9">
        <v>5.6583809E7</v>
      </c>
      <c r="J1460" s="6">
        <v>2.38983148856E9</v>
      </c>
    </row>
    <row r="1461">
      <c r="A1461" s="4" t="s">
        <v>10</v>
      </c>
      <c r="B1461" s="5">
        <v>43756.0</v>
      </c>
      <c r="C1461" s="6">
        <v>41.73</v>
      </c>
      <c r="D1461" s="11">
        <v>-0.22</v>
      </c>
      <c r="E1461" s="12">
        <v>-0.0052</v>
      </c>
      <c r="F1461" s="6">
        <v>41.86</v>
      </c>
      <c r="G1461" s="6">
        <v>41.62</v>
      </c>
      <c r="H1461" s="6">
        <v>41.96</v>
      </c>
      <c r="I1461" s="9">
        <v>7.8863518E7</v>
      </c>
      <c r="J1461" s="6">
        <v>3.31381021421E9</v>
      </c>
    </row>
    <row r="1462">
      <c r="A1462" s="4" t="s">
        <v>10</v>
      </c>
      <c r="B1462" s="5">
        <v>43759.0</v>
      </c>
      <c r="C1462" s="6">
        <v>42.11</v>
      </c>
      <c r="D1462" s="13">
        <f>+0.38</f>
        <v>0.38</v>
      </c>
      <c r="E1462" s="14">
        <f>+0.91%</f>
        <v>0.0091</v>
      </c>
      <c r="F1462" s="6">
        <v>41.91</v>
      </c>
      <c r="G1462" s="6">
        <v>41.84</v>
      </c>
      <c r="H1462" s="6">
        <v>42.11</v>
      </c>
      <c r="I1462" s="9">
        <v>3.855063E7</v>
      </c>
      <c r="J1462" s="6">
        <v>1.62937002084E9</v>
      </c>
    </row>
    <row r="1463">
      <c r="A1463" s="4" t="s">
        <v>10</v>
      </c>
      <c r="B1463" s="5">
        <v>43760.0</v>
      </c>
      <c r="C1463" s="6">
        <v>42.14</v>
      </c>
      <c r="D1463" s="13">
        <f>+0.03</f>
        <v>0.03</v>
      </c>
      <c r="E1463" s="14">
        <f>+0.07%</f>
        <v>0.0007</v>
      </c>
      <c r="F1463" s="6">
        <v>42.14</v>
      </c>
      <c r="G1463" s="6">
        <v>42.08</v>
      </c>
      <c r="H1463" s="6">
        <v>42.28</v>
      </c>
      <c r="I1463" s="9">
        <v>5.9633618E7</v>
      </c>
      <c r="J1463" s="6">
        <v>2.53032454746E9</v>
      </c>
    </row>
    <row r="1464">
      <c r="A1464" s="4" t="s">
        <v>10</v>
      </c>
      <c r="B1464" s="5">
        <v>43761.0</v>
      </c>
      <c r="C1464" s="6">
        <v>42.15</v>
      </c>
      <c r="D1464" s="13">
        <f>+0.01</f>
        <v>0.01</v>
      </c>
      <c r="E1464" s="14">
        <f>+0.02%</f>
        <v>0.0002</v>
      </c>
      <c r="F1464" s="6">
        <v>41.97</v>
      </c>
      <c r="G1464" s="6">
        <v>41.94</v>
      </c>
      <c r="H1464" s="6">
        <v>42.19</v>
      </c>
      <c r="I1464" s="9">
        <v>4.3371616E7</v>
      </c>
      <c r="J1464" s="6">
        <v>1.83603698454E9</v>
      </c>
    </row>
    <row r="1465">
      <c r="A1465" s="4" t="s">
        <v>10</v>
      </c>
      <c r="B1465" s="5">
        <v>43762.0</v>
      </c>
      <c r="C1465" s="6">
        <v>42.15</v>
      </c>
      <c r="D1465" s="11">
        <v>0.0</v>
      </c>
      <c r="E1465" s="12">
        <v>0.0</v>
      </c>
      <c r="F1465" s="6">
        <v>42.32</v>
      </c>
      <c r="G1465" s="6">
        <v>42.12</v>
      </c>
      <c r="H1465" s="6">
        <v>42.33</v>
      </c>
      <c r="I1465" s="9">
        <v>6.1730298E7</v>
      </c>
      <c r="J1465" s="6">
        <v>2.62030481183E9</v>
      </c>
    </row>
    <row r="1466">
      <c r="A1466" s="4" t="s">
        <v>10</v>
      </c>
      <c r="B1466" s="5">
        <v>43763.0</v>
      </c>
      <c r="C1466" s="6">
        <v>42.44</v>
      </c>
      <c r="D1466" s="13">
        <f>+0.3</f>
        <v>0.3</v>
      </c>
      <c r="E1466" s="14">
        <f>+0.71%</f>
        <v>0.0071</v>
      </c>
      <c r="F1466" s="6">
        <v>42.15</v>
      </c>
      <c r="G1466" s="6">
        <v>42.13</v>
      </c>
      <c r="H1466" s="6">
        <v>42.47</v>
      </c>
      <c r="I1466" s="9">
        <v>4.9443677E7</v>
      </c>
      <c r="J1466" s="6">
        <v>2.10707961314E9</v>
      </c>
    </row>
    <row r="1467">
      <c r="A1467" s="4" t="s">
        <v>10</v>
      </c>
      <c r="B1467" s="5">
        <v>43766.0</v>
      </c>
      <c r="C1467" s="6">
        <v>42.69</v>
      </c>
      <c r="D1467" s="13">
        <f>+0.25</f>
        <v>0.25</v>
      </c>
      <c r="E1467" s="14">
        <f>+0.59%</f>
        <v>0.0059</v>
      </c>
      <c r="F1467" s="6">
        <v>42.64</v>
      </c>
      <c r="G1467" s="6">
        <v>42.62</v>
      </c>
      <c r="H1467" s="6">
        <v>42.8</v>
      </c>
      <c r="I1467" s="9">
        <v>5.6279119E7</v>
      </c>
      <c r="J1467" s="6">
        <v>2.41890747844E9</v>
      </c>
    </row>
    <row r="1468">
      <c r="A1468" s="4" t="s">
        <v>10</v>
      </c>
      <c r="B1468" s="5">
        <v>43767.0</v>
      </c>
      <c r="C1468" s="6">
        <v>42.47</v>
      </c>
      <c r="D1468" s="11">
        <v>-0.22</v>
      </c>
      <c r="E1468" s="12">
        <v>-0.0051</v>
      </c>
      <c r="F1468" s="6">
        <v>42.47</v>
      </c>
      <c r="G1468" s="6">
        <v>42.43</v>
      </c>
      <c r="H1468" s="6">
        <v>42.6</v>
      </c>
      <c r="I1468" s="9">
        <v>3.3949795E7</v>
      </c>
      <c r="J1468" s="6">
        <v>1.45154969096E9</v>
      </c>
    </row>
    <row r="1469">
      <c r="A1469" s="4" t="s">
        <v>10</v>
      </c>
      <c r="B1469" s="5">
        <v>43768.0</v>
      </c>
      <c r="C1469" s="6">
        <v>42.66</v>
      </c>
      <c r="D1469" s="13">
        <f>+0.19</f>
        <v>0.19</v>
      </c>
      <c r="E1469" s="14">
        <f>+0.44%</f>
        <v>0.0044</v>
      </c>
      <c r="F1469" s="6">
        <v>42.37</v>
      </c>
      <c r="G1469" s="6">
        <v>42.2</v>
      </c>
      <c r="H1469" s="6">
        <v>42.66</v>
      </c>
      <c r="I1469" s="9">
        <v>6.0881019E7</v>
      </c>
      <c r="J1469" s="6">
        <v>2.59826714559E9</v>
      </c>
    </row>
    <row r="1470">
      <c r="A1470" s="4" t="s">
        <v>10</v>
      </c>
      <c r="B1470" s="5">
        <v>43769.0</v>
      </c>
      <c r="C1470" s="6">
        <v>42.32</v>
      </c>
      <c r="D1470" s="11">
        <v>-0.34</v>
      </c>
      <c r="E1470" s="12">
        <v>-0.0079</v>
      </c>
      <c r="F1470" s="6">
        <v>42.5</v>
      </c>
      <c r="G1470" s="6">
        <v>42.11</v>
      </c>
      <c r="H1470" s="6">
        <v>42.51</v>
      </c>
      <c r="I1470" s="9">
        <v>5.6057745E7</v>
      </c>
      <c r="J1470" s="6">
        <v>2.38329042399E9</v>
      </c>
    </row>
    <row r="1471">
      <c r="A1471" s="4" t="s">
        <v>10</v>
      </c>
      <c r="B1471" s="5">
        <v>43770.0</v>
      </c>
      <c r="C1471" s="6">
        <v>42.96</v>
      </c>
      <c r="D1471" s="13">
        <f>+0.64</f>
        <v>0.64</v>
      </c>
      <c r="E1471" s="14">
        <f>+1.5%</f>
        <v>0.015</v>
      </c>
      <c r="F1471" s="6">
        <v>42.77</v>
      </c>
      <c r="G1471" s="6">
        <v>42.75</v>
      </c>
      <c r="H1471" s="6">
        <v>42.99</v>
      </c>
      <c r="I1471" s="9">
        <v>7.2772359E7</v>
      </c>
      <c r="J1471" s="6">
        <v>3.14127868372E9</v>
      </c>
    </row>
    <row r="1472">
      <c r="A1472" s="4" t="s">
        <v>10</v>
      </c>
      <c r="B1472" s="5">
        <v>43773.0</v>
      </c>
      <c r="C1472" s="6">
        <v>43.39</v>
      </c>
      <c r="D1472" s="13">
        <f>+0.43</f>
        <v>0.43</v>
      </c>
      <c r="E1472" s="14">
        <f>+0.99%</f>
        <v>0.0099</v>
      </c>
      <c r="F1472" s="6">
        <v>43.51</v>
      </c>
      <c r="G1472" s="6">
        <v>43.32</v>
      </c>
      <c r="H1472" s="6">
        <v>43.56</v>
      </c>
      <c r="I1472" s="9">
        <v>6.2191561E7</v>
      </c>
      <c r="J1472" s="6">
        <v>2.71684623387E9</v>
      </c>
    </row>
    <row r="1473">
      <c r="A1473" s="4" t="s">
        <v>10</v>
      </c>
      <c r="B1473" s="5">
        <v>43774.0</v>
      </c>
      <c r="C1473" s="6">
        <v>43.64</v>
      </c>
      <c r="D1473" s="13">
        <f>+0.25</f>
        <v>0.25</v>
      </c>
      <c r="E1473" s="14">
        <f>+0.57%</f>
        <v>0.0057</v>
      </c>
      <c r="F1473" s="6">
        <v>43.65</v>
      </c>
      <c r="G1473" s="6">
        <v>43.44</v>
      </c>
      <c r="H1473" s="6">
        <v>43.68</v>
      </c>
      <c r="I1473" s="9">
        <v>6.235445E7</v>
      </c>
      <c r="J1473" s="6">
        <v>2.7332790384E9</v>
      </c>
    </row>
    <row r="1474">
      <c r="A1474" s="4" t="s">
        <v>10</v>
      </c>
      <c r="B1474" s="5">
        <v>43775.0</v>
      </c>
      <c r="C1474" s="6">
        <v>43.5</v>
      </c>
      <c r="D1474" s="11">
        <v>-0.14</v>
      </c>
      <c r="E1474" s="12">
        <v>-0.0032</v>
      </c>
      <c r="F1474" s="6">
        <v>43.61</v>
      </c>
      <c r="G1474" s="6">
        <v>43.36</v>
      </c>
      <c r="H1474" s="6">
        <v>43.65</v>
      </c>
      <c r="I1474" s="9">
        <v>6.1670503E7</v>
      </c>
      <c r="J1474" s="6">
        <v>2.69845913184E9</v>
      </c>
    </row>
    <row r="1475">
      <c r="A1475" s="4" t="s">
        <v>10</v>
      </c>
      <c r="B1475" s="5">
        <v>43776.0</v>
      </c>
      <c r="C1475" s="6">
        <v>43.82</v>
      </c>
      <c r="D1475" s="13">
        <f>+0.32</f>
        <v>0.32</v>
      </c>
      <c r="E1475" s="14">
        <f>+0.73%</f>
        <v>0.0073</v>
      </c>
      <c r="F1475" s="6">
        <v>43.83</v>
      </c>
      <c r="G1475" s="6">
        <v>43.76</v>
      </c>
      <c r="H1475" s="6">
        <v>43.98</v>
      </c>
      <c r="I1475" s="9">
        <v>9.7598192E7</v>
      </c>
      <c r="J1475" s="6">
        <v>4.30680452659E9</v>
      </c>
    </row>
    <row r="1476">
      <c r="A1476" s="4" t="s">
        <v>10</v>
      </c>
      <c r="B1476" s="5">
        <v>43777.0</v>
      </c>
      <c r="C1476" s="6">
        <v>43.42</v>
      </c>
      <c r="D1476" s="11">
        <v>-0.4</v>
      </c>
      <c r="E1476" s="12">
        <v>-0.0091</v>
      </c>
      <c r="F1476" s="6">
        <v>43.47</v>
      </c>
      <c r="G1476" s="6">
        <v>43.33</v>
      </c>
      <c r="H1476" s="6">
        <v>43.56</v>
      </c>
      <c r="I1476" s="9">
        <v>6.8673665E7</v>
      </c>
      <c r="J1476" s="6">
        <v>3.00138435285E9</v>
      </c>
    </row>
    <row r="1477">
      <c r="A1477" s="4" t="s">
        <v>10</v>
      </c>
      <c r="B1477" s="5">
        <v>43780.0</v>
      </c>
      <c r="C1477" s="6">
        <v>43.11</v>
      </c>
      <c r="D1477" s="11">
        <v>-0.31</v>
      </c>
      <c r="E1477" s="12">
        <v>-0.0071</v>
      </c>
      <c r="F1477" s="6">
        <v>42.88</v>
      </c>
      <c r="G1477" s="6">
        <v>42.84</v>
      </c>
      <c r="H1477" s="6">
        <v>43.15</v>
      </c>
      <c r="I1477" s="9">
        <v>4.7092848E7</v>
      </c>
      <c r="J1477" s="6">
        <v>2.03941728447E9</v>
      </c>
    </row>
    <row r="1478">
      <c r="A1478" s="4" t="s">
        <v>10</v>
      </c>
      <c r="B1478" s="5">
        <v>43781.0</v>
      </c>
      <c r="C1478" s="6">
        <v>42.83</v>
      </c>
      <c r="D1478" s="11">
        <v>-0.28</v>
      </c>
      <c r="E1478" s="12">
        <v>-0.0065</v>
      </c>
      <c r="F1478" s="6">
        <v>43.0</v>
      </c>
      <c r="G1478" s="6">
        <v>42.75</v>
      </c>
      <c r="H1478" s="6">
        <v>43.02</v>
      </c>
      <c r="I1478" s="9">
        <v>5.7454896E7</v>
      </c>
      <c r="J1478" s="6">
        <v>2.47842731317E9</v>
      </c>
    </row>
    <row r="1479">
      <c r="A1479" s="4" t="s">
        <v>10</v>
      </c>
      <c r="B1479" s="5">
        <v>43782.0</v>
      </c>
      <c r="C1479" s="6">
        <v>42.5</v>
      </c>
      <c r="D1479" s="11">
        <v>-0.33</v>
      </c>
      <c r="E1479" s="12">
        <v>-0.0077</v>
      </c>
      <c r="F1479" s="6">
        <v>42.4</v>
      </c>
      <c r="G1479" s="6">
        <v>42.34</v>
      </c>
      <c r="H1479" s="6">
        <v>42.58</v>
      </c>
      <c r="I1479" s="9">
        <v>6.3195303E7</v>
      </c>
      <c r="J1479" s="6">
        <v>2.70036336862E9</v>
      </c>
    </row>
    <row r="1480">
      <c r="A1480" s="4" t="s">
        <v>10</v>
      </c>
      <c r="B1480" s="5">
        <v>43783.0</v>
      </c>
      <c r="C1480" s="6">
        <v>42.53</v>
      </c>
      <c r="D1480" s="13">
        <f>+0.03</f>
        <v>0.03</v>
      </c>
      <c r="E1480" s="14">
        <f>+0.07%</f>
        <v>0.0007</v>
      </c>
      <c r="F1480" s="6">
        <v>42.46</v>
      </c>
      <c r="G1480" s="6">
        <v>42.31</v>
      </c>
      <c r="H1480" s="6">
        <v>42.59</v>
      </c>
      <c r="I1480" s="9">
        <v>4.8737674E7</v>
      </c>
      <c r="J1480" s="6">
        <v>2.08208450888E9</v>
      </c>
    </row>
    <row r="1481">
      <c r="A1481" s="4" t="s">
        <v>10</v>
      </c>
      <c r="B1481" s="5">
        <v>43784.0</v>
      </c>
      <c r="C1481" s="6">
        <v>42.87</v>
      </c>
      <c r="D1481" s="13">
        <f>+0.34</f>
        <v>0.34</v>
      </c>
      <c r="E1481" s="14">
        <f>+0.79%</f>
        <v>0.0079</v>
      </c>
      <c r="F1481" s="6">
        <v>42.81</v>
      </c>
      <c r="G1481" s="6">
        <v>42.77</v>
      </c>
      <c r="H1481" s="6">
        <v>42.96</v>
      </c>
      <c r="I1481" s="9">
        <v>6.767069E7</v>
      </c>
      <c r="J1481" s="6">
        <v>2.91964908231E9</v>
      </c>
    </row>
    <row r="1482">
      <c r="A1482" s="4" t="s">
        <v>10</v>
      </c>
      <c r="B1482" s="5">
        <v>43787.0</v>
      </c>
      <c r="C1482" s="6">
        <v>42.8</v>
      </c>
      <c r="D1482" s="11">
        <v>-0.07</v>
      </c>
      <c r="E1482" s="12">
        <v>-0.0016</v>
      </c>
      <c r="F1482" s="6">
        <v>42.88</v>
      </c>
      <c r="G1482" s="6">
        <v>42.76</v>
      </c>
      <c r="H1482" s="6">
        <v>42.96</v>
      </c>
      <c r="I1482" s="9">
        <v>5.2550522E7</v>
      </c>
      <c r="J1482" s="6">
        <v>2.26473720941E9</v>
      </c>
    </row>
    <row r="1483">
      <c r="A1483" s="4" t="s">
        <v>10</v>
      </c>
      <c r="B1483" s="5">
        <v>43788.0</v>
      </c>
      <c r="C1483" s="6">
        <v>42.89</v>
      </c>
      <c r="D1483" s="13">
        <f>+0.09</f>
        <v>0.09</v>
      </c>
      <c r="E1483" s="14">
        <f>+0.21%</f>
        <v>0.0021</v>
      </c>
      <c r="F1483" s="6">
        <v>43.12</v>
      </c>
      <c r="G1483" s="6">
        <v>42.83</v>
      </c>
      <c r="H1483" s="6">
        <v>43.12</v>
      </c>
      <c r="I1483" s="9">
        <v>4.0854433E7</v>
      </c>
      <c r="J1483" s="6">
        <v>1.7643444702E9</v>
      </c>
    </row>
    <row r="1484">
      <c r="A1484" s="4" t="s">
        <v>10</v>
      </c>
      <c r="B1484" s="5">
        <v>43789.0</v>
      </c>
      <c r="C1484" s="6">
        <v>42.7</v>
      </c>
      <c r="D1484" s="11">
        <v>-0.19</v>
      </c>
      <c r="E1484" s="12">
        <v>-0.0044</v>
      </c>
      <c r="F1484" s="6">
        <v>42.74</v>
      </c>
      <c r="G1484" s="6">
        <v>42.52</v>
      </c>
      <c r="H1484" s="6">
        <v>42.9</v>
      </c>
      <c r="I1484" s="9">
        <v>5.1992572E7</v>
      </c>
      <c r="J1484" s="6">
        <v>2.23391735214E9</v>
      </c>
    </row>
    <row r="1485">
      <c r="A1485" s="4" t="s">
        <v>10</v>
      </c>
      <c r="B1485" s="5">
        <v>43790.0</v>
      </c>
      <c r="C1485" s="6">
        <v>42.61</v>
      </c>
      <c r="D1485" s="11">
        <v>-0.09</v>
      </c>
      <c r="E1485" s="12">
        <v>-0.0021</v>
      </c>
      <c r="F1485" s="6">
        <v>42.53</v>
      </c>
      <c r="G1485" s="6">
        <v>42.42</v>
      </c>
      <c r="H1485" s="6">
        <v>42.63</v>
      </c>
      <c r="I1485" s="9">
        <v>4.3842635E7</v>
      </c>
      <c r="J1485" s="6">
        <v>1.87688492126E9</v>
      </c>
    </row>
    <row r="1486">
      <c r="A1486" s="4" t="s">
        <v>10</v>
      </c>
      <c r="B1486" s="5">
        <v>43791.0</v>
      </c>
      <c r="C1486" s="6">
        <v>42.61</v>
      </c>
      <c r="D1486" s="11">
        <v>0.0</v>
      </c>
      <c r="E1486" s="12">
        <v>0.0</v>
      </c>
      <c r="F1486" s="6">
        <v>42.69</v>
      </c>
      <c r="G1486" s="6">
        <v>42.51</v>
      </c>
      <c r="H1486" s="6">
        <v>42.73</v>
      </c>
      <c r="I1486" s="9">
        <v>2.3519905E7</v>
      </c>
      <c r="J1486" s="6">
        <v>1.00808070983E9</v>
      </c>
    </row>
    <row r="1487">
      <c r="A1487" s="4" t="s">
        <v>10</v>
      </c>
      <c r="B1487" s="5">
        <v>43794.0</v>
      </c>
      <c r="C1487" s="6">
        <v>43.04</v>
      </c>
      <c r="D1487" s="13">
        <f>+0.43</f>
        <v>0.43</v>
      </c>
      <c r="E1487" s="14">
        <f>+1%</f>
        <v>0.01</v>
      </c>
      <c r="F1487" s="6">
        <v>42.88</v>
      </c>
      <c r="G1487" s="6">
        <v>42.84</v>
      </c>
      <c r="H1487" s="6">
        <v>43.08</v>
      </c>
      <c r="I1487" s="9">
        <v>5.7053838E7</v>
      </c>
      <c r="J1487" s="6">
        <v>2.46877536536E9</v>
      </c>
    </row>
    <row r="1488">
      <c r="A1488" s="4" t="s">
        <v>10</v>
      </c>
      <c r="B1488" s="5">
        <v>43795.0</v>
      </c>
      <c r="C1488" s="6">
        <v>42.91</v>
      </c>
      <c r="D1488" s="11">
        <v>-0.13</v>
      </c>
      <c r="E1488" s="12">
        <v>-0.003</v>
      </c>
      <c r="F1488" s="6">
        <v>42.8</v>
      </c>
      <c r="G1488" s="6">
        <v>42.63</v>
      </c>
      <c r="H1488" s="6">
        <v>42.93</v>
      </c>
      <c r="I1488" s="9">
        <v>4.9571231E7</v>
      </c>
      <c r="J1488" s="6">
        <v>2.13184870379E9</v>
      </c>
    </row>
    <row r="1489">
      <c r="A1489" s="4" t="s">
        <v>10</v>
      </c>
      <c r="B1489" s="5">
        <v>43796.0</v>
      </c>
      <c r="C1489" s="6">
        <v>42.96</v>
      </c>
      <c r="D1489" s="13">
        <f>+0.05</f>
        <v>0.05</v>
      </c>
      <c r="E1489" s="14">
        <f>+0.12%</f>
        <v>0.0012</v>
      </c>
      <c r="F1489" s="6">
        <v>42.83</v>
      </c>
      <c r="G1489" s="6">
        <v>42.76</v>
      </c>
      <c r="H1489" s="6">
        <v>42.98</v>
      </c>
      <c r="I1489" s="9">
        <v>3.0402274E7</v>
      </c>
      <c r="J1489" s="6">
        <v>1.31156921167E9</v>
      </c>
    </row>
    <row r="1490">
      <c r="A1490" s="4" t="s">
        <v>10</v>
      </c>
      <c r="B1490" s="5">
        <v>43798.0</v>
      </c>
      <c r="C1490" s="6">
        <v>42.28</v>
      </c>
      <c r="D1490" s="11">
        <v>-0.68</v>
      </c>
      <c r="E1490" s="12">
        <v>-0.0157</v>
      </c>
      <c r="F1490" s="6">
        <v>42.38</v>
      </c>
      <c r="G1490" s="6">
        <v>42.28</v>
      </c>
      <c r="H1490" s="6">
        <v>42.46</v>
      </c>
      <c r="I1490" s="9">
        <v>3.547663E7</v>
      </c>
      <c r="J1490" s="6">
        <v>1.51074404431E9</v>
      </c>
    </row>
    <row r="1491">
      <c r="A1491" s="4" t="s">
        <v>10</v>
      </c>
      <c r="B1491" s="5">
        <v>43801.0</v>
      </c>
      <c r="C1491" s="6">
        <v>42.27</v>
      </c>
      <c r="D1491" s="11">
        <v>-0.01</v>
      </c>
      <c r="E1491" s="12">
        <v>-2.0E-4</v>
      </c>
      <c r="F1491" s="6">
        <v>42.41</v>
      </c>
      <c r="G1491" s="6">
        <v>42.12</v>
      </c>
      <c r="H1491" s="6">
        <v>42.42</v>
      </c>
      <c r="I1491" s="9">
        <v>5.9779443E7</v>
      </c>
      <c r="J1491" s="6">
        <v>2.54116115724E9</v>
      </c>
    </row>
    <row r="1492">
      <c r="A1492" s="4" t="s">
        <v>10</v>
      </c>
      <c r="B1492" s="5">
        <v>43802.0</v>
      </c>
      <c r="C1492" s="6">
        <v>42.06</v>
      </c>
      <c r="D1492" s="11">
        <v>-0.22</v>
      </c>
      <c r="E1492" s="12">
        <v>-0.0052</v>
      </c>
      <c r="F1492" s="6">
        <v>41.91</v>
      </c>
      <c r="G1492" s="6">
        <v>41.72</v>
      </c>
      <c r="H1492" s="6">
        <v>42.07</v>
      </c>
      <c r="I1492" s="9">
        <v>5.0646616E7</v>
      </c>
      <c r="J1492" s="6">
        <v>2.1357287652E9</v>
      </c>
    </row>
    <row r="1493">
      <c r="A1493" s="4" t="s">
        <v>10</v>
      </c>
      <c r="B1493" s="5">
        <v>43803.0</v>
      </c>
      <c r="C1493" s="6">
        <v>42.37</v>
      </c>
      <c r="D1493" s="13">
        <f>+0.32</f>
        <v>0.32</v>
      </c>
      <c r="E1493" s="14">
        <f>+0.76%</f>
        <v>0.0076</v>
      </c>
      <c r="F1493" s="6">
        <v>42.37</v>
      </c>
      <c r="G1493" s="6">
        <v>42.31</v>
      </c>
      <c r="H1493" s="6">
        <v>42.44</v>
      </c>
      <c r="I1493" s="9">
        <v>4.7026121E7</v>
      </c>
      <c r="J1493" s="6">
        <v>2.00497237255E9</v>
      </c>
    </row>
    <row r="1494">
      <c r="A1494" s="4" t="s">
        <v>10</v>
      </c>
      <c r="B1494" s="5">
        <v>43804.0</v>
      </c>
      <c r="C1494" s="6">
        <v>42.56</v>
      </c>
      <c r="D1494" s="13">
        <f>+0.19</f>
        <v>0.19</v>
      </c>
      <c r="E1494" s="14">
        <f>+0.45%</f>
        <v>0.0045</v>
      </c>
      <c r="F1494" s="6">
        <v>42.46</v>
      </c>
      <c r="G1494" s="6">
        <v>42.39</v>
      </c>
      <c r="H1494" s="6">
        <v>42.62</v>
      </c>
      <c r="I1494" s="9">
        <v>4.3346776E7</v>
      </c>
      <c r="J1494" s="6">
        <v>1.85504905422E9</v>
      </c>
    </row>
    <row r="1495">
      <c r="A1495" s="4" t="s">
        <v>10</v>
      </c>
      <c r="B1495" s="5">
        <v>43805.0</v>
      </c>
      <c r="C1495" s="6">
        <v>42.81</v>
      </c>
      <c r="D1495" s="13">
        <f>+0.25</f>
        <v>0.25</v>
      </c>
      <c r="E1495" s="14">
        <f>+0.58%</f>
        <v>0.0058</v>
      </c>
      <c r="F1495" s="6">
        <v>42.81</v>
      </c>
      <c r="G1495" s="6">
        <v>42.72</v>
      </c>
      <c r="H1495" s="6">
        <v>42.87</v>
      </c>
      <c r="I1495" s="9">
        <v>5.6768682E7</v>
      </c>
      <c r="J1495" s="6">
        <v>2.44466463744E9</v>
      </c>
    </row>
    <row r="1496">
      <c r="A1496" s="4" t="s">
        <v>10</v>
      </c>
      <c r="B1496" s="5">
        <v>43808.0</v>
      </c>
      <c r="C1496" s="6">
        <v>42.64</v>
      </c>
      <c r="D1496" s="11">
        <v>-0.17</v>
      </c>
      <c r="E1496" s="12">
        <v>-0.0039</v>
      </c>
      <c r="F1496" s="6">
        <v>42.77</v>
      </c>
      <c r="G1496" s="6">
        <v>42.62</v>
      </c>
      <c r="H1496" s="6">
        <v>42.91</v>
      </c>
      <c r="I1496" s="9">
        <v>3.8944673E7</v>
      </c>
      <c r="J1496" s="6">
        <v>1.67354437509E9</v>
      </c>
    </row>
    <row r="1497">
      <c r="A1497" s="4" t="s">
        <v>10</v>
      </c>
      <c r="B1497" s="5">
        <v>43809.0</v>
      </c>
      <c r="C1497" s="6">
        <v>42.79</v>
      </c>
      <c r="D1497" s="13">
        <f>+0.15</f>
        <v>0.15</v>
      </c>
      <c r="E1497" s="14">
        <f>+0.35%</f>
        <v>0.0035</v>
      </c>
      <c r="F1497" s="6">
        <v>42.73</v>
      </c>
      <c r="G1497" s="6">
        <v>42.65</v>
      </c>
      <c r="H1497" s="6">
        <v>42.88</v>
      </c>
      <c r="I1497" s="9">
        <v>3.4791262E7</v>
      </c>
      <c r="J1497" s="6">
        <v>1.49765561556E9</v>
      </c>
    </row>
    <row r="1498">
      <c r="A1498" s="4" t="s">
        <v>10</v>
      </c>
      <c r="B1498" s="5">
        <v>43810.0</v>
      </c>
      <c r="C1498" s="6">
        <v>43.42</v>
      </c>
      <c r="D1498" s="13">
        <f>+0.63</f>
        <v>0.63</v>
      </c>
      <c r="E1498" s="14">
        <f>+1.46%</f>
        <v>0.0146</v>
      </c>
      <c r="F1498" s="6">
        <v>43.03</v>
      </c>
      <c r="G1498" s="6">
        <v>43.01</v>
      </c>
      <c r="H1498" s="6">
        <v>43.46</v>
      </c>
      <c r="I1498" s="9">
        <v>6.0086474E7</v>
      </c>
      <c r="J1498" s="6">
        <v>2.61524786484E9</v>
      </c>
    </row>
    <row r="1499">
      <c r="A1499" s="4" t="s">
        <v>10</v>
      </c>
      <c r="B1499" s="5">
        <v>43811.0</v>
      </c>
      <c r="C1499" s="6">
        <v>44.17</v>
      </c>
      <c r="D1499" s="13">
        <f>+0.76</f>
        <v>0.76</v>
      </c>
      <c r="E1499" s="14">
        <f>+1.74%</f>
        <v>0.0174</v>
      </c>
      <c r="F1499" s="6">
        <v>43.55</v>
      </c>
      <c r="G1499" s="6">
        <v>43.51</v>
      </c>
      <c r="H1499" s="6">
        <v>44.23</v>
      </c>
      <c r="I1499" s="9">
        <v>1.32214567E8</v>
      </c>
      <c r="J1499" s="6">
        <v>5.85633917206E9</v>
      </c>
    </row>
    <row r="1500">
      <c r="A1500" s="4" t="s">
        <v>10</v>
      </c>
      <c r="B1500" s="5">
        <v>43812.0</v>
      </c>
      <c r="C1500" s="6">
        <v>44.15</v>
      </c>
      <c r="D1500" s="11">
        <v>-0.02</v>
      </c>
      <c r="E1500" s="12">
        <v>-5.0E-4</v>
      </c>
      <c r="F1500" s="6">
        <v>44.28</v>
      </c>
      <c r="G1500" s="6">
        <v>44.03</v>
      </c>
      <c r="H1500" s="6">
        <v>44.6</v>
      </c>
      <c r="I1500" s="9">
        <v>1.60526984E8</v>
      </c>
      <c r="J1500" s="6">
        <v>7.14091367826E9</v>
      </c>
    </row>
    <row r="1501">
      <c r="A1501" s="4" t="s">
        <v>10</v>
      </c>
      <c r="B1501" s="5">
        <v>43815.0</v>
      </c>
      <c r="C1501" s="6">
        <v>43.86</v>
      </c>
      <c r="D1501" s="11">
        <v>-0.29</v>
      </c>
      <c r="E1501" s="12">
        <v>-0.0067</v>
      </c>
      <c r="F1501" s="6">
        <v>43.89</v>
      </c>
      <c r="G1501" s="6">
        <v>43.82</v>
      </c>
      <c r="H1501" s="6">
        <v>44.01</v>
      </c>
      <c r="I1501" s="9">
        <v>8.1834034E7</v>
      </c>
      <c r="J1501" s="6">
        <v>3.59318779046E9</v>
      </c>
    </row>
    <row r="1502">
      <c r="A1502" s="4" t="s">
        <v>10</v>
      </c>
      <c r="B1502" s="5">
        <v>43816.0</v>
      </c>
      <c r="C1502" s="6">
        <v>44.26</v>
      </c>
      <c r="D1502" s="13">
        <f>+0.4</f>
        <v>0.4</v>
      </c>
      <c r="E1502" s="14">
        <f>+0.91%</f>
        <v>0.0091</v>
      </c>
      <c r="F1502" s="6">
        <v>44.2</v>
      </c>
      <c r="G1502" s="6">
        <v>44.12</v>
      </c>
      <c r="H1502" s="6">
        <v>44.31</v>
      </c>
      <c r="I1502" s="9">
        <v>7.9061249E7</v>
      </c>
      <c r="J1502" s="6">
        <v>3.49677047535E9</v>
      </c>
    </row>
    <row r="1503">
      <c r="A1503" s="4" t="s">
        <v>10</v>
      </c>
      <c r="B1503" s="5">
        <v>43817.0</v>
      </c>
      <c r="C1503" s="6">
        <v>44.5</v>
      </c>
      <c r="D1503" s="13">
        <f>+0.24</f>
        <v>0.24</v>
      </c>
      <c r="E1503" s="14">
        <f>+0.54%</f>
        <v>0.0054</v>
      </c>
      <c r="F1503" s="6">
        <v>44.46</v>
      </c>
      <c r="G1503" s="6">
        <v>44.36</v>
      </c>
      <c r="H1503" s="6">
        <v>44.51</v>
      </c>
      <c r="I1503" s="9">
        <v>6.7065055E7</v>
      </c>
      <c r="J1503" s="6">
        <v>2.98150794048E9</v>
      </c>
    </row>
    <row r="1504">
      <c r="A1504" s="4" t="s">
        <v>10</v>
      </c>
      <c r="B1504" s="5">
        <v>43818.0</v>
      </c>
      <c r="C1504" s="6">
        <v>44.52</v>
      </c>
      <c r="D1504" s="13">
        <f>+0.02</f>
        <v>0.02</v>
      </c>
      <c r="E1504" s="14">
        <f>+0.04%</f>
        <v>0.0004</v>
      </c>
      <c r="F1504" s="6">
        <v>44.36</v>
      </c>
      <c r="G1504" s="6">
        <v>44.33</v>
      </c>
      <c r="H1504" s="6">
        <v>44.53</v>
      </c>
      <c r="I1504" s="9">
        <v>5.936493E7</v>
      </c>
      <c r="J1504" s="6">
        <v>2.64010017353E9</v>
      </c>
    </row>
    <row r="1505">
      <c r="A1505" s="4" t="s">
        <v>10</v>
      </c>
      <c r="B1505" s="5">
        <v>43819.0</v>
      </c>
      <c r="C1505" s="6">
        <v>44.61</v>
      </c>
      <c r="D1505" s="13">
        <f>+0.09</f>
        <v>0.09</v>
      </c>
      <c r="E1505" s="14">
        <f>+0.2%</f>
        <v>0.002</v>
      </c>
      <c r="F1505" s="6">
        <v>44.57</v>
      </c>
      <c r="G1505" s="6">
        <v>44.5</v>
      </c>
      <c r="H1505" s="6">
        <v>44.67</v>
      </c>
      <c r="I1505" s="9">
        <v>6.9296997E7</v>
      </c>
      <c r="J1505" s="6">
        <v>3.08914821545E9</v>
      </c>
    </row>
    <row r="1506">
      <c r="A1506" s="4" t="s">
        <v>10</v>
      </c>
      <c r="B1506" s="5">
        <v>43822.0</v>
      </c>
      <c r="C1506" s="6">
        <v>44.67</v>
      </c>
      <c r="D1506" s="13">
        <f>+0.06</f>
        <v>0.06</v>
      </c>
      <c r="E1506" s="14">
        <f>+0.13%</f>
        <v>0.0013</v>
      </c>
      <c r="F1506" s="6">
        <v>44.59</v>
      </c>
      <c r="G1506" s="6">
        <v>44.54</v>
      </c>
      <c r="H1506" s="6">
        <v>44.67</v>
      </c>
      <c r="I1506" s="9">
        <v>2.9479481E7</v>
      </c>
      <c r="J1506" s="6">
        <v>1.31524194846E9</v>
      </c>
    </row>
    <row r="1507">
      <c r="A1507" s="4" t="s">
        <v>10</v>
      </c>
      <c r="B1507" s="5">
        <v>43823.0</v>
      </c>
      <c r="C1507" s="6">
        <v>44.57</v>
      </c>
      <c r="D1507" s="11">
        <v>-0.1</v>
      </c>
      <c r="E1507" s="12">
        <v>-0.0022</v>
      </c>
      <c r="F1507" s="6">
        <v>44.58</v>
      </c>
      <c r="G1507" s="6">
        <v>44.48</v>
      </c>
      <c r="H1507" s="6">
        <v>44.62</v>
      </c>
      <c r="I1507" s="9">
        <v>1.8951476E7</v>
      </c>
      <c r="J1507" s="6">
        <v>8.4422652001E8</v>
      </c>
    </row>
    <row r="1508">
      <c r="A1508" s="4" t="s">
        <v>10</v>
      </c>
      <c r="B1508" s="5">
        <v>43825.0</v>
      </c>
      <c r="C1508" s="6">
        <v>44.89</v>
      </c>
      <c r="D1508" s="13">
        <f>+0.32</f>
        <v>0.32</v>
      </c>
      <c r="E1508" s="14">
        <f>+0.72%</f>
        <v>0.0072</v>
      </c>
      <c r="F1508" s="6">
        <v>44.74</v>
      </c>
      <c r="G1508" s="6">
        <v>44.72</v>
      </c>
      <c r="H1508" s="6">
        <v>44.91</v>
      </c>
      <c r="I1508" s="9">
        <v>2.4948037E7</v>
      </c>
      <c r="J1508" s="6">
        <v>1.11898138052E9</v>
      </c>
    </row>
    <row r="1509">
      <c r="A1509" s="4" t="s">
        <v>10</v>
      </c>
      <c r="B1509" s="5">
        <v>43826.0</v>
      </c>
      <c r="C1509" s="6">
        <v>45.07</v>
      </c>
      <c r="D1509" s="13">
        <f>+0.18</f>
        <v>0.18</v>
      </c>
      <c r="E1509" s="14">
        <f>+0.4%</f>
        <v>0.004</v>
      </c>
      <c r="F1509" s="6">
        <v>45.18</v>
      </c>
      <c r="G1509" s="6">
        <v>44.95</v>
      </c>
      <c r="H1509" s="6">
        <v>45.2</v>
      </c>
      <c r="I1509" s="9">
        <v>4.8408338E7</v>
      </c>
      <c r="J1509" s="6">
        <v>2.18209265068E9</v>
      </c>
    </row>
    <row r="1510">
      <c r="A1510" s="4" t="s">
        <v>10</v>
      </c>
      <c r="B1510" s="5">
        <v>43829.0</v>
      </c>
      <c r="C1510" s="6">
        <v>44.77</v>
      </c>
      <c r="D1510" s="11">
        <v>-0.3</v>
      </c>
      <c r="E1510" s="12">
        <v>-0.0067</v>
      </c>
      <c r="F1510" s="6">
        <v>45.18</v>
      </c>
      <c r="G1510" s="6">
        <v>44.71</v>
      </c>
      <c r="H1510" s="6">
        <v>45.18</v>
      </c>
      <c r="I1510" s="9">
        <v>4.4528115E7</v>
      </c>
      <c r="J1510" s="6">
        <v>1.9990608305E9</v>
      </c>
    </row>
    <row r="1511">
      <c r="A1511" s="4" t="s">
        <v>10</v>
      </c>
      <c r="B1511" s="5">
        <v>43830.0</v>
      </c>
      <c r="C1511" s="6">
        <v>44.87</v>
      </c>
      <c r="D1511" s="13">
        <f>+0.1</f>
        <v>0.1</v>
      </c>
      <c r="E1511" s="14">
        <f>+0.22%</f>
        <v>0.0022</v>
      </c>
      <c r="F1511" s="6">
        <v>44.8</v>
      </c>
      <c r="G1511" s="6">
        <v>44.68</v>
      </c>
      <c r="H1511" s="6">
        <v>44.92</v>
      </c>
      <c r="I1511" s="9">
        <v>4.7295482E7</v>
      </c>
      <c r="J1511" s="6">
        <v>2.11979510685E9</v>
      </c>
    </row>
    <row r="1512">
      <c r="A1512" s="4" t="s">
        <v>10</v>
      </c>
      <c r="B1512" s="5">
        <v>43832.0</v>
      </c>
      <c r="C1512" s="6">
        <v>45.78</v>
      </c>
      <c r="D1512" s="13">
        <f>+0.91</f>
        <v>0.91</v>
      </c>
      <c r="E1512" s="14">
        <f>+2.03%</f>
        <v>0.0203</v>
      </c>
      <c r="F1512" s="6">
        <v>45.36</v>
      </c>
      <c r="G1512" s="6">
        <v>45.35</v>
      </c>
      <c r="H1512" s="6">
        <v>45.78</v>
      </c>
      <c r="I1512" s="9">
        <v>7.8491559E7</v>
      </c>
      <c r="J1512" s="6">
        <v>3.57821568794E9</v>
      </c>
    </row>
    <row r="1513">
      <c r="A1513" s="4" t="s">
        <v>10</v>
      </c>
      <c r="B1513" s="5">
        <v>43833.0</v>
      </c>
      <c r="C1513" s="6">
        <v>44.93</v>
      </c>
      <c r="D1513" s="11">
        <v>-0.85</v>
      </c>
      <c r="E1513" s="12">
        <v>-0.0186</v>
      </c>
      <c r="F1513" s="6">
        <v>45.03</v>
      </c>
      <c r="G1513" s="6">
        <v>44.91</v>
      </c>
      <c r="H1513" s="6">
        <v>45.26</v>
      </c>
      <c r="I1513" s="9">
        <v>7.9002404E7</v>
      </c>
      <c r="J1513" s="6">
        <v>3.56061692679E9</v>
      </c>
    </row>
    <row r="1514">
      <c r="A1514" s="4" t="s">
        <v>10</v>
      </c>
      <c r="B1514" s="5">
        <v>43836.0</v>
      </c>
      <c r="C1514" s="6">
        <v>44.82</v>
      </c>
      <c r="D1514" s="11">
        <v>-0.11</v>
      </c>
      <c r="E1514" s="12">
        <v>-0.0024</v>
      </c>
      <c r="F1514" s="6">
        <v>44.6</v>
      </c>
      <c r="G1514" s="6">
        <v>44.59</v>
      </c>
      <c r="H1514" s="6">
        <v>44.87</v>
      </c>
      <c r="I1514" s="9">
        <v>4.0087897E7</v>
      </c>
      <c r="J1514" s="6">
        <v>1.79466330577E9</v>
      </c>
    </row>
    <row r="1515">
      <c r="A1515" s="4" t="s">
        <v>10</v>
      </c>
      <c r="B1515" s="5">
        <v>43837.0</v>
      </c>
      <c r="C1515" s="6">
        <v>44.79</v>
      </c>
      <c r="D1515" s="11">
        <v>-0.03</v>
      </c>
      <c r="E1515" s="12">
        <v>-7.0E-4</v>
      </c>
      <c r="F1515" s="6">
        <v>44.79</v>
      </c>
      <c r="G1515" s="6">
        <v>44.69</v>
      </c>
      <c r="H1515" s="6">
        <v>44.9</v>
      </c>
      <c r="I1515" s="9">
        <v>6.5784053E7</v>
      </c>
      <c r="J1515" s="6">
        <v>2.94783741407E9</v>
      </c>
    </row>
    <row r="1516">
      <c r="A1516" s="4" t="s">
        <v>10</v>
      </c>
      <c r="B1516" s="5">
        <v>43838.0</v>
      </c>
      <c r="C1516" s="6">
        <v>45.05</v>
      </c>
      <c r="D1516" s="13">
        <f>+0.26</f>
        <v>0.26</v>
      </c>
      <c r="E1516" s="14">
        <f>+0.58%</f>
        <v>0.0058</v>
      </c>
      <c r="F1516" s="6">
        <v>44.73</v>
      </c>
      <c r="G1516" s="6">
        <v>44.69</v>
      </c>
      <c r="H1516" s="6">
        <v>45.3</v>
      </c>
      <c r="I1516" s="9">
        <v>8.6913292E7</v>
      </c>
      <c r="J1516" s="6">
        <v>3.91478910811E9</v>
      </c>
    </row>
    <row r="1517">
      <c r="A1517" s="4" t="s">
        <v>10</v>
      </c>
      <c r="B1517" s="5">
        <v>43839.0</v>
      </c>
      <c r="C1517" s="6">
        <v>45.35</v>
      </c>
      <c r="D1517" s="13">
        <f>+0.3</f>
        <v>0.3</v>
      </c>
      <c r="E1517" s="14">
        <f>+0.67%</f>
        <v>0.0067</v>
      </c>
      <c r="F1517" s="6">
        <v>45.48</v>
      </c>
      <c r="G1517" s="6">
        <v>45.26</v>
      </c>
      <c r="H1517" s="6">
        <v>45.48</v>
      </c>
      <c r="I1517" s="9">
        <v>5.3200703E7</v>
      </c>
      <c r="J1517" s="6">
        <v>2.41324759413E9</v>
      </c>
    </row>
    <row r="1518">
      <c r="A1518" s="4" t="s">
        <v>10</v>
      </c>
      <c r="B1518" s="5">
        <v>43840.0</v>
      </c>
      <c r="C1518" s="6">
        <v>45.59</v>
      </c>
      <c r="D1518" s="13">
        <f>+0.24</f>
        <v>0.24</v>
      </c>
      <c r="E1518" s="14">
        <f>+0.53%</f>
        <v>0.0053</v>
      </c>
      <c r="F1518" s="6">
        <v>45.64</v>
      </c>
      <c r="G1518" s="6">
        <v>45.53</v>
      </c>
      <c r="H1518" s="6">
        <v>45.77</v>
      </c>
      <c r="I1518" s="9">
        <v>6.7573809E7</v>
      </c>
      <c r="J1518" s="6">
        <v>3.08318430705E9</v>
      </c>
    </row>
    <row r="1519">
      <c r="A1519" s="4" t="s">
        <v>10</v>
      </c>
      <c r="B1519" s="5">
        <v>43843.0</v>
      </c>
      <c r="C1519" s="6">
        <v>46.3</v>
      </c>
      <c r="D1519" s="13">
        <f>+0.71</f>
        <v>0.71</v>
      </c>
      <c r="E1519" s="14">
        <f>+1.56%</f>
        <v>0.0156</v>
      </c>
      <c r="F1519" s="6">
        <v>45.91</v>
      </c>
      <c r="G1519" s="6">
        <v>45.81</v>
      </c>
      <c r="H1519" s="6">
        <v>46.32</v>
      </c>
      <c r="I1519" s="9">
        <v>7.9596939E7</v>
      </c>
      <c r="J1519" s="6">
        <v>3.67417425413E9</v>
      </c>
    </row>
    <row r="1520">
      <c r="A1520" s="4" t="s">
        <v>10</v>
      </c>
      <c r="B1520" s="5">
        <v>43844.0</v>
      </c>
      <c r="C1520" s="6">
        <v>46.04</v>
      </c>
      <c r="D1520" s="11">
        <v>-0.26</v>
      </c>
      <c r="E1520" s="12">
        <v>-0.0056</v>
      </c>
      <c r="F1520" s="6">
        <v>46.03</v>
      </c>
      <c r="G1520" s="6">
        <v>45.82</v>
      </c>
      <c r="H1520" s="6">
        <v>46.07</v>
      </c>
      <c r="I1520" s="9">
        <v>7.5761995E7</v>
      </c>
      <c r="J1520" s="6">
        <v>3.48259613086E9</v>
      </c>
    </row>
    <row r="1521">
      <c r="A1521" s="4" t="s">
        <v>10</v>
      </c>
      <c r="B1521" s="5">
        <v>43845.0</v>
      </c>
      <c r="C1521" s="6">
        <v>45.68</v>
      </c>
      <c r="D1521" s="11">
        <v>-0.36</v>
      </c>
      <c r="E1521" s="12">
        <v>-0.0078</v>
      </c>
      <c r="F1521" s="6">
        <v>45.87</v>
      </c>
      <c r="G1521" s="6">
        <v>45.61</v>
      </c>
      <c r="H1521" s="6">
        <v>45.92</v>
      </c>
      <c r="I1521" s="9">
        <v>6.0620612E7</v>
      </c>
      <c r="J1521" s="6">
        <v>2.77220940798E9</v>
      </c>
    </row>
    <row r="1522">
      <c r="A1522" s="4" t="s">
        <v>10</v>
      </c>
      <c r="B1522" s="5">
        <v>43846.0</v>
      </c>
      <c r="C1522" s="6">
        <v>45.97</v>
      </c>
      <c r="D1522" s="13">
        <f>+0.29</f>
        <v>0.29</v>
      </c>
      <c r="E1522" s="14">
        <f>+0.63%</f>
        <v>0.0063</v>
      </c>
      <c r="F1522" s="6">
        <v>45.98</v>
      </c>
      <c r="G1522" s="6">
        <v>45.83</v>
      </c>
      <c r="H1522" s="6">
        <v>46.04</v>
      </c>
      <c r="I1522" s="9">
        <v>5.0712674E7</v>
      </c>
      <c r="J1522" s="6">
        <v>2.32856844445E9</v>
      </c>
    </row>
    <row r="1523">
      <c r="A1523" s="4" t="s">
        <v>10</v>
      </c>
      <c r="B1523" s="5">
        <v>43847.0</v>
      </c>
      <c r="C1523" s="6">
        <v>46.23</v>
      </c>
      <c r="D1523" s="13">
        <f>+0.26</f>
        <v>0.26</v>
      </c>
      <c r="E1523" s="14">
        <f>+0.57%</f>
        <v>0.0057</v>
      </c>
      <c r="F1523" s="6">
        <v>46.12</v>
      </c>
      <c r="G1523" s="6">
        <v>46.01</v>
      </c>
      <c r="H1523" s="6">
        <v>46.26</v>
      </c>
      <c r="I1523" s="9">
        <v>7.2382094E7</v>
      </c>
      <c r="J1523" s="6">
        <v>3.34104255788E9</v>
      </c>
    </row>
    <row r="1524">
      <c r="A1524" s="4" t="s">
        <v>10</v>
      </c>
      <c r="B1524" s="5">
        <v>43851.0</v>
      </c>
      <c r="C1524" s="6">
        <v>45.06</v>
      </c>
      <c r="D1524" s="11">
        <v>-1.17</v>
      </c>
      <c r="E1524" s="12">
        <v>-0.0253</v>
      </c>
      <c r="F1524" s="6">
        <v>45.27</v>
      </c>
      <c r="G1524" s="6">
        <v>45.03</v>
      </c>
      <c r="H1524" s="6">
        <v>45.35</v>
      </c>
      <c r="I1524" s="9">
        <v>1.06662596E8</v>
      </c>
      <c r="J1524" s="6">
        <v>4.81949592615E9</v>
      </c>
    </row>
    <row r="1525">
      <c r="A1525" s="4" t="s">
        <v>10</v>
      </c>
      <c r="B1525" s="5">
        <v>43852.0</v>
      </c>
      <c r="C1525" s="6">
        <v>45.43</v>
      </c>
      <c r="D1525" s="13">
        <f>+0.37</f>
        <v>0.37</v>
      </c>
      <c r="E1525" s="14">
        <f>+0.82%</f>
        <v>0.0082</v>
      </c>
      <c r="F1525" s="6">
        <v>45.56</v>
      </c>
      <c r="G1525" s="6">
        <v>45.3</v>
      </c>
      <c r="H1525" s="6">
        <v>45.58</v>
      </c>
      <c r="I1525" s="9">
        <v>5.758505E7</v>
      </c>
      <c r="J1525" s="6">
        <v>2.61555253917E9</v>
      </c>
    </row>
    <row r="1526">
      <c r="A1526" s="4" t="s">
        <v>10</v>
      </c>
      <c r="B1526" s="5">
        <v>43853.0</v>
      </c>
      <c r="C1526" s="6">
        <v>44.96</v>
      </c>
      <c r="D1526" s="11">
        <v>-0.47</v>
      </c>
      <c r="E1526" s="12">
        <v>-0.0103</v>
      </c>
      <c r="F1526" s="6">
        <v>44.72</v>
      </c>
      <c r="G1526" s="6">
        <v>44.48</v>
      </c>
      <c r="H1526" s="6">
        <v>45.1</v>
      </c>
      <c r="I1526" s="9">
        <v>8.8714278E7</v>
      </c>
      <c r="J1526" s="6">
        <v>3.96694093943E9</v>
      </c>
    </row>
    <row r="1527">
      <c r="A1527" s="4" t="s">
        <v>10</v>
      </c>
      <c r="B1527" s="5">
        <v>43854.0</v>
      </c>
      <c r="C1527" s="6">
        <v>44.6</v>
      </c>
      <c r="D1527" s="11">
        <v>-0.36</v>
      </c>
      <c r="E1527" s="12">
        <v>-0.008</v>
      </c>
      <c r="F1527" s="6">
        <v>45.02</v>
      </c>
      <c r="G1527" s="6">
        <v>44.39</v>
      </c>
      <c r="H1527" s="6">
        <v>45.03</v>
      </c>
      <c r="I1527" s="9">
        <v>8.8654523E7</v>
      </c>
      <c r="J1527" s="6">
        <v>3.96215579885E9</v>
      </c>
    </row>
    <row r="1528">
      <c r="A1528" s="4" t="s">
        <v>10</v>
      </c>
      <c r="B1528" s="5">
        <v>43857.0</v>
      </c>
      <c r="C1528" s="6">
        <v>43.06</v>
      </c>
      <c r="D1528" s="11">
        <v>-1.54</v>
      </c>
      <c r="E1528" s="12">
        <v>-0.0345</v>
      </c>
      <c r="F1528" s="6">
        <v>42.74</v>
      </c>
      <c r="G1528" s="6">
        <v>42.66</v>
      </c>
      <c r="H1528" s="6">
        <v>44.97</v>
      </c>
      <c r="I1528" s="9">
        <v>1.2932178E8</v>
      </c>
      <c r="J1528" s="6">
        <v>5.57305585066E9</v>
      </c>
    </row>
    <row r="1529">
      <c r="A1529" s="4" t="s">
        <v>10</v>
      </c>
      <c r="B1529" s="5">
        <v>43858.0</v>
      </c>
      <c r="C1529" s="6">
        <v>43.42</v>
      </c>
      <c r="D1529" s="13">
        <f>+0.36</f>
        <v>0.36</v>
      </c>
      <c r="E1529" s="14">
        <f>+0.84%</f>
        <v>0.0084</v>
      </c>
      <c r="F1529" s="6">
        <v>43.22</v>
      </c>
      <c r="G1529" s="6">
        <v>43.03</v>
      </c>
      <c r="H1529" s="6">
        <v>43.5</v>
      </c>
      <c r="I1529" s="9">
        <v>8.2396721E7</v>
      </c>
      <c r="J1529" s="6">
        <v>3.5730612359E9</v>
      </c>
    </row>
    <row r="1530">
      <c r="A1530" s="4" t="s">
        <v>10</v>
      </c>
      <c r="B1530" s="5">
        <v>43859.0</v>
      </c>
      <c r="C1530" s="6">
        <v>43.63</v>
      </c>
      <c r="D1530" s="13">
        <f>+0.21</f>
        <v>0.21</v>
      </c>
      <c r="E1530" s="14">
        <f>+0.48%</f>
        <v>0.0048</v>
      </c>
      <c r="F1530" s="6">
        <v>43.76</v>
      </c>
      <c r="G1530" s="6">
        <v>43.5</v>
      </c>
      <c r="H1530" s="6">
        <v>43.79</v>
      </c>
      <c r="I1530" s="9">
        <v>5.1815669E7</v>
      </c>
      <c r="J1530" s="6">
        <v>2.26180530655E9</v>
      </c>
    </row>
    <row r="1531">
      <c r="A1531" s="4" t="s">
        <v>10</v>
      </c>
      <c r="B1531" s="5">
        <v>43860.0</v>
      </c>
      <c r="C1531" s="6">
        <v>42.98</v>
      </c>
      <c r="D1531" s="11">
        <v>-0.65</v>
      </c>
      <c r="E1531" s="12">
        <v>-0.0149</v>
      </c>
      <c r="F1531" s="6">
        <v>42.66</v>
      </c>
      <c r="G1531" s="6">
        <v>42.43</v>
      </c>
      <c r="H1531" s="6">
        <v>43.03</v>
      </c>
      <c r="I1531" s="9">
        <v>1.05864162E8</v>
      </c>
      <c r="J1531" s="6">
        <v>4.525161394E9</v>
      </c>
    </row>
    <row r="1532">
      <c r="A1532" s="4" t="s">
        <v>10</v>
      </c>
      <c r="B1532" s="5">
        <v>43861.0</v>
      </c>
      <c r="C1532" s="6">
        <v>42.11</v>
      </c>
      <c r="D1532" s="11">
        <v>-0.87</v>
      </c>
      <c r="E1532" s="12">
        <v>-0.0202</v>
      </c>
      <c r="F1532" s="6">
        <v>42.3</v>
      </c>
      <c r="G1532" s="6">
        <v>41.88</v>
      </c>
      <c r="H1532" s="6">
        <v>42.33</v>
      </c>
      <c r="I1532" s="9">
        <v>9.9532173E7</v>
      </c>
      <c r="J1532" s="6">
        <v>4.18688023941E9</v>
      </c>
    </row>
    <row r="1533">
      <c r="A1533" s="4" t="s">
        <v>10</v>
      </c>
      <c r="B1533" s="5">
        <v>43864.0</v>
      </c>
      <c r="C1533" s="6">
        <v>42.58</v>
      </c>
      <c r="D1533" s="13">
        <f>+0.47</f>
        <v>0.47</v>
      </c>
      <c r="E1533" s="14">
        <f>+1.12%</f>
        <v>0.0112</v>
      </c>
      <c r="F1533" s="6">
        <v>42.27</v>
      </c>
      <c r="G1533" s="6">
        <v>42.26</v>
      </c>
      <c r="H1533" s="6">
        <v>42.68</v>
      </c>
      <c r="I1533" s="9">
        <v>7.1311715E7</v>
      </c>
      <c r="J1533" s="6">
        <v>3.03496627534E9</v>
      </c>
    </row>
    <row r="1534">
      <c r="A1534" s="4" t="s">
        <v>10</v>
      </c>
      <c r="B1534" s="5">
        <v>43865.0</v>
      </c>
      <c r="C1534" s="6">
        <v>43.68</v>
      </c>
      <c r="D1534" s="13">
        <f>+1.1</f>
        <v>1.1</v>
      </c>
      <c r="E1534" s="14">
        <f>+2.58%</f>
        <v>0.0258</v>
      </c>
      <c r="F1534" s="6">
        <v>43.68</v>
      </c>
      <c r="G1534" s="6">
        <v>43.65</v>
      </c>
      <c r="H1534" s="6">
        <v>43.93</v>
      </c>
      <c r="I1534" s="9">
        <v>7.3939335E7</v>
      </c>
      <c r="J1534" s="6">
        <v>3.23555498527E9</v>
      </c>
    </row>
    <row r="1535">
      <c r="A1535" s="4" t="s">
        <v>10</v>
      </c>
      <c r="B1535" s="5">
        <v>43866.0</v>
      </c>
      <c r="C1535" s="6">
        <v>43.93</v>
      </c>
      <c r="D1535" s="13">
        <f>+0.25</f>
        <v>0.25</v>
      </c>
      <c r="E1535" s="14">
        <f>+0.57%</f>
        <v>0.0057</v>
      </c>
      <c r="F1535" s="6">
        <v>44.46</v>
      </c>
      <c r="G1535" s="6">
        <v>43.9</v>
      </c>
      <c r="H1535" s="6">
        <v>44.47</v>
      </c>
      <c r="I1535" s="9">
        <v>7.4350801E7</v>
      </c>
      <c r="J1535" s="6">
        <v>3.27560360744E9</v>
      </c>
    </row>
    <row r="1536">
      <c r="A1536" s="4" t="s">
        <v>10</v>
      </c>
      <c r="B1536" s="5">
        <v>43867.0</v>
      </c>
      <c r="C1536" s="6">
        <v>43.97</v>
      </c>
      <c r="D1536" s="13">
        <f>+0.04</f>
        <v>0.04</v>
      </c>
      <c r="E1536" s="14">
        <f>+0.09%</f>
        <v>0.0009</v>
      </c>
      <c r="F1536" s="6">
        <v>44.33</v>
      </c>
      <c r="G1536" s="6">
        <v>43.96</v>
      </c>
      <c r="H1536" s="6">
        <v>44.35</v>
      </c>
      <c r="I1536" s="9">
        <v>8.0118764E7</v>
      </c>
      <c r="J1536" s="6">
        <v>3.53317248894E9</v>
      </c>
    </row>
    <row r="1537">
      <c r="A1537" s="4" t="s">
        <v>10</v>
      </c>
      <c r="B1537" s="5">
        <v>43868.0</v>
      </c>
      <c r="C1537" s="6">
        <v>43.36</v>
      </c>
      <c r="D1537" s="11">
        <v>-0.61</v>
      </c>
      <c r="E1537" s="12">
        <v>-0.0139</v>
      </c>
      <c r="F1537" s="6">
        <v>43.53</v>
      </c>
      <c r="G1537" s="6">
        <v>43.25</v>
      </c>
      <c r="H1537" s="6">
        <v>43.55</v>
      </c>
      <c r="I1537" s="9">
        <v>5.8449867E7</v>
      </c>
      <c r="J1537" s="6">
        <v>2.53681564446E9</v>
      </c>
    </row>
    <row r="1538">
      <c r="A1538" s="4" t="s">
        <v>10</v>
      </c>
      <c r="B1538" s="5">
        <v>43871.0</v>
      </c>
      <c r="C1538" s="6">
        <v>43.6</v>
      </c>
      <c r="D1538" s="13">
        <f>+0.24</f>
        <v>0.24</v>
      </c>
      <c r="E1538" s="14">
        <f>+0.55%</f>
        <v>0.0055</v>
      </c>
      <c r="F1538" s="6">
        <v>43.38</v>
      </c>
      <c r="G1538" s="6">
        <v>43.38</v>
      </c>
      <c r="H1538" s="6">
        <v>43.63</v>
      </c>
      <c r="I1538" s="9">
        <v>4.5350815E7</v>
      </c>
      <c r="J1538" s="6">
        <v>1.9748038064E9</v>
      </c>
    </row>
    <row r="1539">
      <c r="A1539" s="4" t="s">
        <v>10</v>
      </c>
      <c r="B1539" s="5">
        <v>43872.0</v>
      </c>
      <c r="C1539" s="6">
        <v>44.17</v>
      </c>
      <c r="D1539" s="13">
        <f>+0.57</f>
        <v>0.57</v>
      </c>
      <c r="E1539" s="14">
        <f>+1.31%</f>
        <v>0.0131</v>
      </c>
      <c r="F1539" s="6">
        <v>44.14</v>
      </c>
      <c r="G1539" s="6">
        <v>44.08</v>
      </c>
      <c r="H1539" s="6">
        <v>44.41</v>
      </c>
      <c r="I1539" s="9">
        <v>5.8708609E7</v>
      </c>
      <c r="J1539" s="6">
        <v>2.59653461692E9</v>
      </c>
    </row>
    <row r="1540">
      <c r="A1540" s="4" t="s">
        <v>10</v>
      </c>
      <c r="B1540" s="5">
        <v>43873.0</v>
      </c>
      <c r="C1540" s="6">
        <v>44.77</v>
      </c>
      <c r="D1540" s="13">
        <f>+0.6</f>
        <v>0.6</v>
      </c>
      <c r="E1540" s="14">
        <f>+1.36%</f>
        <v>0.0136</v>
      </c>
      <c r="F1540" s="6">
        <v>44.59</v>
      </c>
      <c r="G1540" s="6">
        <v>44.5</v>
      </c>
      <c r="H1540" s="6">
        <v>44.84</v>
      </c>
      <c r="I1540" s="9">
        <v>4.1641128E7</v>
      </c>
      <c r="J1540" s="6">
        <v>1.86121168373E9</v>
      </c>
    </row>
    <row r="1541">
      <c r="A1541" s="4" t="s">
        <v>10</v>
      </c>
      <c r="B1541" s="5">
        <v>43874.0</v>
      </c>
      <c r="C1541" s="6">
        <v>44.18</v>
      </c>
      <c r="D1541" s="11">
        <v>-0.59</v>
      </c>
      <c r="E1541" s="12">
        <v>-0.0132</v>
      </c>
      <c r="F1541" s="6">
        <v>44.29</v>
      </c>
      <c r="G1541" s="6">
        <v>44.16</v>
      </c>
      <c r="H1541" s="6">
        <v>44.45</v>
      </c>
      <c r="I1541" s="9">
        <v>6.475752E7</v>
      </c>
      <c r="J1541" s="6">
        <v>2.86728579375E9</v>
      </c>
    </row>
    <row r="1542">
      <c r="A1542" s="4" t="s">
        <v>10</v>
      </c>
      <c r="B1542" s="5">
        <v>43875.0</v>
      </c>
      <c r="C1542" s="6">
        <v>44.2</v>
      </c>
      <c r="D1542" s="13">
        <f>+0.02</f>
        <v>0.02</v>
      </c>
      <c r="E1542" s="14">
        <f>+0.05%</f>
        <v>0.0005</v>
      </c>
      <c r="F1542" s="6">
        <v>44.46</v>
      </c>
      <c r="G1542" s="6">
        <v>44.04</v>
      </c>
      <c r="H1542" s="6">
        <v>44.47</v>
      </c>
      <c r="I1542" s="9">
        <v>4.5095608E7</v>
      </c>
      <c r="J1542" s="6">
        <v>1.99387033975E9</v>
      </c>
    </row>
    <row r="1543">
      <c r="A1543" s="4" t="s">
        <v>10</v>
      </c>
      <c r="B1543" s="5">
        <v>43879.0</v>
      </c>
      <c r="C1543" s="6">
        <v>43.91</v>
      </c>
      <c r="D1543" s="11">
        <v>-0.29</v>
      </c>
      <c r="E1543" s="12">
        <v>-0.0066</v>
      </c>
      <c r="F1543" s="6">
        <v>43.89</v>
      </c>
      <c r="G1543" s="6">
        <v>43.81</v>
      </c>
      <c r="H1543" s="6">
        <v>44.05</v>
      </c>
      <c r="I1543" s="9">
        <v>4.0181704E7</v>
      </c>
      <c r="J1543" s="6">
        <v>1.76515570512E9</v>
      </c>
    </row>
    <row r="1544">
      <c r="A1544" s="4" t="s">
        <v>10</v>
      </c>
      <c r="B1544" s="5">
        <v>43880.0</v>
      </c>
      <c r="C1544" s="6">
        <v>44.23</v>
      </c>
      <c r="D1544" s="13">
        <f>+0.32</f>
        <v>0.32</v>
      </c>
      <c r="E1544" s="14">
        <f>+0.73%</f>
        <v>0.0073</v>
      </c>
      <c r="F1544" s="6">
        <v>44.25</v>
      </c>
      <c r="G1544" s="6">
        <v>44.19</v>
      </c>
      <c r="H1544" s="6">
        <v>44.33</v>
      </c>
      <c r="I1544" s="9">
        <v>4.5651533E7</v>
      </c>
      <c r="J1544" s="6">
        <v>2.01981480306E9</v>
      </c>
    </row>
    <row r="1545">
      <c r="A1545" s="4" t="s">
        <v>10</v>
      </c>
      <c r="B1545" s="5">
        <v>43881.0</v>
      </c>
      <c r="C1545" s="6">
        <v>43.54</v>
      </c>
      <c r="D1545" s="11">
        <v>-0.69</v>
      </c>
      <c r="E1545" s="12">
        <v>-0.0156</v>
      </c>
      <c r="F1545" s="6">
        <v>43.88</v>
      </c>
      <c r="G1545" s="6">
        <v>43.4</v>
      </c>
      <c r="H1545" s="6">
        <v>44.34</v>
      </c>
      <c r="I1545" s="9">
        <v>1.09316283E8</v>
      </c>
      <c r="J1545" s="6">
        <v>4.76865208573E9</v>
      </c>
    </row>
    <row r="1546">
      <c r="A1546" s="4" t="s">
        <v>10</v>
      </c>
      <c r="B1546" s="5">
        <v>43882.0</v>
      </c>
      <c r="C1546" s="6">
        <v>43.29</v>
      </c>
      <c r="D1546" s="11">
        <v>-0.25</v>
      </c>
      <c r="E1546" s="12">
        <v>-0.0057</v>
      </c>
      <c r="F1546" s="6">
        <v>43.44</v>
      </c>
      <c r="G1546" s="6">
        <v>43.23</v>
      </c>
      <c r="H1546" s="6">
        <v>43.53</v>
      </c>
      <c r="I1546" s="9">
        <v>7.0553456E7</v>
      </c>
      <c r="J1546" s="6">
        <v>3.05887549275E9</v>
      </c>
    </row>
    <row r="1547">
      <c r="A1547" s="4" t="s">
        <v>10</v>
      </c>
      <c r="B1547" s="5">
        <v>43885.0</v>
      </c>
      <c r="C1547" s="6">
        <v>41.67</v>
      </c>
      <c r="D1547" s="11">
        <v>-1.62</v>
      </c>
      <c r="E1547" s="12">
        <v>-0.0374</v>
      </c>
      <c r="F1547" s="6">
        <v>41.46</v>
      </c>
      <c r="G1547" s="6">
        <v>41.43</v>
      </c>
      <c r="H1547" s="6">
        <v>41.91</v>
      </c>
      <c r="I1547" s="9">
        <v>1.01505576E8</v>
      </c>
      <c r="J1547" s="6">
        <v>4.23582712548E9</v>
      </c>
    </row>
    <row r="1548">
      <c r="A1548" s="4" t="s">
        <v>10</v>
      </c>
      <c r="B1548" s="5">
        <v>43886.0</v>
      </c>
      <c r="C1548" s="6">
        <v>41.34</v>
      </c>
      <c r="D1548" s="11">
        <v>-0.33</v>
      </c>
      <c r="E1548" s="12">
        <v>-0.0079</v>
      </c>
      <c r="F1548" s="6">
        <v>42.28</v>
      </c>
      <c r="G1548" s="6">
        <v>41.34</v>
      </c>
      <c r="H1548" s="6">
        <v>42.35</v>
      </c>
      <c r="I1548" s="9">
        <v>1.18601255E8</v>
      </c>
      <c r="J1548" s="6">
        <v>4.94185978819E9</v>
      </c>
    </row>
    <row r="1549">
      <c r="A1549" s="4" t="s">
        <v>10</v>
      </c>
      <c r="B1549" s="5">
        <v>43887.0</v>
      </c>
      <c r="C1549" s="6">
        <v>41.67</v>
      </c>
      <c r="D1549" s="13">
        <f>+0.33</f>
        <v>0.33</v>
      </c>
      <c r="E1549" s="14">
        <f>+0.8%</f>
        <v>0.008</v>
      </c>
      <c r="F1549" s="6">
        <v>41.83</v>
      </c>
      <c r="G1549" s="6">
        <v>41.64</v>
      </c>
      <c r="H1549" s="6">
        <v>42.24</v>
      </c>
      <c r="I1549" s="9">
        <v>1.09412604E8</v>
      </c>
      <c r="J1549" s="6">
        <v>4.58439115265E9</v>
      </c>
    </row>
    <row r="1550">
      <c r="A1550" s="4" t="s">
        <v>10</v>
      </c>
      <c r="B1550" s="5">
        <v>43888.0</v>
      </c>
      <c r="C1550" s="6">
        <v>40.67</v>
      </c>
      <c r="D1550" s="11">
        <v>-1.0</v>
      </c>
      <c r="E1550" s="12">
        <v>-0.024</v>
      </c>
      <c r="F1550" s="6">
        <v>41.21</v>
      </c>
      <c r="G1550" s="6">
        <v>40.66</v>
      </c>
      <c r="H1550" s="6">
        <v>41.52</v>
      </c>
      <c r="I1550" s="9">
        <v>1.51063157E8</v>
      </c>
      <c r="J1550" s="6">
        <v>6.19797922231E9</v>
      </c>
    </row>
    <row r="1551">
      <c r="A1551" s="4" t="s">
        <v>10</v>
      </c>
      <c r="B1551" s="5">
        <v>43889.0</v>
      </c>
      <c r="C1551" s="6">
        <v>40.52</v>
      </c>
      <c r="D1551" s="11">
        <v>-0.15</v>
      </c>
      <c r="E1551" s="12">
        <v>-0.0037</v>
      </c>
      <c r="F1551" s="6">
        <v>39.55</v>
      </c>
      <c r="G1551" s="6">
        <v>39.28</v>
      </c>
      <c r="H1551" s="6">
        <v>40.62</v>
      </c>
      <c r="I1551" s="9">
        <v>2.01191179E8</v>
      </c>
      <c r="J1551" s="6">
        <v>8.02115163432E9</v>
      </c>
    </row>
    <row r="1552">
      <c r="A1552" s="4" t="s">
        <v>10</v>
      </c>
      <c r="B1552" s="5">
        <v>43892.0</v>
      </c>
      <c r="C1552" s="6">
        <v>41.4</v>
      </c>
      <c r="D1552" s="13">
        <f>+0.88</f>
        <v>0.88</v>
      </c>
      <c r="E1552" s="14">
        <f>+2.17%</f>
        <v>0.0217</v>
      </c>
      <c r="F1552" s="6">
        <v>40.64</v>
      </c>
      <c r="G1552" s="6">
        <v>40.4</v>
      </c>
      <c r="H1552" s="6">
        <v>41.41</v>
      </c>
      <c r="I1552" s="9">
        <v>1.35152314E8</v>
      </c>
      <c r="J1552" s="6">
        <v>5.53014785657E9</v>
      </c>
    </row>
    <row r="1553">
      <c r="A1553" s="4" t="s">
        <v>10</v>
      </c>
      <c r="B1553" s="5">
        <v>43893.0</v>
      </c>
      <c r="C1553" s="6">
        <v>41.12</v>
      </c>
      <c r="D1553" s="11">
        <v>-0.28</v>
      </c>
      <c r="E1553" s="12">
        <v>-0.0068</v>
      </c>
      <c r="F1553" s="6">
        <v>41.41</v>
      </c>
      <c r="G1553" s="6">
        <v>40.83</v>
      </c>
      <c r="H1553" s="6">
        <v>42.08</v>
      </c>
      <c r="I1553" s="9">
        <v>1.41798744E8</v>
      </c>
      <c r="J1553" s="6">
        <v>5.87796369619E9</v>
      </c>
    </row>
    <row r="1554">
      <c r="A1554" s="4" t="s">
        <v>10</v>
      </c>
      <c r="B1554" s="5">
        <v>43894.0</v>
      </c>
      <c r="C1554" s="6">
        <v>41.85</v>
      </c>
      <c r="D1554" s="13">
        <f>+0.73</f>
        <v>0.73</v>
      </c>
      <c r="E1554" s="14">
        <f>+1.78%</f>
        <v>0.0178</v>
      </c>
      <c r="F1554" s="6">
        <v>41.74</v>
      </c>
      <c r="G1554" s="6">
        <v>41.51</v>
      </c>
      <c r="H1554" s="6">
        <v>41.93</v>
      </c>
      <c r="I1554" s="9">
        <v>8.0064751E7</v>
      </c>
      <c r="J1554" s="6">
        <v>3.34100954082E9</v>
      </c>
    </row>
    <row r="1555">
      <c r="A1555" s="4" t="s">
        <v>10</v>
      </c>
      <c r="B1555" s="5">
        <v>43895.0</v>
      </c>
      <c r="C1555" s="6">
        <v>40.97</v>
      </c>
      <c r="D1555" s="11">
        <v>-0.88</v>
      </c>
      <c r="E1555" s="12">
        <v>-0.021</v>
      </c>
      <c r="F1555" s="6">
        <v>41.52</v>
      </c>
      <c r="G1555" s="6">
        <v>40.8</v>
      </c>
      <c r="H1555" s="6">
        <v>41.68</v>
      </c>
      <c r="I1555" s="9">
        <v>1.07474246E8</v>
      </c>
      <c r="J1555" s="6">
        <v>4.43152317695E9</v>
      </c>
    </row>
    <row r="1556">
      <c r="A1556" s="4" t="s">
        <v>10</v>
      </c>
      <c r="B1556" s="5">
        <v>43896.0</v>
      </c>
      <c r="C1556" s="6">
        <v>40.13</v>
      </c>
      <c r="D1556" s="11">
        <v>-0.84</v>
      </c>
      <c r="E1556" s="12">
        <v>-0.0205</v>
      </c>
      <c r="F1556" s="6">
        <v>40.27</v>
      </c>
      <c r="G1556" s="6">
        <v>39.81</v>
      </c>
      <c r="H1556" s="6">
        <v>40.39</v>
      </c>
      <c r="I1556" s="9">
        <v>1.04006918E8</v>
      </c>
      <c r="J1556" s="6">
        <v>4.17158249836E9</v>
      </c>
    </row>
    <row r="1557">
      <c r="A1557" s="4" t="s">
        <v>10</v>
      </c>
      <c r="B1557" s="5">
        <v>43899.0</v>
      </c>
      <c r="C1557" s="6">
        <v>37.39</v>
      </c>
      <c r="D1557" s="11">
        <v>-2.74</v>
      </c>
      <c r="E1557" s="12">
        <v>-0.0683</v>
      </c>
      <c r="F1557" s="6">
        <v>37.23</v>
      </c>
      <c r="G1557" s="6">
        <v>36.6</v>
      </c>
      <c r="H1557" s="6">
        <v>38.1</v>
      </c>
      <c r="I1557" s="9">
        <v>1.43376875E8</v>
      </c>
      <c r="J1557" s="6">
        <v>5.38624794363E9</v>
      </c>
    </row>
    <row r="1558">
      <c r="A1558" s="4" t="s">
        <v>10</v>
      </c>
      <c r="B1558" s="5">
        <v>43900.0</v>
      </c>
      <c r="C1558" s="6">
        <v>39.29</v>
      </c>
      <c r="D1558" s="13">
        <f>+1.9</f>
        <v>1.9</v>
      </c>
      <c r="E1558" s="14">
        <f>+5.08%</f>
        <v>0.0508</v>
      </c>
      <c r="F1558" s="6">
        <v>38.95</v>
      </c>
      <c r="G1558" s="6">
        <v>38.17</v>
      </c>
      <c r="H1558" s="6">
        <v>39.33</v>
      </c>
      <c r="I1558" s="9">
        <v>1.42773748E8</v>
      </c>
      <c r="J1558" s="6">
        <v>5.5316076971E9</v>
      </c>
    </row>
    <row r="1559">
      <c r="A1559" s="4" t="s">
        <v>10</v>
      </c>
      <c r="B1559" s="5">
        <v>43901.0</v>
      </c>
      <c r="C1559" s="6">
        <v>37.46</v>
      </c>
      <c r="D1559" s="11">
        <v>-1.83</v>
      </c>
      <c r="E1559" s="12">
        <v>-0.0466</v>
      </c>
      <c r="F1559" s="6">
        <v>38.2</v>
      </c>
      <c r="G1559" s="6">
        <v>37.22</v>
      </c>
      <c r="H1559" s="6">
        <v>38.33</v>
      </c>
      <c r="I1559" s="9">
        <v>1.37908382E8</v>
      </c>
      <c r="J1559" s="6">
        <v>5.21246643615E9</v>
      </c>
    </row>
    <row r="1560">
      <c r="A1560" s="4" t="s">
        <v>10</v>
      </c>
      <c r="B1560" s="5">
        <v>43902.0</v>
      </c>
      <c r="C1560" s="6">
        <v>33.71</v>
      </c>
      <c r="D1560" s="11">
        <v>-3.75</v>
      </c>
      <c r="E1560" s="12">
        <v>-0.1001</v>
      </c>
      <c r="F1560" s="6">
        <v>34.13</v>
      </c>
      <c r="G1560" s="6">
        <v>32.89</v>
      </c>
      <c r="H1560" s="6">
        <v>34.67</v>
      </c>
      <c r="I1560" s="9">
        <v>1.71341239E8</v>
      </c>
      <c r="J1560" s="6">
        <v>5.78917143523E9</v>
      </c>
    </row>
    <row r="1561">
      <c r="A1561" s="4" t="s">
        <v>10</v>
      </c>
      <c r="B1561" s="5">
        <v>43903.0</v>
      </c>
      <c r="C1561" s="6">
        <v>36.14</v>
      </c>
      <c r="D1561" s="13">
        <f>+2.43</f>
        <v>2.43</v>
      </c>
      <c r="E1561" s="14">
        <f>+7.21%</f>
        <v>0.0721</v>
      </c>
      <c r="F1561" s="6">
        <v>36.61</v>
      </c>
      <c r="G1561" s="6">
        <v>34.38</v>
      </c>
      <c r="H1561" s="6">
        <v>36.7</v>
      </c>
      <c r="I1561" s="9">
        <v>1.28272917E8</v>
      </c>
      <c r="J1561" s="6">
        <v>4.55262406773E9</v>
      </c>
    </row>
    <row r="1562">
      <c r="A1562" s="4" t="s">
        <v>10</v>
      </c>
      <c r="B1562" s="5">
        <v>43906.0</v>
      </c>
      <c r="C1562" s="6">
        <v>31.63</v>
      </c>
      <c r="D1562" s="11">
        <v>-4.51</v>
      </c>
      <c r="E1562" s="12">
        <v>-0.1248</v>
      </c>
      <c r="F1562" s="6">
        <v>32.0</v>
      </c>
      <c r="G1562" s="6">
        <v>31.59</v>
      </c>
      <c r="H1562" s="6">
        <v>33.48</v>
      </c>
      <c r="I1562" s="9">
        <v>1.01553863E8</v>
      </c>
      <c r="J1562" s="6">
        <v>3.28264344375E9</v>
      </c>
    </row>
    <row r="1563">
      <c r="A1563" s="4" t="s">
        <v>10</v>
      </c>
      <c r="B1563" s="5">
        <v>43907.0</v>
      </c>
      <c r="C1563" s="6">
        <v>33.81</v>
      </c>
      <c r="D1563" s="13">
        <f>+2.18</f>
        <v>2.18</v>
      </c>
      <c r="E1563" s="14">
        <f>+6.89%</f>
        <v>0.0689</v>
      </c>
      <c r="F1563" s="6">
        <v>32.56</v>
      </c>
      <c r="G1563" s="6">
        <v>32.03</v>
      </c>
      <c r="H1563" s="6">
        <v>33.81</v>
      </c>
      <c r="I1563" s="9">
        <v>9.231086E7</v>
      </c>
      <c r="J1563" s="6">
        <v>3.06751865963E9</v>
      </c>
    </row>
    <row r="1564">
      <c r="A1564" s="4" t="s">
        <v>10</v>
      </c>
      <c r="B1564" s="5">
        <v>43908.0</v>
      </c>
      <c r="C1564" s="6">
        <v>30.89</v>
      </c>
      <c r="D1564" s="11">
        <v>-2.92</v>
      </c>
      <c r="E1564" s="12">
        <v>-0.0864</v>
      </c>
      <c r="F1564" s="6">
        <v>30.91</v>
      </c>
      <c r="G1564" s="6">
        <v>30.15</v>
      </c>
      <c r="H1564" s="6">
        <v>32.02</v>
      </c>
      <c r="I1564" s="9">
        <v>1.01136097E8</v>
      </c>
      <c r="J1564" s="6">
        <v>3.13912422904E9</v>
      </c>
    </row>
    <row r="1565">
      <c r="A1565" s="4" t="s">
        <v>10</v>
      </c>
      <c r="B1565" s="5">
        <v>43909.0</v>
      </c>
      <c r="C1565" s="6">
        <v>31.13</v>
      </c>
      <c r="D1565" s="13">
        <f>+0.24</f>
        <v>0.24</v>
      </c>
      <c r="E1565" s="14">
        <f>+0.78%</f>
        <v>0.0078</v>
      </c>
      <c r="F1565" s="6">
        <v>30.81</v>
      </c>
      <c r="G1565" s="6">
        <v>30.25</v>
      </c>
      <c r="H1565" s="6">
        <v>31.55</v>
      </c>
      <c r="I1565" s="9">
        <v>6.8919725E7</v>
      </c>
      <c r="J1565" s="6">
        <v>2.1330614586E9</v>
      </c>
    </row>
    <row r="1566">
      <c r="A1566" s="4" t="s">
        <v>10</v>
      </c>
      <c r="B1566" s="5">
        <v>43910.0</v>
      </c>
      <c r="C1566" s="6">
        <v>31.36</v>
      </c>
      <c r="D1566" s="13">
        <f>+0.23</f>
        <v>0.23</v>
      </c>
      <c r="E1566" s="14">
        <f>+0.74%</f>
        <v>0.0074</v>
      </c>
      <c r="F1566" s="6">
        <v>32.59</v>
      </c>
      <c r="G1566" s="6">
        <v>31.25</v>
      </c>
      <c r="H1566" s="6">
        <v>32.72</v>
      </c>
      <c r="I1566" s="9">
        <v>1.0029025E8</v>
      </c>
      <c r="J1566" s="6">
        <v>3.19347268589E9</v>
      </c>
    </row>
    <row r="1567">
      <c r="A1567" s="4" t="s">
        <v>10</v>
      </c>
      <c r="B1567" s="5">
        <v>43913.0</v>
      </c>
      <c r="C1567" s="6">
        <v>30.61</v>
      </c>
      <c r="D1567" s="11">
        <v>-0.75</v>
      </c>
      <c r="E1567" s="12">
        <v>-0.0239</v>
      </c>
      <c r="F1567" s="6">
        <v>31.06</v>
      </c>
      <c r="G1567" s="6">
        <v>30.1</v>
      </c>
      <c r="H1567" s="6">
        <v>31.16</v>
      </c>
      <c r="I1567" s="9">
        <v>9.7833105E7</v>
      </c>
      <c r="J1567" s="6">
        <v>3.00056687684E9</v>
      </c>
    </row>
    <row r="1568">
      <c r="A1568" s="4" t="s">
        <v>10</v>
      </c>
      <c r="B1568" s="5">
        <v>43914.0</v>
      </c>
      <c r="C1568" s="6">
        <v>32.91</v>
      </c>
      <c r="D1568" s="13">
        <f>+2.3</f>
        <v>2.3</v>
      </c>
      <c r="E1568" s="14">
        <f>+7.51%</f>
        <v>0.0751</v>
      </c>
      <c r="F1568" s="6">
        <v>32.61</v>
      </c>
      <c r="G1568" s="6">
        <v>32.35</v>
      </c>
      <c r="H1568" s="6">
        <v>32.97</v>
      </c>
      <c r="I1568" s="9">
        <v>8.4450496E7</v>
      </c>
      <c r="J1568" s="6">
        <v>2.75962973866E9</v>
      </c>
    </row>
    <row r="1569">
      <c r="A1569" s="4" t="s">
        <v>10</v>
      </c>
      <c r="B1569" s="5">
        <v>43915.0</v>
      </c>
      <c r="C1569" s="6">
        <v>34.07</v>
      </c>
      <c r="D1569" s="13">
        <f>+1.16</f>
        <v>1.16</v>
      </c>
      <c r="E1569" s="14">
        <f>+3.52%</f>
        <v>0.0352</v>
      </c>
      <c r="F1569" s="6">
        <v>33.51</v>
      </c>
      <c r="G1569" s="6">
        <v>33.19</v>
      </c>
      <c r="H1569" s="6">
        <v>34.53</v>
      </c>
      <c r="I1569" s="9">
        <v>7.9589227E7</v>
      </c>
      <c r="J1569" s="6">
        <v>2.70601257502E9</v>
      </c>
    </row>
    <row r="1570">
      <c r="A1570" s="4" t="s">
        <v>10</v>
      </c>
      <c r="B1570" s="5">
        <v>43916.0</v>
      </c>
      <c r="C1570" s="6">
        <v>35.36</v>
      </c>
      <c r="D1570" s="13">
        <f>+1.29</f>
        <v>1.29</v>
      </c>
      <c r="E1570" s="14">
        <f>+3.79%</f>
        <v>0.0379</v>
      </c>
      <c r="F1570" s="6">
        <v>34.36</v>
      </c>
      <c r="G1570" s="6">
        <v>34.28</v>
      </c>
      <c r="H1570" s="6">
        <v>35.45</v>
      </c>
      <c r="I1570" s="9">
        <v>8.9991486E7</v>
      </c>
      <c r="J1570" s="6">
        <v>3.14646595738E9</v>
      </c>
    </row>
    <row r="1571">
      <c r="A1571" s="4" t="s">
        <v>10</v>
      </c>
      <c r="B1571" s="5">
        <v>43917.0</v>
      </c>
      <c r="C1571" s="6">
        <v>33.35</v>
      </c>
      <c r="D1571" s="11">
        <v>-2.01</v>
      </c>
      <c r="E1571" s="12">
        <v>-0.0568</v>
      </c>
      <c r="F1571" s="6">
        <v>33.45</v>
      </c>
      <c r="G1571" s="6">
        <v>33.19</v>
      </c>
      <c r="H1571" s="6">
        <v>33.96</v>
      </c>
      <c r="I1571" s="9">
        <v>7.4103904E7</v>
      </c>
      <c r="J1571" s="6">
        <v>2.48007297427E9</v>
      </c>
    </row>
    <row r="1572">
      <c r="A1572" s="4" t="s">
        <v>10</v>
      </c>
      <c r="B1572" s="5">
        <v>43920.0</v>
      </c>
      <c r="C1572" s="6">
        <v>33.9</v>
      </c>
      <c r="D1572" s="13">
        <f>+0.55</f>
        <v>0.55</v>
      </c>
      <c r="E1572" s="14">
        <f>+1.65%</f>
        <v>0.0165</v>
      </c>
      <c r="F1572" s="6">
        <v>33.47</v>
      </c>
      <c r="G1572" s="6">
        <v>33.22</v>
      </c>
      <c r="H1572" s="6">
        <v>33.93</v>
      </c>
      <c r="I1572" s="9">
        <v>4.7544933E7</v>
      </c>
      <c r="J1572" s="6">
        <v>1.60123977351E9</v>
      </c>
    </row>
    <row r="1573">
      <c r="A1573" s="4" t="s">
        <v>10</v>
      </c>
      <c r="B1573" s="5">
        <v>43921.0</v>
      </c>
      <c r="C1573" s="6">
        <v>34.13</v>
      </c>
      <c r="D1573" s="13">
        <f>+0.23</f>
        <v>0.23</v>
      </c>
      <c r="E1573" s="14">
        <f>+0.68%</f>
        <v>0.0068</v>
      </c>
      <c r="F1573" s="6">
        <v>33.98</v>
      </c>
      <c r="G1573" s="6">
        <v>33.92</v>
      </c>
      <c r="H1573" s="6">
        <v>34.55</v>
      </c>
      <c r="I1573" s="9">
        <v>6.4137384E7</v>
      </c>
      <c r="J1573" s="6">
        <v>2.19238151857E9</v>
      </c>
    </row>
    <row r="1574">
      <c r="A1574" s="4" t="s">
        <v>10</v>
      </c>
      <c r="B1574" s="5">
        <v>43922.0</v>
      </c>
      <c r="C1574" s="6">
        <v>32.67</v>
      </c>
      <c r="D1574" s="11">
        <v>-1.46</v>
      </c>
      <c r="E1574" s="12">
        <v>-0.0428</v>
      </c>
      <c r="F1574" s="6">
        <v>33.1</v>
      </c>
      <c r="G1574" s="6">
        <v>32.62</v>
      </c>
      <c r="H1574" s="6">
        <v>33.33</v>
      </c>
      <c r="I1574" s="9">
        <v>6.5580759E7</v>
      </c>
      <c r="J1574" s="6">
        <v>2.15671360985E9</v>
      </c>
    </row>
    <row r="1575">
      <c r="A1575" s="4" t="s">
        <v>10</v>
      </c>
      <c r="B1575" s="5">
        <v>43923.0</v>
      </c>
      <c r="C1575" s="6">
        <v>33.77</v>
      </c>
      <c r="D1575" s="13">
        <f>+1.1</f>
        <v>1.1</v>
      </c>
      <c r="E1575" s="14">
        <f>+3.37%</f>
        <v>0.0337</v>
      </c>
      <c r="F1575" s="6">
        <v>33.29</v>
      </c>
      <c r="G1575" s="6">
        <v>33.2</v>
      </c>
      <c r="H1575" s="6">
        <v>33.94</v>
      </c>
      <c r="I1575" s="9">
        <v>5.5784013E7</v>
      </c>
      <c r="J1575" s="6">
        <v>1.87620256403E9</v>
      </c>
    </row>
    <row r="1576">
      <c r="A1576" s="4" t="s">
        <v>10</v>
      </c>
      <c r="B1576" s="5">
        <v>43924.0</v>
      </c>
      <c r="C1576" s="6">
        <v>33.13</v>
      </c>
      <c r="D1576" s="11">
        <v>-0.64</v>
      </c>
      <c r="E1576" s="12">
        <v>-0.019</v>
      </c>
      <c r="F1576" s="6">
        <v>33.69</v>
      </c>
      <c r="G1576" s="6">
        <v>32.95</v>
      </c>
      <c r="H1576" s="6">
        <v>33.86</v>
      </c>
      <c r="I1576" s="9">
        <v>6.8672544E7</v>
      </c>
      <c r="J1576" s="6">
        <v>2.28189290056E9</v>
      </c>
    </row>
    <row r="1577">
      <c r="A1577" s="4" t="s">
        <v>10</v>
      </c>
      <c r="B1577" s="5">
        <v>43927.0</v>
      </c>
      <c r="C1577" s="6">
        <v>34.94</v>
      </c>
      <c r="D1577" s="13">
        <f>+1.81</f>
        <v>1.81</v>
      </c>
      <c r="E1577" s="14">
        <f>+5.46%</f>
        <v>0.0546</v>
      </c>
      <c r="F1577" s="6">
        <v>34.44</v>
      </c>
      <c r="G1577" s="6">
        <v>34.3</v>
      </c>
      <c r="H1577" s="6">
        <v>34.95</v>
      </c>
      <c r="I1577" s="9">
        <v>8.2394801E7</v>
      </c>
      <c r="J1577" s="6">
        <v>2.86425143202E9</v>
      </c>
    </row>
    <row r="1578">
      <c r="A1578" s="4" t="s">
        <v>10</v>
      </c>
      <c r="B1578" s="5">
        <v>43928.0</v>
      </c>
      <c r="C1578" s="6">
        <v>35.12</v>
      </c>
      <c r="D1578" s="13">
        <f>+0.18</f>
        <v>0.18</v>
      </c>
      <c r="E1578" s="14">
        <f>+0.52%</f>
        <v>0.0052</v>
      </c>
      <c r="F1578" s="6">
        <v>36.09</v>
      </c>
      <c r="G1578" s="6">
        <v>35.05</v>
      </c>
      <c r="H1578" s="6">
        <v>36.12</v>
      </c>
      <c r="I1578" s="9">
        <v>7.4322608E7</v>
      </c>
      <c r="J1578" s="6">
        <v>2.63775291581E9</v>
      </c>
    </row>
    <row r="1579">
      <c r="A1579" s="4" t="s">
        <v>10</v>
      </c>
      <c r="B1579" s="5">
        <v>43929.0</v>
      </c>
      <c r="C1579" s="6">
        <v>35.48</v>
      </c>
      <c r="D1579" s="13">
        <f>+0.36</f>
        <v>0.36</v>
      </c>
      <c r="E1579" s="14">
        <f>+1.03%</f>
        <v>0.0103</v>
      </c>
      <c r="F1579" s="6">
        <v>35.21</v>
      </c>
      <c r="G1579" s="6">
        <v>34.94</v>
      </c>
      <c r="H1579" s="6">
        <v>35.57</v>
      </c>
      <c r="I1579" s="9">
        <v>4.7113153E7</v>
      </c>
      <c r="J1579" s="6">
        <v>1.66465041885E9</v>
      </c>
    </row>
    <row r="1580">
      <c r="A1580" s="4" t="s">
        <v>10</v>
      </c>
      <c r="B1580" s="5">
        <v>43930.0</v>
      </c>
      <c r="C1580" s="6">
        <v>35.35</v>
      </c>
      <c r="D1580" s="11">
        <v>-0.13</v>
      </c>
      <c r="E1580" s="12">
        <v>-0.0037</v>
      </c>
      <c r="F1580" s="6">
        <v>35.86</v>
      </c>
      <c r="G1580" s="6">
        <v>35.26</v>
      </c>
      <c r="H1580" s="6">
        <v>36.09</v>
      </c>
      <c r="I1580" s="9">
        <v>6.7239257E7</v>
      </c>
      <c r="J1580" s="6">
        <v>2.39778696747E9</v>
      </c>
    </row>
    <row r="1581">
      <c r="A1581" s="4" t="s">
        <v>10</v>
      </c>
      <c r="B1581" s="5">
        <v>43934.0</v>
      </c>
      <c r="C1581" s="6">
        <v>35.4</v>
      </c>
      <c r="D1581" s="13">
        <f>+0.05</f>
        <v>0.05</v>
      </c>
      <c r="E1581" s="14">
        <f>+0.14%</f>
        <v>0.0014</v>
      </c>
      <c r="F1581" s="6">
        <v>35.34</v>
      </c>
      <c r="G1581" s="6">
        <v>35.0</v>
      </c>
      <c r="H1581" s="6">
        <v>35.45</v>
      </c>
      <c r="I1581" s="9">
        <v>3.8193423E7</v>
      </c>
      <c r="J1581" s="6">
        <v>1.34777739213E9</v>
      </c>
    </row>
    <row r="1582">
      <c r="A1582" s="4" t="s">
        <v>10</v>
      </c>
      <c r="B1582" s="5">
        <v>43935.0</v>
      </c>
      <c r="C1582" s="6">
        <v>36.21</v>
      </c>
      <c r="D1582" s="13">
        <f>+0.81</f>
        <v>0.81</v>
      </c>
      <c r="E1582" s="14">
        <f>+2.29%</f>
        <v>0.0229</v>
      </c>
      <c r="F1582" s="6">
        <v>36.21</v>
      </c>
      <c r="G1582" s="6">
        <v>36.01</v>
      </c>
      <c r="H1582" s="6">
        <v>36.48</v>
      </c>
      <c r="I1582" s="9">
        <v>5.2817418E7</v>
      </c>
      <c r="J1582" s="6">
        <v>1.91226304542E9</v>
      </c>
    </row>
    <row r="1583">
      <c r="A1583" s="4" t="s">
        <v>10</v>
      </c>
      <c r="B1583" s="5">
        <v>43936.0</v>
      </c>
      <c r="C1583" s="6">
        <v>35.28</v>
      </c>
      <c r="D1583" s="11">
        <v>-0.93</v>
      </c>
      <c r="E1583" s="12">
        <v>-0.0257</v>
      </c>
      <c r="F1583" s="6">
        <v>35.35</v>
      </c>
      <c r="G1583" s="6">
        <v>35.12</v>
      </c>
      <c r="H1583" s="6">
        <v>35.46</v>
      </c>
      <c r="I1583" s="9">
        <v>6.0775466E7</v>
      </c>
      <c r="J1583" s="6">
        <v>2.1449044443E9</v>
      </c>
    </row>
    <row r="1584">
      <c r="A1584" s="4" t="s">
        <v>10</v>
      </c>
      <c r="B1584" s="5">
        <v>43937.0</v>
      </c>
      <c r="C1584" s="6">
        <v>35.47</v>
      </c>
      <c r="D1584" s="13">
        <f>+0.19</f>
        <v>0.19</v>
      </c>
      <c r="E1584" s="14">
        <f>+0.54%</f>
        <v>0.0054</v>
      </c>
      <c r="F1584" s="6">
        <v>35.78</v>
      </c>
      <c r="G1584" s="6">
        <v>35.36</v>
      </c>
      <c r="H1584" s="6">
        <v>35.82</v>
      </c>
      <c r="I1584" s="9">
        <v>3.7215111E7</v>
      </c>
      <c r="J1584" s="6">
        <v>1.32155722489E9</v>
      </c>
    </row>
    <row r="1585">
      <c r="A1585" s="4" t="s">
        <v>10</v>
      </c>
      <c r="B1585" s="5">
        <v>43938.0</v>
      </c>
      <c r="C1585" s="6">
        <v>36.26</v>
      </c>
      <c r="D1585" s="13">
        <f>+0.79</f>
        <v>0.79</v>
      </c>
      <c r="E1585" s="14">
        <f>+2.23%</f>
        <v>0.0223</v>
      </c>
      <c r="F1585" s="6">
        <v>36.43</v>
      </c>
      <c r="G1585" s="6">
        <v>36.0</v>
      </c>
      <c r="H1585" s="6">
        <v>36.48</v>
      </c>
      <c r="I1585" s="9">
        <v>4.0870252E7</v>
      </c>
      <c r="J1585" s="6">
        <v>1.47921479839E9</v>
      </c>
    </row>
    <row r="1586">
      <c r="A1586" s="4" t="s">
        <v>10</v>
      </c>
      <c r="B1586" s="5">
        <v>43941.0</v>
      </c>
      <c r="C1586" s="6">
        <v>35.8</v>
      </c>
      <c r="D1586" s="11">
        <v>-0.46</v>
      </c>
      <c r="E1586" s="12">
        <v>-0.0127</v>
      </c>
      <c r="F1586" s="6">
        <v>35.88</v>
      </c>
      <c r="G1586" s="6">
        <v>35.73</v>
      </c>
      <c r="H1586" s="6">
        <v>36.24</v>
      </c>
      <c r="I1586" s="9">
        <v>4.4402672E7</v>
      </c>
      <c r="J1586" s="6">
        <v>1.59546255164E9</v>
      </c>
    </row>
    <row r="1587">
      <c r="A1587" s="4" t="s">
        <v>10</v>
      </c>
      <c r="B1587" s="5">
        <v>43942.0</v>
      </c>
      <c r="C1587" s="6">
        <v>34.81</v>
      </c>
      <c r="D1587" s="11">
        <v>-0.99</v>
      </c>
      <c r="E1587" s="12">
        <v>-0.0277</v>
      </c>
      <c r="F1587" s="6">
        <v>34.98</v>
      </c>
      <c r="G1587" s="6">
        <v>34.74</v>
      </c>
      <c r="H1587" s="6">
        <v>35.18</v>
      </c>
      <c r="I1587" s="9">
        <v>4.6166679E7</v>
      </c>
      <c r="J1587" s="6">
        <v>1.6113722779E9</v>
      </c>
    </row>
    <row r="1588">
      <c r="A1588" s="4" t="s">
        <v>10</v>
      </c>
      <c r="B1588" s="5">
        <v>43943.0</v>
      </c>
      <c r="C1588" s="6">
        <v>35.76</v>
      </c>
      <c r="D1588" s="13">
        <f>+0.95</f>
        <v>0.95</v>
      </c>
      <c r="E1588" s="14">
        <f>+2.73%</f>
        <v>0.0273</v>
      </c>
      <c r="F1588" s="6">
        <v>35.78</v>
      </c>
      <c r="G1588" s="6">
        <v>35.69</v>
      </c>
      <c r="H1588" s="6">
        <v>35.87</v>
      </c>
      <c r="I1588" s="9">
        <v>3.7455874E7</v>
      </c>
      <c r="J1588" s="6">
        <v>1.33976521071E9</v>
      </c>
    </row>
    <row r="1589">
      <c r="A1589" s="4" t="s">
        <v>10</v>
      </c>
      <c r="B1589" s="5">
        <v>43944.0</v>
      </c>
      <c r="C1589" s="6">
        <v>35.63</v>
      </c>
      <c r="D1589" s="11">
        <v>-0.13</v>
      </c>
      <c r="E1589" s="12">
        <v>-0.0036</v>
      </c>
      <c r="F1589" s="6">
        <v>36.04</v>
      </c>
      <c r="G1589" s="6">
        <v>35.61</v>
      </c>
      <c r="H1589" s="6">
        <v>36.29</v>
      </c>
      <c r="I1589" s="9">
        <v>4.0733107E7</v>
      </c>
      <c r="J1589" s="6">
        <v>1.4624153558E9</v>
      </c>
    </row>
    <row r="1590">
      <c r="A1590" s="4" t="s">
        <v>10</v>
      </c>
      <c r="B1590" s="5">
        <v>43945.0</v>
      </c>
      <c r="C1590" s="6">
        <v>35.58</v>
      </c>
      <c r="D1590" s="11">
        <v>-0.05</v>
      </c>
      <c r="E1590" s="12">
        <v>-0.0014</v>
      </c>
      <c r="F1590" s="6">
        <v>35.69</v>
      </c>
      <c r="G1590" s="6">
        <v>35.25</v>
      </c>
      <c r="H1590" s="6">
        <v>35.74</v>
      </c>
      <c r="I1590" s="9">
        <v>3.0553936E7</v>
      </c>
      <c r="J1590" s="6">
        <v>1.08411258921E9</v>
      </c>
    </row>
    <row r="1591">
      <c r="A1591" s="4" t="s">
        <v>10</v>
      </c>
      <c r="B1591" s="5">
        <v>43948.0</v>
      </c>
      <c r="C1591" s="6">
        <v>36.3</v>
      </c>
      <c r="D1591" s="13">
        <f>+0.72</f>
        <v>0.72</v>
      </c>
      <c r="E1591" s="14">
        <f>+2.02%</f>
        <v>0.0202</v>
      </c>
      <c r="F1591" s="6">
        <v>36.05</v>
      </c>
      <c r="G1591" s="6">
        <v>36.0</v>
      </c>
      <c r="H1591" s="6">
        <v>36.37</v>
      </c>
      <c r="I1591" s="9">
        <v>3.0617352E7</v>
      </c>
      <c r="J1591" s="6">
        <v>1.10857192238E9</v>
      </c>
    </row>
    <row r="1592">
      <c r="A1592" s="4" t="s">
        <v>10</v>
      </c>
      <c r="B1592" s="5">
        <v>43949.0</v>
      </c>
      <c r="C1592" s="6">
        <v>36.37</v>
      </c>
      <c r="D1592" s="13">
        <f>+0.07</f>
        <v>0.07</v>
      </c>
      <c r="E1592" s="14">
        <f>+0.19%</f>
        <v>0.0019</v>
      </c>
      <c r="F1592" s="6">
        <v>36.82</v>
      </c>
      <c r="G1592" s="6">
        <v>36.35</v>
      </c>
      <c r="H1592" s="6">
        <v>36.85</v>
      </c>
      <c r="I1592" s="9">
        <v>3.4463923E7</v>
      </c>
      <c r="J1592" s="6">
        <v>1.25897642431E9</v>
      </c>
    </row>
    <row r="1593">
      <c r="A1593" s="4" t="s">
        <v>10</v>
      </c>
      <c r="B1593" s="5">
        <v>43950.0</v>
      </c>
      <c r="C1593" s="6">
        <v>37.43</v>
      </c>
      <c r="D1593" s="13">
        <f>+1.06</f>
        <v>1.06</v>
      </c>
      <c r="E1593" s="14">
        <f>+2.91%</f>
        <v>0.0291</v>
      </c>
      <c r="F1593" s="6">
        <v>36.99</v>
      </c>
      <c r="G1593" s="6">
        <v>36.92</v>
      </c>
      <c r="H1593" s="6">
        <v>37.5</v>
      </c>
      <c r="I1593" s="9">
        <v>4.5483071E7</v>
      </c>
      <c r="J1593" s="6">
        <v>1.69493960668E9</v>
      </c>
    </row>
    <row r="1594">
      <c r="A1594" s="4" t="s">
        <v>10</v>
      </c>
      <c r="B1594" s="5">
        <v>43951.0</v>
      </c>
      <c r="C1594" s="6">
        <v>36.64</v>
      </c>
      <c r="D1594" s="11">
        <v>-0.79</v>
      </c>
      <c r="E1594" s="12">
        <v>-0.0211</v>
      </c>
      <c r="F1594" s="6">
        <v>37.24</v>
      </c>
      <c r="G1594" s="6">
        <v>36.4</v>
      </c>
      <c r="H1594" s="6">
        <v>37.36</v>
      </c>
      <c r="I1594" s="9">
        <v>5.9181729E7</v>
      </c>
      <c r="J1594" s="6">
        <v>2.17912321828E9</v>
      </c>
    </row>
    <row r="1595">
      <c r="A1595" s="4" t="s">
        <v>10</v>
      </c>
      <c r="B1595" s="5">
        <v>43952.0</v>
      </c>
      <c r="C1595" s="6">
        <v>35.32</v>
      </c>
      <c r="D1595" s="11">
        <v>-1.32</v>
      </c>
      <c r="E1595" s="12">
        <v>-0.036</v>
      </c>
      <c r="F1595" s="6">
        <v>35.75</v>
      </c>
      <c r="G1595" s="6">
        <v>35.2</v>
      </c>
      <c r="H1595" s="6">
        <v>35.88</v>
      </c>
      <c r="I1595" s="9">
        <v>5.6828977E7</v>
      </c>
      <c r="J1595" s="6">
        <v>2.01329801593E9</v>
      </c>
    </row>
    <row r="1596">
      <c r="A1596" s="4" t="s">
        <v>10</v>
      </c>
      <c r="B1596" s="5">
        <v>43955.0</v>
      </c>
      <c r="C1596" s="6">
        <v>35.7</v>
      </c>
      <c r="D1596" s="13">
        <f>+0.38</f>
        <v>0.38</v>
      </c>
      <c r="E1596" s="14">
        <f>+1.08%</f>
        <v>0.0108</v>
      </c>
      <c r="F1596" s="6">
        <v>35.46</v>
      </c>
      <c r="G1596" s="6">
        <v>35.32</v>
      </c>
      <c r="H1596" s="6">
        <v>35.74</v>
      </c>
      <c r="I1596" s="9">
        <v>3.7036197E7</v>
      </c>
      <c r="J1596" s="6">
        <v>1.31423046903E9</v>
      </c>
    </row>
    <row r="1597">
      <c r="A1597" s="4" t="s">
        <v>10</v>
      </c>
      <c r="B1597" s="5">
        <v>43956.0</v>
      </c>
      <c r="C1597" s="6">
        <v>35.9</v>
      </c>
      <c r="D1597" s="13">
        <f>+0.2</f>
        <v>0.2</v>
      </c>
      <c r="E1597" s="14">
        <f>+0.56%</f>
        <v>0.0056</v>
      </c>
      <c r="F1597" s="6">
        <v>36.06</v>
      </c>
      <c r="G1597" s="6">
        <v>35.86</v>
      </c>
      <c r="H1597" s="6">
        <v>36.24</v>
      </c>
      <c r="I1597" s="9">
        <v>4.1772738E7</v>
      </c>
      <c r="J1597" s="6">
        <v>1.50542142878E9</v>
      </c>
    </row>
    <row r="1598">
      <c r="A1598" s="4" t="s">
        <v>10</v>
      </c>
      <c r="B1598" s="5">
        <v>43957.0</v>
      </c>
      <c r="C1598" s="6">
        <v>35.79</v>
      </c>
      <c r="D1598" s="11">
        <v>-0.11</v>
      </c>
      <c r="E1598" s="12">
        <v>-0.0031</v>
      </c>
      <c r="F1598" s="6">
        <v>36.12</v>
      </c>
      <c r="G1598" s="6">
        <v>35.77</v>
      </c>
      <c r="H1598" s="6">
        <v>36.16</v>
      </c>
      <c r="I1598" s="9">
        <v>3.6584458E7</v>
      </c>
      <c r="J1598" s="6">
        <v>1.31329171051E9</v>
      </c>
    </row>
    <row r="1599">
      <c r="A1599" s="4" t="s">
        <v>10</v>
      </c>
      <c r="B1599" s="5">
        <v>43958.0</v>
      </c>
      <c r="C1599" s="6">
        <v>36.08</v>
      </c>
      <c r="D1599" s="13">
        <f>+0.29</f>
        <v>0.29</v>
      </c>
      <c r="E1599" s="14">
        <f>+0.81%</f>
        <v>0.0081</v>
      </c>
      <c r="F1599" s="6">
        <v>36.13</v>
      </c>
      <c r="G1599" s="6">
        <v>35.91</v>
      </c>
      <c r="H1599" s="6">
        <v>36.24</v>
      </c>
      <c r="I1599" s="9">
        <v>3.6885439E7</v>
      </c>
      <c r="J1599" s="6">
        <v>1.33218183745E9</v>
      </c>
    </row>
    <row r="1600">
      <c r="A1600" s="4" t="s">
        <v>10</v>
      </c>
      <c r="B1600" s="5">
        <v>43959.0</v>
      </c>
      <c r="C1600" s="6">
        <v>36.84</v>
      </c>
      <c r="D1600" s="13">
        <f>+0.76</f>
        <v>0.76</v>
      </c>
      <c r="E1600" s="14">
        <f>+2.11%</f>
        <v>0.0211</v>
      </c>
      <c r="F1600" s="6">
        <v>36.54</v>
      </c>
      <c r="G1600" s="6">
        <v>36.51</v>
      </c>
      <c r="H1600" s="6">
        <v>36.95</v>
      </c>
      <c r="I1600" s="9">
        <v>6.0613601E7</v>
      </c>
      <c r="J1600" s="6">
        <v>2.22986939198E9</v>
      </c>
    </row>
    <row r="1601">
      <c r="A1601" s="4" t="s">
        <v>10</v>
      </c>
      <c r="B1601" s="5">
        <v>43962.0</v>
      </c>
      <c r="C1601" s="6">
        <v>36.6</v>
      </c>
      <c r="D1601" s="11">
        <v>-0.24</v>
      </c>
      <c r="E1601" s="12">
        <v>-0.0065</v>
      </c>
      <c r="F1601" s="6">
        <v>36.62</v>
      </c>
      <c r="G1601" s="6">
        <v>36.56</v>
      </c>
      <c r="H1601" s="6">
        <v>36.84</v>
      </c>
      <c r="I1601" s="9">
        <v>3.1053702E7</v>
      </c>
      <c r="J1601" s="6">
        <v>1.13926536922E9</v>
      </c>
    </row>
    <row r="1602">
      <c r="A1602" s="4" t="s">
        <v>10</v>
      </c>
      <c r="B1602" s="5">
        <v>43963.0</v>
      </c>
      <c r="C1602" s="6">
        <v>36.46</v>
      </c>
      <c r="D1602" s="11">
        <v>-0.14</v>
      </c>
      <c r="E1602" s="12">
        <v>-0.0038</v>
      </c>
      <c r="F1602" s="6">
        <v>36.9</v>
      </c>
      <c r="G1602" s="6">
        <v>36.45</v>
      </c>
      <c r="H1602" s="6">
        <v>37.16</v>
      </c>
      <c r="I1602" s="9">
        <v>4.9641419E7</v>
      </c>
      <c r="J1602" s="6">
        <v>1.82889479877E9</v>
      </c>
    </row>
    <row r="1603">
      <c r="A1603" s="4" t="s">
        <v>10</v>
      </c>
      <c r="B1603" s="5">
        <v>43964.0</v>
      </c>
      <c r="C1603" s="6">
        <v>36.39</v>
      </c>
      <c r="D1603" s="11">
        <v>-0.07</v>
      </c>
      <c r="E1603" s="12">
        <v>-0.0019</v>
      </c>
      <c r="F1603" s="6">
        <v>36.87</v>
      </c>
      <c r="G1603" s="6">
        <v>36.15</v>
      </c>
      <c r="H1603" s="6">
        <v>36.95</v>
      </c>
      <c r="I1603" s="9">
        <v>5.5002889E7</v>
      </c>
      <c r="J1603" s="6">
        <v>2.00552378393E9</v>
      </c>
    </row>
    <row r="1604">
      <c r="A1604" s="4" t="s">
        <v>10</v>
      </c>
      <c r="B1604" s="5">
        <v>43965.0</v>
      </c>
      <c r="C1604" s="6">
        <v>36.53</v>
      </c>
      <c r="D1604" s="13">
        <f>+0.14</f>
        <v>0.14</v>
      </c>
      <c r="E1604" s="14">
        <f>+0.38%</f>
        <v>0.0038</v>
      </c>
      <c r="F1604" s="6">
        <v>35.69</v>
      </c>
      <c r="G1604" s="6">
        <v>35.56</v>
      </c>
      <c r="H1604" s="6">
        <v>36.59</v>
      </c>
      <c r="I1604" s="9">
        <v>5.8633685E7</v>
      </c>
      <c r="J1604" s="6">
        <v>2.11991318225E9</v>
      </c>
    </row>
    <row r="1605">
      <c r="A1605" s="4" t="s">
        <v>10</v>
      </c>
      <c r="B1605" s="5">
        <v>43966.0</v>
      </c>
      <c r="C1605" s="6">
        <v>36.03</v>
      </c>
      <c r="D1605" s="11">
        <v>-0.5</v>
      </c>
      <c r="E1605" s="12">
        <v>-0.0137</v>
      </c>
      <c r="F1605" s="6">
        <v>35.96</v>
      </c>
      <c r="G1605" s="6">
        <v>35.84</v>
      </c>
      <c r="H1605" s="6">
        <v>36.2</v>
      </c>
      <c r="I1605" s="9">
        <v>4.0401985E7</v>
      </c>
      <c r="J1605" s="6">
        <v>1.45526368335E9</v>
      </c>
    </row>
    <row r="1606">
      <c r="A1606" s="4" t="s">
        <v>10</v>
      </c>
      <c r="B1606" s="5">
        <v>43969.0</v>
      </c>
      <c r="C1606" s="6">
        <v>37.44</v>
      </c>
      <c r="D1606" s="13">
        <f>+1.41</f>
        <v>1.41</v>
      </c>
      <c r="E1606" s="14">
        <f>+3.91%</f>
        <v>0.0391</v>
      </c>
      <c r="F1606" s="6">
        <v>36.92</v>
      </c>
      <c r="G1606" s="6">
        <v>36.91</v>
      </c>
      <c r="H1606" s="6">
        <v>37.52</v>
      </c>
      <c r="I1606" s="9">
        <v>4.7488157E7</v>
      </c>
      <c r="J1606" s="6">
        <v>1.77026069163E9</v>
      </c>
    </row>
    <row r="1607">
      <c r="A1607" s="4" t="s">
        <v>10</v>
      </c>
      <c r="B1607" s="5">
        <v>43970.0</v>
      </c>
      <c r="C1607" s="6">
        <v>37.14</v>
      </c>
      <c r="D1607" s="11">
        <v>-0.3</v>
      </c>
      <c r="E1607" s="12">
        <v>-0.008</v>
      </c>
      <c r="F1607" s="6">
        <v>37.38</v>
      </c>
      <c r="G1607" s="6">
        <v>37.12</v>
      </c>
      <c r="H1607" s="6">
        <v>37.56</v>
      </c>
      <c r="I1607" s="9">
        <v>3.6152592E7</v>
      </c>
      <c r="J1607" s="6">
        <v>1.35138481338E9</v>
      </c>
    </row>
    <row r="1608">
      <c r="A1608" s="4" t="s">
        <v>10</v>
      </c>
      <c r="B1608" s="5">
        <v>43971.0</v>
      </c>
      <c r="C1608" s="6">
        <v>37.63</v>
      </c>
      <c r="D1608" s="13">
        <f>+0.49</f>
        <v>0.49</v>
      </c>
      <c r="E1608" s="14">
        <f>+1.32%</f>
        <v>0.0132</v>
      </c>
      <c r="F1608" s="6">
        <v>37.73</v>
      </c>
      <c r="G1608" s="6">
        <v>37.43</v>
      </c>
      <c r="H1608" s="6">
        <v>37.91</v>
      </c>
      <c r="I1608" s="9">
        <v>4.3140512E7</v>
      </c>
      <c r="J1608" s="6">
        <v>1.62481151243E9</v>
      </c>
    </row>
    <row r="1609">
      <c r="A1609" s="4" t="s">
        <v>10</v>
      </c>
      <c r="B1609" s="5">
        <v>43972.0</v>
      </c>
      <c r="C1609" s="6">
        <v>37.2</v>
      </c>
      <c r="D1609" s="11">
        <v>-0.43</v>
      </c>
      <c r="E1609" s="12">
        <v>-0.0114</v>
      </c>
      <c r="F1609" s="6">
        <v>37.4</v>
      </c>
      <c r="G1609" s="6">
        <v>37.02</v>
      </c>
      <c r="H1609" s="6">
        <v>37.53</v>
      </c>
      <c r="I1609" s="9">
        <v>4.284551E7</v>
      </c>
      <c r="J1609" s="6">
        <v>1.59564793003E9</v>
      </c>
    </row>
    <row r="1610">
      <c r="A1610" s="4" t="s">
        <v>10</v>
      </c>
      <c r="B1610" s="5">
        <v>43973.0</v>
      </c>
      <c r="C1610" s="6">
        <v>36.43</v>
      </c>
      <c r="D1610" s="11">
        <v>-0.77</v>
      </c>
      <c r="E1610" s="12">
        <v>-0.0207</v>
      </c>
      <c r="F1610" s="6">
        <v>36.62</v>
      </c>
      <c r="G1610" s="6">
        <v>36.31</v>
      </c>
      <c r="H1610" s="6">
        <v>36.62</v>
      </c>
      <c r="I1610" s="9">
        <v>4.735495E7</v>
      </c>
      <c r="J1610" s="6">
        <v>1.72552237995E9</v>
      </c>
    </row>
    <row r="1611">
      <c r="A1611" s="4" t="s">
        <v>10</v>
      </c>
      <c r="B1611" s="5">
        <v>43977.0</v>
      </c>
      <c r="C1611" s="6">
        <v>37.23</v>
      </c>
      <c r="D1611" s="13">
        <f>+0.8</f>
        <v>0.8</v>
      </c>
      <c r="E1611" s="14">
        <f>+2.2%</f>
        <v>0.022</v>
      </c>
      <c r="F1611" s="6">
        <v>37.58</v>
      </c>
      <c r="G1611" s="6">
        <v>37.19</v>
      </c>
      <c r="H1611" s="6">
        <v>37.73</v>
      </c>
      <c r="I1611" s="9">
        <v>5.4511247E7</v>
      </c>
      <c r="J1611" s="6">
        <v>2.04353865362E9</v>
      </c>
    </row>
    <row r="1612">
      <c r="A1612" s="4" t="s">
        <v>10</v>
      </c>
      <c r="B1612" s="5">
        <v>43978.0</v>
      </c>
      <c r="C1612" s="6">
        <v>37.35</v>
      </c>
      <c r="D1612" s="13">
        <f>+0.12</f>
        <v>0.12</v>
      </c>
      <c r="E1612" s="14">
        <f>+0.32%</f>
        <v>0.0032</v>
      </c>
      <c r="F1612" s="6">
        <v>37.4</v>
      </c>
      <c r="G1612" s="6">
        <v>36.91</v>
      </c>
      <c r="H1612" s="6">
        <v>37.43</v>
      </c>
      <c r="I1612" s="9">
        <v>4.7182424E7</v>
      </c>
      <c r="J1612" s="6">
        <v>1.75539137133E9</v>
      </c>
    </row>
    <row r="1613">
      <c r="A1613" s="4" t="s">
        <v>10</v>
      </c>
      <c r="B1613" s="5">
        <v>43979.0</v>
      </c>
      <c r="C1613" s="6">
        <v>37.09</v>
      </c>
      <c r="D1613" s="11">
        <v>-0.26</v>
      </c>
      <c r="E1613" s="12">
        <v>-0.007</v>
      </c>
      <c r="F1613" s="6">
        <v>37.47</v>
      </c>
      <c r="G1613" s="6">
        <v>37.07</v>
      </c>
      <c r="H1613" s="6">
        <v>37.65</v>
      </c>
      <c r="I1613" s="9">
        <v>5.33961E7</v>
      </c>
      <c r="J1613" s="6">
        <v>1.99625348923E9</v>
      </c>
    </row>
    <row r="1614">
      <c r="A1614" s="4" t="s">
        <v>10</v>
      </c>
      <c r="B1614" s="5">
        <v>43980.0</v>
      </c>
      <c r="C1614" s="6">
        <v>37.73</v>
      </c>
      <c r="D1614" s="13">
        <f>+0.64</f>
        <v>0.64</v>
      </c>
      <c r="E1614" s="14">
        <f>+1.73%</f>
        <v>0.0173</v>
      </c>
      <c r="F1614" s="6">
        <v>37.35</v>
      </c>
      <c r="G1614" s="6">
        <v>37.09</v>
      </c>
      <c r="H1614" s="6">
        <v>37.8</v>
      </c>
      <c r="I1614" s="9">
        <v>6.3740744E7</v>
      </c>
      <c r="J1614" s="6">
        <v>2.38724658562E9</v>
      </c>
    </row>
    <row r="1615">
      <c r="A1615" s="4" t="s">
        <v>10</v>
      </c>
      <c r="B1615" s="5">
        <v>43983.0</v>
      </c>
      <c r="C1615" s="6">
        <v>38.6</v>
      </c>
      <c r="D1615" s="13">
        <f>+0.87</f>
        <v>0.87</v>
      </c>
      <c r="E1615" s="14">
        <f>+2.31%</f>
        <v>0.0231</v>
      </c>
      <c r="F1615" s="6">
        <v>38.08</v>
      </c>
      <c r="G1615" s="6">
        <v>38.01</v>
      </c>
      <c r="H1615" s="6">
        <v>38.63</v>
      </c>
      <c r="I1615" s="9">
        <v>4.9360706E7</v>
      </c>
      <c r="J1615" s="6">
        <v>1.89510950581E9</v>
      </c>
    </row>
    <row r="1616">
      <c r="A1616" s="4" t="s">
        <v>10</v>
      </c>
      <c r="B1616" s="5">
        <v>43984.0</v>
      </c>
      <c r="C1616" s="6">
        <v>39.52</v>
      </c>
      <c r="D1616" s="13">
        <f t="shared" ref="D1616:D1617" si="9">+0.92</f>
        <v>0.92</v>
      </c>
      <c r="E1616" s="14">
        <f>+2.38%</f>
        <v>0.0238</v>
      </c>
      <c r="F1616" s="6">
        <v>39.07</v>
      </c>
      <c r="G1616" s="6">
        <v>38.98</v>
      </c>
      <c r="H1616" s="6">
        <v>39.57</v>
      </c>
      <c r="I1616" s="9">
        <v>5.4010482E7</v>
      </c>
      <c r="J1616" s="6">
        <v>2.12629105161E9</v>
      </c>
    </row>
    <row r="1617">
      <c r="A1617" s="4" t="s">
        <v>10</v>
      </c>
      <c r="B1617" s="5">
        <v>43985.0</v>
      </c>
      <c r="C1617" s="6">
        <v>40.44</v>
      </c>
      <c r="D1617" s="13">
        <f t="shared" si="9"/>
        <v>0.92</v>
      </c>
      <c r="E1617" s="14">
        <f>+2.33%</f>
        <v>0.0233</v>
      </c>
      <c r="F1617" s="6">
        <v>40.05</v>
      </c>
      <c r="G1617" s="6">
        <v>39.99</v>
      </c>
      <c r="H1617" s="6">
        <v>40.52</v>
      </c>
      <c r="I1617" s="9">
        <v>6.0769335E7</v>
      </c>
      <c r="J1617" s="6">
        <v>2.45141684344E9</v>
      </c>
    </row>
    <row r="1618">
      <c r="A1618" s="4" t="s">
        <v>10</v>
      </c>
      <c r="B1618" s="5">
        <v>43986.0</v>
      </c>
      <c r="C1618" s="6">
        <v>39.87</v>
      </c>
      <c r="D1618" s="11">
        <v>-0.57</v>
      </c>
      <c r="E1618" s="12">
        <v>-0.0141</v>
      </c>
      <c r="F1618" s="6">
        <v>39.91</v>
      </c>
      <c r="G1618" s="6">
        <v>39.68</v>
      </c>
      <c r="H1618" s="6">
        <v>40.18</v>
      </c>
      <c r="I1618" s="9">
        <v>5.0969339E7</v>
      </c>
      <c r="J1618" s="6">
        <v>2.03310354983E9</v>
      </c>
    </row>
    <row r="1619">
      <c r="A1619" s="4" t="s">
        <v>10</v>
      </c>
      <c r="B1619" s="5">
        <v>43987.0</v>
      </c>
      <c r="C1619" s="6">
        <v>40.92</v>
      </c>
      <c r="D1619" s="13">
        <f>+1.05</f>
        <v>1.05</v>
      </c>
      <c r="E1619" s="14">
        <f>+2.63%</f>
        <v>0.0263</v>
      </c>
      <c r="F1619" s="6">
        <v>40.9</v>
      </c>
      <c r="G1619" s="6">
        <v>40.82</v>
      </c>
      <c r="H1619" s="6">
        <v>41.16</v>
      </c>
      <c r="I1619" s="9">
        <v>5.2467919E7</v>
      </c>
      <c r="J1619" s="6">
        <v>2.14907162391E9</v>
      </c>
    </row>
    <row r="1620">
      <c r="A1620" s="4" t="s">
        <v>10</v>
      </c>
      <c r="B1620" s="5">
        <v>43990.0</v>
      </c>
      <c r="C1620" s="6">
        <v>41.17</v>
      </c>
      <c r="D1620" s="13">
        <f>+0.25</f>
        <v>0.25</v>
      </c>
      <c r="E1620" s="14">
        <f>+0.61%</f>
        <v>0.0061</v>
      </c>
      <c r="F1620" s="6">
        <v>40.8</v>
      </c>
      <c r="G1620" s="6">
        <v>40.56</v>
      </c>
      <c r="H1620" s="6">
        <v>41.19</v>
      </c>
      <c r="I1620" s="9">
        <v>3.9777057E7</v>
      </c>
      <c r="J1620" s="6">
        <v>1.62712377581E9</v>
      </c>
    </row>
    <row r="1621">
      <c r="A1621" s="4" t="s">
        <v>10</v>
      </c>
      <c r="B1621" s="5">
        <v>43991.0</v>
      </c>
      <c r="C1621" s="6">
        <v>40.89</v>
      </c>
      <c r="D1621" s="11">
        <v>-0.28</v>
      </c>
      <c r="E1621" s="12">
        <v>-0.0068</v>
      </c>
      <c r="F1621" s="6">
        <v>40.58</v>
      </c>
      <c r="G1621" s="6">
        <v>40.43</v>
      </c>
      <c r="H1621" s="6">
        <v>40.98</v>
      </c>
      <c r="I1621" s="9">
        <v>4.4389765E7</v>
      </c>
      <c r="J1621" s="6">
        <v>1.8096938238E9</v>
      </c>
    </row>
    <row r="1622">
      <c r="A1622" s="4" t="s">
        <v>10</v>
      </c>
      <c r="B1622" s="5">
        <v>43992.0</v>
      </c>
      <c r="C1622" s="6">
        <v>41.19</v>
      </c>
      <c r="D1622" s="13">
        <f>+0.3</f>
        <v>0.3</v>
      </c>
      <c r="E1622" s="14">
        <f>+0.73%</f>
        <v>0.0073</v>
      </c>
      <c r="F1622" s="6">
        <v>41.01</v>
      </c>
      <c r="G1622" s="6">
        <v>40.67</v>
      </c>
      <c r="H1622" s="6">
        <v>41.31</v>
      </c>
      <c r="I1622" s="9">
        <v>8.1172706E7</v>
      </c>
      <c r="J1622" s="6">
        <v>3.33386163954E9</v>
      </c>
    </row>
    <row r="1623">
      <c r="A1623" s="4" t="s">
        <v>10</v>
      </c>
      <c r="B1623" s="5">
        <v>43993.0</v>
      </c>
      <c r="C1623" s="6">
        <v>39.04</v>
      </c>
      <c r="D1623" s="11">
        <v>-2.15</v>
      </c>
      <c r="E1623" s="12">
        <v>-0.0522</v>
      </c>
      <c r="F1623" s="6">
        <v>39.86</v>
      </c>
      <c r="G1623" s="6">
        <v>38.99</v>
      </c>
      <c r="H1623" s="6">
        <v>40.08</v>
      </c>
      <c r="I1623" s="9">
        <v>9.1271386E7</v>
      </c>
      <c r="J1623" s="6">
        <v>3.59823470587E9</v>
      </c>
    </row>
    <row r="1624">
      <c r="A1624" s="4" t="s">
        <v>10</v>
      </c>
      <c r="B1624" s="5">
        <v>43994.0</v>
      </c>
      <c r="C1624" s="6">
        <v>39.87</v>
      </c>
      <c r="D1624" s="13">
        <f>+0.83</f>
        <v>0.83</v>
      </c>
      <c r="E1624" s="14">
        <f>+2.13%</f>
        <v>0.0213</v>
      </c>
      <c r="F1624" s="6">
        <v>40.02</v>
      </c>
      <c r="G1624" s="6">
        <v>39.28</v>
      </c>
      <c r="H1624" s="6">
        <v>40.1</v>
      </c>
      <c r="I1624" s="9">
        <v>7.3779518E7</v>
      </c>
      <c r="J1624" s="6">
        <v>2.92948770473E9</v>
      </c>
    </row>
    <row r="1625">
      <c r="A1625" s="4" t="s">
        <v>10</v>
      </c>
      <c r="B1625" s="5">
        <v>43997.0</v>
      </c>
      <c r="C1625" s="6">
        <v>39.28</v>
      </c>
      <c r="D1625" s="11">
        <v>-0.59</v>
      </c>
      <c r="E1625" s="12">
        <v>-0.0148</v>
      </c>
      <c r="F1625" s="6">
        <v>38.62</v>
      </c>
      <c r="G1625" s="6">
        <v>38.5</v>
      </c>
      <c r="H1625" s="6">
        <v>39.51</v>
      </c>
      <c r="I1625" s="9">
        <v>7.6869654E7</v>
      </c>
      <c r="J1625" s="6">
        <v>3.00607333556E9</v>
      </c>
    </row>
    <row r="1626">
      <c r="A1626" s="4" t="s">
        <v>10</v>
      </c>
      <c r="B1626" s="5">
        <v>43998.0</v>
      </c>
      <c r="C1626" s="6">
        <v>39.53</v>
      </c>
      <c r="D1626" s="13">
        <f>+0.25</f>
        <v>0.25</v>
      </c>
      <c r="E1626" s="14">
        <f>+0.64%</f>
        <v>0.0064</v>
      </c>
      <c r="F1626" s="6">
        <v>40.27</v>
      </c>
      <c r="G1626" s="6">
        <v>39.25</v>
      </c>
      <c r="H1626" s="6">
        <v>40.27</v>
      </c>
      <c r="I1626" s="9">
        <v>7.9638033E7</v>
      </c>
      <c r="J1626" s="6">
        <v>3.1661619072E9</v>
      </c>
    </row>
    <row r="1627">
      <c r="A1627" s="4" t="s">
        <v>10</v>
      </c>
      <c r="B1627" s="5">
        <v>43999.0</v>
      </c>
      <c r="C1627" s="6">
        <v>39.91</v>
      </c>
      <c r="D1627" s="13">
        <f>+0.38</f>
        <v>0.38</v>
      </c>
      <c r="E1627" s="14">
        <f>+0.96%</f>
        <v>0.0096</v>
      </c>
      <c r="F1627" s="6">
        <v>39.87</v>
      </c>
      <c r="G1627" s="6">
        <v>39.79</v>
      </c>
      <c r="H1627" s="6">
        <v>40.11</v>
      </c>
      <c r="I1627" s="9">
        <v>6.1471153E7</v>
      </c>
      <c r="J1627" s="6">
        <v>2.45461136206E9</v>
      </c>
    </row>
    <row r="1628">
      <c r="A1628" s="4" t="s">
        <v>10</v>
      </c>
      <c r="B1628" s="5">
        <v>44000.0</v>
      </c>
      <c r="C1628" s="6">
        <v>39.93</v>
      </c>
      <c r="D1628" s="13">
        <f>+0.02</f>
        <v>0.02</v>
      </c>
      <c r="E1628" s="14">
        <f>+0.05%</f>
        <v>0.0005</v>
      </c>
      <c r="F1628" s="6">
        <v>39.81</v>
      </c>
      <c r="G1628" s="6">
        <v>39.8</v>
      </c>
      <c r="H1628" s="6">
        <v>40.08</v>
      </c>
      <c r="I1628" s="9">
        <v>4.8131406E7</v>
      </c>
      <c r="J1628" s="6">
        <v>1.92238926252E9</v>
      </c>
    </row>
    <row r="1629">
      <c r="A1629" s="4" t="s">
        <v>10</v>
      </c>
      <c r="B1629" s="5">
        <v>44001.0</v>
      </c>
      <c r="C1629" s="6">
        <v>39.92</v>
      </c>
      <c r="D1629" s="11">
        <v>-0.01</v>
      </c>
      <c r="E1629" s="12">
        <v>-3.0E-4</v>
      </c>
      <c r="F1629" s="6">
        <v>40.47</v>
      </c>
      <c r="G1629" s="6">
        <v>39.78</v>
      </c>
      <c r="H1629" s="6">
        <v>40.48</v>
      </c>
      <c r="I1629" s="9">
        <v>7.2411345E7</v>
      </c>
      <c r="J1629" s="6">
        <v>2.8987855437E9</v>
      </c>
    </row>
    <row r="1630">
      <c r="A1630" s="4" t="s">
        <v>10</v>
      </c>
      <c r="B1630" s="5">
        <v>44004.0</v>
      </c>
      <c r="C1630" s="6">
        <v>40.41</v>
      </c>
      <c r="D1630" s="13">
        <f>+0.49</f>
        <v>0.49</v>
      </c>
      <c r="E1630" s="14">
        <f>+1.23%</f>
        <v>0.0123</v>
      </c>
      <c r="F1630" s="6">
        <v>40.19</v>
      </c>
      <c r="G1630" s="6">
        <v>40.1</v>
      </c>
      <c r="H1630" s="6">
        <v>40.5</v>
      </c>
      <c r="I1630" s="9">
        <v>3.9024205E7</v>
      </c>
      <c r="J1630" s="6">
        <v>1.57491971255E9</v>
      </c>
    </row>
    <row r="1631">
      <c r="A1631" s="4" t="s">
        <v>10</v>
      </c>
      <c r="B1631" s="5">
        <v>44005.0</v>
      </c>
      <c r="C1631" s="6">
        <v>40.8</v>
      </c>
      <c r="D1631" s="13">
        <f>+0.39</f>
        <v>0.39</v>
      </c>
      <c r="E1631" s="14">
        <f>+0.97%</f>
        <v>0.0097</v>
      </c>
      <c r="F1631" s="6">
        <v>40.89</v>
      </c>
      <c r="G1631" s="6">
        <v>40.76</v>
      </c>
      <c r="H1631" s="6">
        <v>41.07</v>
      </c>
      <c r="I1631" s="9">
        <v>3.299581E7</v>
      </c>
      <c r="J1631" s="6">
        <v>1.3495468625E9</v>
      </c>
    </row>
    <row r="1632">
      <c r="A1632" s="4" t="s">
        <v>10</v>
      </c>
      <c r="B1632" s="5">
        <v>44006.0</v>
      </c>
      <c r="C1632" s="6">
        <v>40.26</v>
      </c>
      <c r="D1632" s="11">
        <v>-0.54</v>
      </c>
      <c r="E1632" s="12">
        <v>-0.0132</v>
      </c>
      <c r="F1632" s="6">
        <v>40.64</v>
      </c>
      <c r="G1632" s="6">
        <v>39.98</v>
      </c>
      <c r="H1632" s="6">
        <v>40.76</v>
      </c>
      <c r="I1632" s="9">
        <v>5.1150249E7</v>
      </c>
      <c r="J1632" s="6">
        <v>2.06001112597E9</v>
      </c>
    </row>
    <row r="1633">
      <c r="A1633" s="4" t="s">
        <v>10</v>
      </c>
      <c r="B1633" s="5">
        <v>44007.0</v>
      </c>
      <c r="C1633" s="6">
        <v>40.43</v>
      </c>
      <c r="D1633" s="13">
        <f>+0.17</f>
        <v>0.17</v>
      </c>
      <c r="E1633" s="14">
        <f>+0.42%</f>
        <v>0.0042</v>
      </c>
      <c r="F1633" s="6">
        <v>40.12</v>
      </c>
      <c r="G1633" s="6">
        <v>39.98</v>
      </c>
      <c r="H1633" s="6">
        <v>40.44</v>
      </c>
      <c r="I1633" s="9">
        <v>4.8198962E7</v>
      </c>
      <c r="J1633" s="6">
        <v>1.9406947386E9</v>
      </c>
    </row>
    <row r="1634">
      <c r="A1634" s="4" t="s">
        <v>10</v>
      </c>
      <c r="B1634" s="5">
        <v>44008.0</v>
      </c>
      <c r="C1634" s="6">
        <v>39.94</v>
      </c>
      <c r="D1634" s="11">
        <v>-0.49</v>
      </c>
      <c r="E1634" s="12">
        <v>-0.0121</v>
      </c>
      <c r="F1634" s="6">
        <v>40.31</v>
      </c>
      <c r="G1634" s="6">
        <v>39.77</v>
      </c>
      <c r="H1634" s="6">
        <v>40.33</v>
      </c>
      <c r="I1634" s="9">
        <v>5.3901484E7</v>
      </c>
      <c r="J1634" s="6">
        <v>2.15422662811E9</v>
      </c>
    </row>
    <row r="1635">
      <c r="A1635" s="4" t="s">
        <v>10</v>
      </c>
      <c r="B1635" s="5">
        <v>44011.0</v>
      </c>
      <c r="C1635" s="6">
        <v>40.12</v>
      </c>
      <c r="D1635" s="13">
        <f>+0.18</f>
        <v>0.18</v>
      </c>
      <c r="E1635" s="14">
        <f>+0.45%</f>
        <v>0.0045</v>
      </c>
      <c r="F1635" s="6">
        <v>39.95</v>
      </c>
      <c r="G1635" s="6">
        <v>39.72</v>
      </c>
      <c r="H1635" s="6">
        <v>40.14</v>
      </c>
      <c r="I1635" s="9">
        <v>3.4712671E7</v>
      </c>
      <c r="J1635" s="6">
        <v>1.38858641699E9</v>
      </c>
    </row>
    <row r="1636">
      <c r="A1636" s="4" t="s">
        <v>10</v>
      </c>
      <c r="B1636" s="5">
        <v>44012.0</v>
      </c>
      <c r="C1636" s="6">
        <v>39.99</v>
      </c>
      <c r="D1636" s="11">
        <v>-0.13</v>
      </c>
      <c r="E1636" s="12">
        <v>-0.0032</v>
      </c>
      <c r="F1636" s="6">
        <v>40.05</v>
      </c>
      <c r="G1636" s="6">
        <v>39.75</v>
      </c>
      <c r="H1636" s="6">
        <v>40.09</v>
      </c>
      <c r="I1636" s="9">
        <v>6.7644616E7</v>
      </c>
      <c r="J1636" s="6">
        <v>2.70182980591E9</v>
      </c>
    </row>
    <row r="1637">
      <c r="A1637" s="4" t="s">
        <v>10</v>
      </c>
      <c r="B1637" s="5">
        <v>44013.0</v>
      </c>
      <c r="C1637" s="6">
        <v>40.44</v>
      </c>
      <c r="D1637" s="13">
        <f>+0.45</f>
        <v>0.45</v>
      </c>
      <c r="E1637" s="14">
        <f>+1.13%</f>
        <v>0.0113</v>
      </c>
      <c r="F1637" s="6">
        <v>40.21</v>
      </c>
      <c r="G1637" s="6">
        <v>40.18</v>
      </c>
      <c r="H1637" s="6">
        <v>40.59</v>
      </c>
      <c r="I1637" s="9">
        <v>5.1766171E7</v>
      </c>
      <c r="J1637" s="6">
        <v>2.09096207535E9</v>
      </c>
    </row>
    <row r="1638">
      <c r="A1638" s="4" t="s">
        <v>10</v>
      </c>
      <c r="B1638" s="5">
        <v>44014.0</v>
      </c>
      <c r="C1638" s="6">
        <v>41.36</v>
      </c>
      <c r="D1638" s="13">
        <f>+0.92</f>
        <v>0.92</v>
      </c>
      <c r="E1638" s="14">
        <f>+2.27%</f>
        <v>0.0227</v>
      </c>
      <c r="F1638" s="6">
        <v>41.31</v>
      </c>
      <c r="G1638" s="6">
        <v>41.18</v>
      </c>
      <c r="H1638" s="6">
        <v>41.6</v>
      </c>
      <c r="I1638" s="9">
        <v>4.2240181E7</v>
      </c>
      <c r="J1638" s="6">
        <v>1.74799366164E9</v>
      </c>
    </row>
    <row r="1639">
      <c r="A1639" s="4" t="s">
        <v>10</v>
      </c>
      <c r="B1639" s="5">
        <v>44018.0</v>
      </c>
      <c r="C1639" s="6">
        <v>43.14</v>
      </c>
      <c r="D1639" s="13">
        <f>+1.78</f>
        <v>1.78</v>
      </c>
      <c r="E1639" s="14">
        <f>+4.3%</f>
        <v>0.043</v>
      </c>
      <c r="F1639" s="6">
        <v>42.78</v>
      </c>
      <c r="G1639" s="6">
        <v>42.78</v>
      </c>
      <c r="H1639" s="6">
        <v>43.15</v>
      </c>
      <c r="I1639" s="9">
        <v>6.9159908E7</v>
      </c>
      <c r="J1639" s="6">
        <v>2.97277676156E9</v>
      </c>
    </row>
    <row r="1640">
      <c r="A1640" s="4" t="s">
        <v>10</v>
      </c>
      <c r="B1640" s="5">
        <v>44019.0</v>
      </c>
      <c r="C1640" s="6">
        <v>42.42</v>
      </c>
      <c r="D1640" s="11">
        <v>-0.72</v>
      </c>
      <c r="E1640" s="12">
        <v>-0.0167</v>
      </c>
      <c r="F1640" s="6">
        <v>42.59</v>
      </c>
      <c r="G1640" s="6">
        <v>42.4</v>
      </c>
      <c r="H1640" s="6">
        <v>42.88</v>
      </c>
      <c r="I1640" s="9">
        <v>3.4004169E7</v>
      </c>
      <c r="J1640" s="6">
        <v>1.44916029821E9</v>
      </c>
    </row>
    <row r="1641">
      <c r="A1641" s="4" t="s">
        <v>10</v>
      </c>
      <c r="B1641" s="5">
        <v>44020.0</v>
      </c>
      <c r="C1641" s="6">
        <v>43.52</v>
      </c>
      <c r="D1641" s="13">
        <f>+1.1</f>
        <v>1.1</v>
      </c>
      <c r="E1641" s="14">
        <f>+2.59%</f>
        <v>0.0259</v>
      </c>
      <c r="F1641" s="6">
        <v>43.0</v>
      </c>
      <c r="G1641" s="6">
        <v>42.95</v>
      </c>
      <c r="H1641" s="6">
        <v>43.52</v>
      </c>
      <c r="I1641" s="9">
        <v>4.2278146E7</v>
      </c>
      <c r="J1641" s="6">
        <v>1.82794650105E9</v>
      </c>
    </row>
    <row r="1642">
      <c r="A1642" s="4" t="s">
        <v>10</v>
      </c>
      <c r="B1642" s="5">
        <v>44021.0</v>
      </c>
      <c r="C1642" s="6">
        <v>43.52</v>
      </c>
      <c r="D1642" s="11">
        <v>0.0</v>
      </c>
      <c r="E1642" s="12">
        <v>0.0</v>
      </c>
      <c r="F1642" s="6">
        <v>43.9</v>
      </c>
      <c r="G1642" s="6">
        <v>43.13</v>
      </c>
      <c r="H1642" s="6">
        <v>43.96</v>
      </c>
      <c r="I1642" s="9">
        <v>6.4950427E7</v>
      </c>
      <c r="J1642" s="6">
        <v>2.82275531229E9</v>
      </c>
    </row>
    <row r="1643">
      <c r="A1643" s="4" t="s">
        <v>10</v>
      </c>
      <c r="B1643" s="5">
        <v>44022.0</v>
      </c>
      <c r="C1643" s="6">
        <v>43.24</v>
      </c>
      <c r="D1643" s="11">
        <v>-0.28</v>
      </c>
      <c r="E1643" s="12">
        <v>-0.0064</v>
      </c>
      <c r="F1643" s="6">
        <v>43.23</v>
      </c>
      <c r="G1643" s="6">
        <v>42.95</v>
      </c>
      <c r="H1643" s="6">
        <v>43.3</v>
      </c>
      <c r="I1643" s="9">
        <v>4.5293847E7</v>
      </c>
      <c r="J1643" s="6">
        <v>1.95301291647E9</v>
      </c>
    </row>
    <row r="1644">
      <c r="A1644" s="4" t="s">
        <v>10</v>
      </c>
      <c r="B1644" s="5">
        <v>44025.0</v>
      </c>
      <c r="C1644" s="6">
        <v>42.95</v>
      </c>
      <c r="D1644" s="11">
        <v>-0.29</v>
      </c>
      <c r="E1644" s="12">
        <v>-0.0067</v>
      </c>
      <c r="F1644" s="6">
        <v>43.54</v>
      </c>
      <c r="G1644" s="6">
        <v>42.87</v>
      </c>
      <c r="H1644" s="6">
        <v>43.86</v>
      </c>
      <c r="I1644" s="9">
        <v>4.7039635E7</v>
      </c>
      <c r="J1644" s="6">
        <v>2.04006821097E9</v>
      </c>
    </row>
    <row r="1645">
      <c r="A1645" s="4" t="s">
        <v>10</v>
      </c>
      <c r="B1645" s="5">
        <v>44026.0</v>
      </c>
      <c r="C1645" s="6">
        <v>43.01</v>
      </c>
      <c r="D1645" s="13">
        <f>+0.06</f>
        <v>0.06</v>
      </c>
      <c r="E1645" s="14">
        <f>+0.14%</f>
        <v>0.0014</v>
      </c>
      <c r="F1645" s="6">
        <v>42.45</v>
      </c>
      <c r="G1645" s="6">
        <v>42.35</v>
      </c>
      <c r="H1645" s="6">
        <v>43.13</v>
      </c>
      <c r="I1645" s="9">
        <v>5.6528028E7</v>
      </c>
      <c r="J1645" s="6">
        <v>2.42208565904E9</v>
      </c>
    </row>
    <row r="1646">
      <c r="A1646" s="4" t="s">
        <v>10</v>
      </c>
      <c r="B1646" s="5">
        <v>44027.0</v>
      </c>
      <c r="C1646" s="6">
        <v>43.14</v>
      </c>
      <c r="D1646" s="13">
        <f>+0.13</f>
        <v>0.13</v>
      </c>
      <c r="E1646" s="14">
        <f>+0.3%</f>
        <v>0.003</v>
      </c>
      <c r="F1646" s="6">
        <v>43.27</v>
      </c>
      <c r="G1646" s="6">
        <v>42.97</v>
      </c>
      <c r="H1646" s="6">
        <v>43.35</v>
      </c>
      <c r="I1646" s="9">
        <v>4.830908E7</v>
      </c>
      <c r="J1646" s="6">
        <v>2.08476258673E9</v>
      </c>
    </row>
    <row r="1647">
      <c r="A1647" s="4" t="s">
        <v>10</v>
      </c>
      <c r="B1647" s="5">
        <v>44028.0</v>
      </c>
      <c r="C1647" s="6">
        <v>42.53</v>
      </c>
      <c r="D1647" s="11">
        <v>-0.61</v>
      </c>
      <c r="E1647" s="12">
        <v>-0.0141</v>
      </c>
      <c r="F1647" s="6">
        <v>42.31</v>
      </c>
      <c r="G1647" s="6">
        <v>42.25</v>
      </c>
      <c r="H1647" s="6">
        <v>42.57</v>
      </c>
      <c r="I1647" s="9">
        <v>3.6511978E7</v>
      </c>
      <c r="J1647" s="6">
        <v>1.55052079096E9</v>
      </c>
    </row>
    <row r="1648">
      <c r="A1648" s="4" t="s">
        <v>10</v>
      </c>
      <c r="B1648" s="5">
        <v>44029.0</v>
      </c>
      <c r="C1648" s="6">
        <v>42.77</v>
      </c>
      <c r="D1648" s="13">
        <f>+0.24</f>
        <v>0.24</v>
      </c>
      <c r="E1648" s="14">
        <f>+0.56%</f>
        <v>0.0056</v>
      </c>
      <c r="F1648" s="6">
        <v>42.84</v>
      </c>
      <c r="G1648" s="6">
        <v>42.55</v>
      </c>
      <c r="H1648" s="6">
        <v>42.86</v>
      </c>
      <c r="I1648" s="9">
        <v>4.091297E7</v>
      </c>
      <c r="J1648" s="6">
        <v>1.74784705056E9</v>
      </c>
    </row>
    <row r="1649">
      <c r="A1649" s="4" t="s">
        <v>10</v>
      </c>
      <c r="B1649" s="5">
        <v>44032.0</v>
      </c>
      <c r="C1649" s="6">
        <v>43.32</v>
      </c>
      <c r="D1649" s="13">
        <f>+0.55</f>
        <v>0.55</v>
      </c>
      <c r="E1649" s="14">
        <f>+1.29%</f>
        <v>0.0129</v>
      </c>
      <c r="F1649" s="6">
        <v>43.01</v>
      </c>
      <c r="G1649" s="6">
        <v>42.89</v>
      </c>
      <c r="H1649" s="6">
        <v>43.37</v>
      </c>
      <c r="I1649" s="9">
        <v>2.3319268E7</v>
      </c>
      <c r="J1649" s="6">
        <v>1.00697029567E9</v>
      </c>
    </row>
    <row r="1650">
      <c r="A1650" s="4" t="s">
        <v>10</v>
      </c>
      <c r="B1650" s="5">
        <v>44033.0</v>
      </c>
      <c r="C1650" s="6">
        <v>43.72</v>
      </c>
      <c r="D1650" s="13">
        <f>+0.4</f>
        <v>0.4</v>
      </c>
      <c r="E1650" s="14">
        <f>+0.92%</f>
        <v>0.0092</v>
      </c>
      <c r="F1650" s="6">
        <v>44.0</v>
      </c>
      <c r="G1650" s="6">
        <v>43.7</v>
      </c>
      <c r="H1650" s="6">
        <v>44.02</v>
      </c>
      <c r="I1650" s="9">
        <v>4.4423417E7</v>
      </c>
      <c r="J1650" s="6">
        <v>1.94798085824E9</v>
      </c>
    </row>
    <row r="1651">
      <c r="A1651" s="4" t="s">
        <v>10</v>
      </c>
      <c r="B1651" s="5">
        <v>44034.0</v>
      </c>
      <c r="C1651" s="6">
        <v>43.53</v>
      </c>
      <c r="D1651" s="11">
        <v>-0.19</v>
      </c>
      <c r="E1651" s="12">
        <v>-0.0043</v>
      </c>
      <c r="F1651" s="6">
        <v>43.71</v>
      </c>
      <c r="G1651" s="6">
        <v>43.29</v>
      </c>
      <c r="H1651" s="6">
        <v>43.71</v>
      </c>
      <c r="I1651" s="9">
        <v>3.123217E7</v>
      </c>
      <c r="J1651" s="6">
        <v>1.35856289922E9</v>
      </c>
    </row>
    <row r="1652">
      <c r="A1652" s="4" t="s">
        <v>10</v>
      </c>
      <c r="B1652" s="5">
        <v>44035.0</v>
      </c>
      <c r="C1652" s="6">
        <v>43.18</v>
      </c>
      <c r="D1652" s="11">
        <v>-0.35</v>
      </c>
      <c r="E1652" s="12">
        <v>-0.008</v>
      </c>
      <c r="F1652" s="6">
        <v>43.5</v>
      </c>
      <c r="G1652" s="6">
        <v>42.97</v>
      </c>
      <c r="H1652" s="6">
        <v>43.67</v>
      </c>
      <c r="I1652" s="9">
        <v>3.9243611E7</v>
      </c>
      <c r="J1652" s="6">
        <v>1.69997821365E9</v>
      </c>
    </row>
    <row r="1653">
      <c r="A1653" s="4" t="s">
        <v>10</v>
      </c>
      <c r="B1653" s="5">
        <v>44036.0</v>
      </c>
      <c r="C1653" s="6">
        <v>43.14</v>
      </c>
      <c r="D1653" s="11">
        <v>-0.04</v>
      </c>
      <c r="E1653" s="12">
        <v>-9.0E-4</v>
      </c>
      <c r="F1653" s="6">
        <v>42.72</v>
      </c>
      <c r="G1653" s="6">
        <v>42.63</v>
      </c>
      <c r="H1653" s="6">
        <v>43.14</v>
      </c>
      <c r="I1653" s="9">
        <v>3.0184756E7</v>
      </c>
      <c r="J1653" s="6">
        <v>1.29695511513E9</v>
      </c>
    </row>
    <row r="1654">
      <c r="A1654" s="4" t="s">
        <v>10</v>
      </c>
      <c r="B1654" s="5">
        <v>44039.0</v>
      </c>
      <c r="C1654" s="6">
        <v>43.81</v>
      </c>
      <c r="D1654" s="13">
        <f>+0.67</f>
        <v>0.67</v>
      </c>
      <c r="E1654" s="14">
        <f>+1.55%</f>
        <v>0.0155</v>
      </c>
      <c r="F1654" s="6">
        <v>43.44</v>
      </c>
      <c r="G1654" s="6">
        <v>43.31</v>
      </c>
      <c r="H1654" s="6">
        <v>43.84</v>
      </c>
      <c r="I1654" s="9">
        <v>3.9112173E7</v>
      </c>
      <c r="J1654" s="6">
        <v>1.70802137056E9</v>
      </c>
    </row>
    <row r="1655">
      <c r="A1655" s="4" t="s">
        <v>10</v>
      </c>
      <c r="B1655" s="5">
        <v>44040.0</v>
      </c>
      <c r="C1655" s="6">
        <v>43.45</v>
      </c>
      <c r="D1655" s="11">
        <v>-0.36</v>
      </c>
      <c r="E1655" s="12">
        <v>-0.0082</v>
      </c>
      <c r="F1655" s="6">
        <v>43.73</v>
      </c>
      <c r="G1655" s="6">
        <v>43.4</v>
      </c>
      <c r="H1655" s="6">
        <v>43.78</v>
      </c>
      <c r="I1655" s="9">
        <v>3.121909E7</v>
      </c>
      <c r="J1655" s="6">
        <v>1.3596858454E9</v>
      </c>
    </row>
    <row r="1656">
      <c r="A1656" s="4" t="s">
        <v>10</v>
      </c>
      <c r="B1656" s="5">
        <v>44041.0</v>
      </c>
      <c r="C1656" s="6">
        <v>44.15</v>
      </c>
      <c r="D1656" s="13">
        <f>+0.7</f>
        <v>0.7</v>
      </c>
      <c r="E1656" s="14">
        <f>+1.61%</f>
        <v>0.0161</v>
      </c>
      <c r="F1656" s="6">
        <v>43.85</v>
      </c>
      <c r="G1656" s="6">
        <v>43.85</v>
      </c>
      <c r="H1656" s="6">
        <v>44.27</v>
      </c>
      <c r="I1656" s="9">
        <v>3.7830933E7</v>
      </c>
      <c r="J1656" s="6">
        <v>1.66599099969E9</v>
      </c>
    </row>
    <row r="1657">
      <c r="A1657" s="4" t="s">
        <v>10</v>
      </c>
      <c r="B1657" s="5">
        <v>44042.0</v>
      </c>
      <c r="C1657" s="6">
        <v>43.59</v>
      </c>
      <c r="D1657" s="11">
        <v>-0.56</v>
      </c>
      <c r="E1657" s="12">
        <v>-0.0127</v>
      </c>
      <c r="F1657" s="6">
        <v>43.63</v>
      </c>
      <c r="G1657" s="6">
        <v>43.19</v>
      </c>
      <c r="H1657" s="6">
        <v>43.76</v>
      </c>
      <c r="I1657" s="9">
        <v>4.7900312E7</v>
      </c>
      <c r="J1657" s="6">
        <v>2.08305196431E9</v>
      </c>
    </row>
    <row r="1658">
      <c r="A1658" s="4" t="s">
        <v>10</v>
      </c>
      <c r="B1658" s="5">
        <v>44043.0</v>
      </c>
      <c r="C1658" s="6">
        <v>43.29</v>
      </c>
      <c r="D1658" s="11">
        <v>-0.3</v>
      </c>
      <c r="E1658" s="12">
        <v>-0.0069</v>
      </c>
      <c r="F1658" s="6">
        <v>43.63</v>
      </c>
      <c r="G1658" s="6">
        <v>42.96</v>
      </c>
      <c r="H1658" s="6">
        <v>43.64</v>
      </c>
      <c r="I1658" s="9">
        <v>6.2457744E7</v>
      </c>
      <c r="J1658" s="6">
        <v>2.69966887601E9</v>
      </c>
    </row>
    <row r="1659">
      <c r="A1659" s="4" t="s">
        <v>10</v>
      </c>
      <c r="B1659" s="5">
        <v>44046.0</v>
      </c>
      <c r="C1659" s="6">
        <v>43.59</v>
      </c>
      <c r="D1659" s="13">
        <f>+0.3</f>
        <v>0.3</v>
      </c>
      <c r="E1659" s="14">
        <f>+0.69%</f>
        <v>0.0069</v>
      </c>
      <c r="F1659" s="6">
        <v>43.45</v>
      </c>
      <c r="G1659" s="6">
        <v>43.41</v>
      </c>
      <c r="H1659" s="6">
        <v>43.69</v>
      </c>
      <c r="I1659" s="9">
        <v>3.0603767E7</v>
      </c>
      <c r="J1659" s="6">
        <v>1.33319168975E9</v>
      </c>
    </row>
    <row r="1660">
      <c r="A1660" s="4" t="s">
        <v>10</v>
      </c>
      <c r="B1660" s="5">
        <v>44047.0</v>
      </c>
      <c r="C1660" s="6">
        <v>44.17</v>
      </c>
      <c r="D1660" s="13">
        <f>+0.58</f>
        <v>0.58</v>
      </c>
      <c r="E1660" s="14">
        <f>+1.33%</f>
        <v>0.0133</v>
      </c>
      <c r="F1660" s="6">
        <v>43.78</v>
      </c>
      <c r="G1660" s="6">
        <v>43.77</v>
      </c>
      <c r="H1660" s="6">
        <v>44.17</v>
      </c>
      <c r="I1660" s="9">
        <v>4.059739E7</v>
      </c>
      <c r="J1660" s="6">
        <v>1.78572945162E9</v>
      </c>
    </row>
    <row r="1661">
      <c r="A1661" s="4" t="s">
        <v>10</v>
      </c>
      <c r="B1661" s="5">
        <v>44048.0</v>
      </c>
      <c r="C1661" s="6">
        <v>44.65</v>
      </c>
      <c r="D1661" s="13">
        <f>+0.48</f>
        <v>0.48</v>
      </c>
      <c r="E1661" s="14">
        <f>+1.09%</f>
        <v>0.0109</v>
      </c>
      <c r="F1661" s="6">
        <v>44.56</v>
      </c>
      <c r="G1661" s="6">
        <v>44.53</v>
      </c>
      <c r="H1661" s="6">
        <v>44.85</v>
      </c>
      <c r="I1661" s="9">
        <v>3.6771098E7</v>
      </c>
      <c r="J1661" s="6">
        <v>1.64342349448E9</v>
      </c>
    </row>
    <row r="1662">
      <c r="A1662" s="4" t="s">
        <v>10</v>
      </c>
      <c r="B1662" s="5">
        <v>44049.0</v>
      </c>
      <c r="C1662" s="6">
        <v>44.79</v>
      </c>
      <c r="D1662" s="13">
        <f>+0.14</f>
        <v>0.14</v>
      </c>
      <c r="E1662" s="14">
        <f>+0.31%</f>
        <v>0.0031</v>
      </c>
      <c r="F1662" s="6">
        <v>44.52</v>
      </c>
      <c r="G1662" s="6">
        <v>44.36</v>
      </c>
      <c r="H1662" s="6">
        <v>44.81</v>
      </c>
      <c r="I1662" s="9">
        <v>3.352369E7</v>
      </c>
      <c r="J1662" s="6">
        <v>1.49508526779E9</v>
      </c>
    </row>
    <row r="1663">
      <c r="A1663" s="4" t="s">
        <v>10</v>
      </c>
      <c r="B1663" s="5">
        <v>44050.0</v>
      </c>
      <c r="C1663" s="6">
        <v>43.87</v>
      </c>
      <c r="D1663" s="11">
        <v>-0.92</v>
      </c>
      <c r="E1663" s="12">
        <v>-0.0205</v>
      </c>
      <c r="F1663" s="6">
        <v>43.99</v>
      </c>
      <c r="G1663" s="6">
        <v>43.64</v>
      </c>
      <c r="H1663" s="6">
        <v>44.15</v>
      </c>
      <c r="I1663" s="9">
        <v>3.5759274E7</v>
      </c>
      <c r="J1663" s="6">
        <v>1.5689886725E9</v>
      </c>
    </row>
    <row r="1664">
      <c r="A1664" s="4" t="s">
        <v>10</v>
      </c>
      <c r="B1664" s="5">
        <v>44053.0</v>
      </c>
      <c r="C1664" s="6">
        <v>43.98</v>
      </c>
      <c r="D1664" s="13">
        <f>+0.11</f>
        <v>0.11</v>
      </c>
      <c r="E1664" s="14">
        <f>+0.25%</f>
        <v>0.0025</v>
      </c>
      <c r="F1664" s="6">
        <v>43.94</v>
      </c>
      <c r="G1664" s="6">
        <v>43.64</v>
      </c>
      <c r="H1664" s="6">
        <v>44.07</v>
      </c>
      <c r="I1664" s="9">
        <v>2.696473E7</v>
      </c>
      <c r="J1664" s="6">
        <v>1.18230113029E9</v>
      </c>
    </row>
    <row r="1665">
      <c r="A1665" s="4" t="s">
        <v>10</v>
      </c>
      <c r="B1665" s="5">
        <v>44054.0</v>
      </c>
      <c r="C1665" s="6">
        <v>43.86</v>
      </c>
      <c r="D1665" s="11">
        <v>-0.12</v>
      </c>
      <c r="E1665" s="12">
        <v>-0.0027</v>
      </c>
      <c r="F1665" s="6">
        <v>44.27</v>
      </c>
      <c r="G1665" s="6">
        <v>43.81</v>
      </c>
      <c r="H1665" s="6">
        <v>44.36</v>
      </c>
      <c r="I1665" s="9">
        <v>3.4166428E7</v>
      </c>
      <c r="J1665" s="6">
        <v>1.50611982712E9</v>
      </c>
    </row>
    <row r="1666">
      <c r="A1666" s="4" t="s">
        <v>10</v>
      </c>
      <c r="B1666" s="5">
        <v>44055.0</v>
      </c>
      <c r="C1666" s="6">
        <v>44.45</v>
      </c>
      <c r="D1666" s="13">
        <f>+0.59</f>
        <v>0.59</v>
      </c>
      <c r="E1666" s="14">
        <f>+1.35%</f>
        <v>0.0135</v>
      </c>
      <c r="F1666" s="6">
        <v>44.31</v>
      </c>
      <c r="G1666" s="6">
        <v>44.21</v>
      </c>
      <c r="H1666" s="6">
        <v>44.58</v>
      </c>
      <c r="I1666" s="9">
        <v>3.0741321E7</v>
      </c>
      <c r="J1666" s="6">
        <v>1.36525920846E9</v>
      </c>
    </row>
    <row r="1667">
      <c r="A1667" s="4" t="s">
        <v>10</v>
      </c>
      <c r="B1667" s="5">
        <v>44056.0</v>
      </c>
      <c r="C1667" s="6">
        <v>44.32</v>
      </c>
      <c r="D1667" s="11">
        <v>-0.13</v>
      </c>
      <c r="E1667" s="12">
        <v>-0.0029</v>
      </c>
      <c r="F1667" s="6">
        <v>44.4</v>
      </c>
      <c r="G1667" s="6">
        <v>44.13</v>
      </c>
      <c r="H1667" s="6">
        <v>44.47</v>
      </c>
      <c r="I1667" s="9">
        <v>2.6509218E7</v>
      </c>
      <c r="J1667" s="6">
        <v>1.17521875674E9</v>
      </c>
    </row>
    <row r="1668">
      <c r="A1668" s="4" t="s">
        <v>10</v>
      </c>
      <c r="B1668" s="5">
        <v>44057.0</v>
      </c>
      <c r="C1668" s="6">
        <v>44.24</v>
      </c>
      <c r="D1668" s="11">
        <v>-0.08</v>
      </c>
      <c r="E1668" s="12">
        <v>-0.0018</v>
      </c>
      <c r="F1668" s="6">
        <v>44.21</v>
      </c>
      <c r="G1668" s="6">
        <v>44.15</v>
      </c>
      <c r="H1668" s="6">
        <v>44.31</v>
      </c>
      <c r="I1668" s="9">
        <v>2.4593855E7</v>
      </c>
      <c r="J1668" s="6">
        <v>1.08779104106E9</v>
      </c>
    </row>
    <row r="1669">
      <c r="A1669" s="4" t="s">
        <v>10</v>
      </c>
      <c r="B1669" s="5">
        <v>44060.0</v>
      </c>
      <c r="C1669" s="6">
        <v>44.8</v>
      </c>
      <c r="D1669" s="13">
        <f>+0.56</f>
        <v>0.56</v>
      </c>
      <c r="E1669" s="14">
        <f>+1.27%</f>
        <v>0.0127</v>
      </c>
      <c r="F1669" s="6">
        <v>44.57</v>
      </c>
      <c r="G1669" s="6">
        <v>44.5</v>
      </c>
      <c r="H1669" s="6">
        <v>44.82</v>
      </c>
      <c r="I1669" s="9">
        <v>2.6422332E7</v>
      </c>
      <c r="J1669" s="6">
        <v>1.1817125467E9</v>
      </c>
    </row>
    <row r="1670">
      <c r="A1670" s="4" t="s">
        <v>10</v>
      </c>
      <c r="B1670" s="5">
        <v>44061.0</v>
      </c>
      <c r="C1670" s="6">
        <v>44.75</v>
      </c>
      <c r="D1670" s="11">
        <v>-0.05</v>
      </c>
      <c r="E1670" s="12">
        <v>-0.0011</v>
      </c>
      <c r="F1670" s="6">
        <v>44.8</v>
      </c>
      <c r="G1670" s="6">
        <v>44.46</v>
      </c>
      <c r="H1670" s="6">
        <v>44.87</v>
      </c>
      <c r="I1670" s="9">
        <v>3.4464938E7</v>
      </c>
      <c r="J1670" s="6">
        <v>1.54059229882E9</v>
      </c>
    </row>
    <row r="1671">
      <c r="A1671" s="4" t="s">
        <v>10</v>
      </c>
      <c r="B1671" s="5">
        <v>44062.0</v>
      </c>
      <c r="C1671" s="6">
        <v>44.2</v>
      </c>
      <c r="D1671" s="11">
        <v>-0.55</v>
      </c>
      <c r="E1671" s="12">
        <v>-0.0123</v>
      </c>
      <c r="F1671" s="6">
        <v>44.61</v>
      </c>
      <c r="G1671" s="6">
        <v>44.19</v>
      </c>
      <c r="H1671" s="6">
        <v>44.62</v>
      </c>
      <c r="I1671" s="9">
        <v>2.8391126E7</v>
      </c>
      <c r="J1671" s="6">
        <v>1.2610137566E9</v>
      </c>
    </row>
    <row r="1672">
      <c r="A1672" s="4" t="s">
        <v>10</v>
      </c>
      <c r="B1672" s="5">
        <v>44063.0</v>
      </c>
      <c r="C1672" s="6">
        <v>44.06</v>
      </c>
      <c r="D1672" s="11">
        <v>-0.14</v>
      </c>
      <c r="E1672" s="12">
        <v>-0.0032</v>
      </c>
      <c r="F1672" s="6">
        <v>43.46</v>
      </c>
      <c r="G1672" s="6">
        <v>43.37</v>
      </c>
      <c r="H1672" s="6">
        <v>44.07</v>
      </c>
      <c r="I1672" s="9">
        <v>3.839947E7</v>
      </c>
      <c r="J1672" s="6">
        <v>1.68198512416E9</v>
      </c>
    </row>
    <row r="1673">
      <c r="A1673" s="4" t="s">
        <v>10</v>
      </c>
      <c r="B1673" s="5">
        <v>44064.0</v>
      </c>
      <c r="C1673" s="6">
        <v>44.28</v>
      </c>
      <c r="D1673" s="13">
        <f>+0.22</f>
        <v>0.22</v>
      </c>
      <c r="E1673" s="14">
        <f>+0.5%</f>
        <v>0.005</v>
      </c>
      <c r="F1673" s="6">
        <v>43.98</v>
      </c>
      <c r="G1673" s="6">
        <v>43.79</v>
      </c>
      <c r="H1673" s="6">
        <v>44.3</v>
      </c>
      <c r="I1673" s="9">
        <v>3.4658129E7</v>
      </c>
      <c r="J1673" s="6">
        <v>1.52710005065E9</v>
      </c>
    </row>
    <row r="1674">
      <c r="A1674" s="4" t="s">
        <v>10</v>
      </c>
      <c r="B1674" s="5">
        <v>44067.0</v>
      </c>
      <c r="C1674" s="6">
        <v>44.77</v>
      </c>
      <c r="D1674" s="13">
        <f>+0.49</f>
        <v>0.49</v>
      </c>
      <c r="E1674" s="14">
        <f>+1.11%</f>
        <v>0.0111</v>
      </c>
      <c r="F1674" s="6">
        <v>44.94</v>
      </c>
      <c r="G1674" s="6">
        <v>44.6</v>
      </c>
      <c r="H1674" s="6">
        <v>44.97</v>
      </c>
      <c r="I1674" s="9">
        <v>2.6576626E7</v>
      </c>
      <c r="J1674" s="6">
        <v>1.18920353297E9</v>
      </c>
    </row>
    <row r="1675">
      <c r="A1675" s="4" t="s">
        <v>10</v>
      </c>
      <c r="B1675" s="5">
        <v>44068.0</v>
      </c>
      <c r="C1675" s="6">
        <v>45.22</v>
      </c>
      <c r="D1675" s="13">
        <f>+0.45</f>
        <v>0.45</v>
      </c>
      <c r="E1675" s="14">
        <f>+1.01%</f>
        <v>0.0101</v>
      </c>
      <c r="F1675" s="6">
        <v>44.92</v>
      </c>
      <c r="G1675" s="6">
        <v>44.82</v>
      </c>
      <c r="H1675" s="6">
        <v>45.26</v>
      </c>
      <c r="I1675" s="9">
        <v>2.7608358E7</v>
      </c>
      <c r="J1675" s="6">
        <v>1.24420910669E9</v>
      </c>
    </row>
    <row r="1676">
      <c r="A1676" s="4" t="s">
        <v>10</v>
      </c>
      <c r="B1676" s="5">
        <v>44069.0</v>
      </c>
      <c r="C1676" s="6">
        <v>45.34</v>
      </c>
      <c r="D1676" s="13">
        <f>+0.12</f>
        <v>0.12</v>
      </c>
      <c r="E1676" s="14">
        <f>+0.27%</f>
        <v>0.0027</v>
      </c>
      <c r="F1676" s="6">
        <v>45.23</v>
      </c>
      <c r="G1676" s="6">
        <v>45.17</v>
      </c>
      <c r="H1676" s="6">
        <v>45.39</v>
      </c>
      <c r="I1676" s="9">
        <v>3.1465273E7</v>
      </c>
      <c r="J1676" s="6">
        <v>1.42556706195E9</v>
      </c>
    </row>
    <row r="1677">
      <c r="A1677" s="4" t="s">
        <v>10</v>
      </c>
      <c r="B1677" s="5">
        <v>44070.0</v>
      </c>
      <c r="C1677" s="6">
        <v>44.96</v>
      </c>
      <c r="D1677" s="11">
        <v>-0.38</v>
      </c>
      <c r="E1677" s="12">
        <v>-0.0084</v>
      </c>
      <c r="F1677" s="6">
        <v>45.46</v>
      </c>
      <c r="G1677" s="6">
        <v>44.77</v>
      </c>
      <c r="H1677" s="6">
        <v>45.46</v>
      </c>
      <c r="I1677" s="9">
        <v>3.1947441E7</v>
      </c>
      <c r="J1677" s="6">
        <v>1.43948888808E9</v>
      </c>
    </row>
    <row r="1678">
      <c r="A1678" s="4" t="s">
        <v>10</v>
      </c>
      <c r="B1678" s="5">
        <v>44071.0</v>
      </c>
      <c r="C1678" s="6">
        <v>45.55</v>
      </c>
      <c r="D1678" s="13">
        <f>+0.59</f>
        <v>0.59</v>
      </c>
      <c r="E1678" s="14">
        <f>+1.31%</f>
        <v>0.0131</v>
      </c>
      <c r="F1678" s="6">
        <v>45.24</v>
      </c>
      <c r="G1678" s="6">
        <v>45.12</v>
      </c>
      <c r="H1678" s="6">
        <v>45.56</v>
      </c>
      <c r="I1678" s="9">
        <v>2.4151747E7</v>
      </c>
      <c r="J1678" s="6">
        <v>1.0962851284E9</v>
      </c>
    </row>
    <row r="1679">
      <c r="A1679" s="4" t="s">
        <v>10</v>
      </c>
      <c r="B1679" s="5">
        <v>44074.0</v>
      </c>
      <c r="C1679" s="6">
        <v>44.54</v>
      </c>
      <c r="D1679" s="11">
        <v>-1.01</v>
      </c>
      <c r="E1679" s="12">
        <v>-0.0222</v>
      </c>
      <c r="F1679" s="6">
        <v>44.71</v>
      </c>
      <c r="G1679" s="6">
        <v>44.25</v>
      </c>
      <c r="H1679" s="6">
        <v>44.72</v>
      </c>
      <c r="I1679" s="9">
        <v>5.2790024E7</v>
      </c>
      <c r="J1679" s="6">
        <v>2.34912004852E9</v>
      </c>
    </row>
    <row r="1680">
      <c r="A1680" s="4" t="s">
        <v>10</v>
      </c>
      <c r="B1680" s="5">
        <v>44075.0</v>
      </c>
      <c r="C1680" s="6">
        <v>45.3</v>
      </c>
      <c r="D1680" s="13">
        <f>+0.76</f>
        <v>0.76</v>
      </c>
      <c r="E1680" s="14">
        <f>+1.71%</f>
        <v>0.0171</v>
      </c>
      <c r="F1680" s="6">
        <v>44.96</v>
      </c>
      <c r="G1680" s="6">
        <v>44.92</v>
      </c>
      <c r="H1680" s="6">
        <v>45.33</v>
      </c>
      <c r="I1680" s="9">
        <v>3.4212355E7</v>
      </c>
      <c r="J1680" s="6">
        <v>1.54551519584E9</v>
      </c>
    </row>
    <row r="1681">
      <c r="A1681" s="4" t="s">
        <v>10</v>
      </c>
      <c r="B1681" s="5">
        <v>44076.0</v>
      </c>
      <c r="C1681" s="6">
        <v>45.18</v>
      </c>
      <c r="D1681" s="11">
        <v>-0.12</v>
      </c>
      <c r="E1681" s="12">
        <v>-0.0026</v>
      </c>
      <c r="F1681" s="6">
        <v>45.36</v>
      </c>
      <c r="G1681" s="6">
        <v>44.78</v>
      </c>
      <c r="H1681" s="6">
        <v>45.37</v>
      </c>
      <c r="I1681" s="9">
        <v>5.0638434E7</v>
      </c>
      <c r="J1681" s="6">
        <v>2.28116793414E9</v>
      </c>
    </row>
    <row r="1682">
      <c r="A1682" s="4" t="s">
        <v>10</v>
      </c>
      <c r="B1682" s="5">
        <v>44077.0</v>
      </c>
      <c r="C1682" s="6">
        <v>44.32</v>
      </c>
      <c r="D1682" s="11">
        <v>-0.86</v>
      </c>
      <c r="E1682" s="12">
        <v>-0.019</v>
      </c>
      <c r="F1682" s="6">
        <v>44.94</v>
      </c>
      <c r="G1682" s="6">
        <v>44.04</v>
      </c>
      <c r="H1682" s="6">
        <v>44.95</v>
      </c>
      <c r="I1682" s="9">
        <v>8.2433299E7</v>
      </c>
      <c r="J1682" s="6">
        <v>3.66199764139E9</v>
      </c>
    </row>
    <row r="1683">
      <c r="A1683" s="4" t="s">
        <v>10</v>
      </c>
      <c r="B1683" s="5">
        <v>44078.0</v>
      </c>
      <c r="C1683" s="6">
        <v>44.34</v>
      </c>
      <c r="D1683" s="13">
        <f>+0.02</f>
        <v>0.02</v>
      </c>
      <c r="E1683" s="14">
        <f>+0.05%</f>
        <v>0.0005</v>
      </c>
      <c r="F1683" s="6">
        <v>44.42</v>
      </c>
      <c r="G1683" s="6">
        <v>43.58</v>
      </c>
      <c r="H1683" s="6">
        <v>44.66</v>
      </c>
      <c r="I1683" s="9">
        <v>6.2284847E7</v>
      </c>
      <c r="J1683" s="6">
        <v>2.75086242404E9</v>
      </c>
    </row>
    <row r="1684">
      <c r="A1684" s="4" t="s">
        <v>10</v>
      </c>
      <c r="B1684" s="5">
        <v>44082.0</v>
      </c>
      <c r="C1684" s="6">
        <v>43.57</v>
      </c>
      <c r="D1684" s="11">
        <v>-0.77</v>
      </c>
      <c r="E1684" s="12">
        <v>-0.0174</v>
      </c>
      <c r="F1684" s="6">
        <v>43.56</v>
      </c>
      <c r="G1684" s="6">
        <v>43.43</v>
      </c>
      <c r="H1684" s="6">
        <v>43.96</v>
      </c>
      <c r="I1684" s="9">
        <v>5.0051349E7</v>
      </c>
      <c r="J1684" s="6">
        <v>2.1886501255E9</v>
      </c>
    </row>
    <row r="1685">
      <c r="A1685" s="4" t="s">
        <v>10</v>
      </c>
      <c r="B1685" s="5">
        <v>44083.0</v>
      </c>
      <c r="C1685" s="6">
        <v>44.22</v>
      </c>
      <c r="D1685" s="13">
        <f>+0.65</f>
        <v>0.65</v>
      </c>
      <c r="E1685" s="14">
        <f>+1.49%</f>
        <v>0.0149</v>
      </c>
      <c r="F1685" s="6">
        <v>44.01</v>
      </c>
      <c r="G1685" s="6">
        <v>43.9</v>
      </c>
      <c r="H1685" s="6">
        <v>44.31</v>
      </c>
      <c r="I1685" s="9">
        <v>4.9010482E7</v>
      </c>
      <c r="J1685" s="6">
        <v>2.16033838789E9</v>
      </c>
    </row>
    <row r="1686">
      <c r="A1686" s="4" t="s">
        <v>10</v>
      </c>
      <c r="B1686" s="5">
        <v>44084.0</v>
      </c>
      <c r="C1686" s="6">
        <v>43.51</v>
      </c>
      <c r="D1686" s="11">
        <v>-0.71</v>
      </c>
      <c r="E1686" s="12">
        <v>-0.0161</v>
      </c>
      <c r="F1686" s="6">
        <v>44.27</v>
      </c>
      <c r="G1686" s="6">
        <v>43.51</v>
      </c>
      <c r="H1686" s="6">
        <v>44.34</v>
      </c>
      <c r="I1686" s="9">
        <v>5.4276171E7</v>
      </c>
      <c r="J1686" s="6">
        <v>2.37744151334E9</v>
      </c>
    </row>
    <row r="1687">
      <c r="A1687" s="4" t="s">
        <v>10</v>
      </c>
      <c r="B1687" s="5">
        <v>44085.0</v>
      </c>
      <c r="C1687" s="6">
        <v>43.93</v>
      </c>
      <c r="D1687" s="13">
        <f>+0.42</f>
        <v>0.42</v>
      </c>
      <c r="E1687" s="14">
        <f>+0.97%</f>
        <v>0.0097</v>
      </c>
      <c r="F1687" s="6">
        <v>44.11</v>
      </c>
      <c r="G1687" s="6">
        <v>43.71</v>
      </c>
      <c r="H1687" s="6">
        <v>44.25</v>
      </c>
      <c r="I1687" s="9">
        <v>4.9400724E7</v>
      </c>
      <c r="J1687" s="6">
        <v>2.1721541129E9</v>
      </c>
    </row>
    <row r="1688">
      <c r="A1688" s="4" t="s">
        <v>10</v>
      </c>
      <c r="B1688" s="5">
        <v>44088.0</v>
      </c>
      <c r="C1688" s="6">
        <v>44.64</v>
      </c>
      <c r="D1688" s="13">
        <f>+0.71</f>
        <v>0.71</v>
      </c>
      <c r="E1688" s="14">
        <f>+1.62%</f>
        <v>0.0162</v>
      </c>
      <c r="F1688" s="6">
        <v>44.51</v>
      </c>
      <c r="G1688" s="6">
        <v>44.45</v>
      </c>
      <c r="H1688" s="6">
        <v>44.71</v>
      </c>
      <c r="I1688" s="9">
        <v>3.8892308E7</v>
      </c>
      <c r="J1688" s="6">
        <v>1.73408070412E9</v>
      </c>
    </row>
    <row r="1689">
      <c r="A1689" s="4" t="s">
        <v>10</v>
      </c>
      <c r="B1689" s="5">
        <v>44089.0</v>
      </c>
      <c r="C1689" s="6">
        <v>45.11</v>
      </c>
      <c r="D1689" s="13">
        <f>+0.47</f>
        <v>0.47</v>
      </c>
      <c r="E1689" s="14">
        <f>+1.05%</f>
        <v>0.0105</v>
      </c>
      <c r="F1689" s="6">
        <v>45.19</v>
      </c>
      <c r="G1689" s="6">
        <v>45.02</v>
      </c>
      <c r="H1689" s="6">
        <v>45.23</v>
      </c>
      <c r="I1689" s="9">
        <v>3.0540997E7</v>
      </c>
      <c r="J1689" s="6">
        <v>1.37835760623E9</v>
      </c>
    </row>
    <row r="1690">
      <c r="A1690" s="4" t="s">
        <v>10</v>
      </c>
      <c r="B1690" s="5">
        <v>44090.0</v>
      </c>
      <c r="C1690" s="6">
        <v>45.05</v>
      </c>
      <c r="D1690" s="11">
        <v>-0.06</v>
      </c>
      <c r="E1690" s="12">
        <v>-0.0013</v>
      </c>
      <c r="F1690" s="6">
        <v>45.25</v>
      </c>
      <c r="G1690" s="6">
        <v>45.03</v>
      </c>
      <c r="H1690" s="6">
        <v>45.41</v>
      </c>
      <c r="I1690" s="9">
        <v>3.8180405E7</v>
      </c>
      <c r="J1690" s="6">
        <v>1.72599188147E9</v>
      </c>
    </row>
    <row r="1691">
      <c r="A1691" s="4" t="s">
        <v>10</v>
      </c>
      <c r="B1691" s="5">
        <v>44091.0</v>
      </c>
      <c r="C1691" s="6">
        <v>44.87</v>
      </c>
      <c r="D1691" s="11">
        <v>-0.18</v>
      </c>
      <c r="E1691" s="12">
        <v>-0.004</v>
      </c>
      <c r="F1691" s="6">
        <v>44.51</v>
      </c>
      <c r="G1691" s="6">
        <v>44.48</v>
      </c>
      <c r="H1691" s="6">
        <v>44.94</v>
      </c>
      <c r="I1691" s="9">
        <v>3.8231115E7</v>
      </c>
      <c r="J1691" s="6">
        <v>1.71187533111E9</v>
      </c>
    </row>
    <row r="1692">
      <c r="A1692" s="4" t="s">
        <v>10</v>
      </c>
      <c r="B1692" s="5">
        <v>44092.0</v>
      </c>
      <c r="C1692" s="6">
        <v>44.52</v>
      </c>
      <c r="D1692" s="11">
        <v>-0.35</v>
      </c>
      <c r="E1692" s="12">
        <v>-0.0078</v>
      </c>
      <c r="F1692" s="6">
        <v>44.91</v>
      </c>
      <c r="G1692" s="6">
        <v>44.45</v>
      </c>
      <c r="H1692" s="6">
        <v>44.95</v>
      </c>
      <c r="I1692" s="9">
        <v>3.4270521E7</v>
      </c>
      <c r="J1692" s="6">
        <v>1.53073389679E9</v>
      </c>
    </row>
    <row r="1693">
      <c r="A1693" s="4" t="s">
        <v>10</v>
      </c>
      <c r="B1693" s="5">
        <v>44095.0</v>
      </c>
      <c r="C1693" s="6">
        <v>44.11</v>
      </c>
      <c r="D1693" s="11">
        <v>-0.41</v>
      </c>
      <c r="E1693" s="12">
        <v>-0.0092</v>
      </c>
      <c r="F1693" s="6">
        <v>43.77</v>
      </c>
      <c r="G1693" s="6">
        <v>43.39</v>
      </c>
      <c r="H1693" s="6">
        <v>44.14</v>
      </c>
      <c r="I1693" s="9">
        <v>4.2901544E7</v>
      </c>
      <c r="J1693" s="6">
        <v>1.87892447056E9</v>
      </c>
    </row>
    <row r="1694">
      <c r="A1694" s="4" t="s">
        <v>10</v>
      </c>
      <c r="B1694" s="5">
        <v>44096.0</v>
      </c>
      <c r="C1694" s="6">
        <v>43.78</v>
      </c>
      <c r="D1694" s="11">
        <v>-0.33</v>
      </c>
      <c r="E1694" s="12">
        <v>-0.0075</v>
      </c>
      <c r="F1694" s="6">
        <v>43.95</v>
      </c>
      <c r="G1694" s="6">
        <v>43.42</v>
      </c>
      <c r="H1694" s="6">
        <v>43.97</v>
      </c>
      <c r="I1694" s="9">
        <v>4.488395E7</v>
      </c>
      <c r="J1694" s="6">
        <v>1.96109915555E9</v>
      </c>
    </row>
    <row r="1695">
      <c r="A1695" s="4" t="s">
        <v>10</v>
      </c>
      <c r="B1695" s="5">
        <v>44097.0</v>
      </c>
      <c r="C1695" s="6">
        <v>43.1</v>
      </c>
      <c r="D1695" s="11">
        <v>-0.68</v>
      </c>
      <c r="E1695" s="12">
        <v>-0.0155</v>
      </c>
      <c r="F1695" s="6">
        <v>43.65</v>
      </c>
      <c r="G1695" s="6">
        <v>43.06</v>
      </c>
      <c r="H1695" s="6">
        <v>43.73</v>
      </c>
      <c r="I1695" s="9">
        <v>4.0836951E7</v>
      </c>
      <c r="J1695" s="6">
        <v>1.76858063061E9</v>
      </c>
    </row>
    <row r="1696">
      <c r="A1696" s="4" t="s">
        <v>10</v>
      </c>
      <c r="B1696" s="5">
        <v>44098.0</v>
      </c>
      <c r="C1696" s="6">
        <v>42.9</v>
      </c>
      <c r="D1696" s="11">
        <v>-0.2</v>
      </c>
      <c r="E1696" s="12">
        <v>-0.0046</v>
      </c>
      <c r="F1696" s="6">
        <v>42.5</v>
      </c>
      <c r="G1696" s="6">
        <v>42.43</v>
      </c>
      <c r="H1696" s="6">
        <v>43.2</v>
      </c>
      <c r="I1696" s="9">
        <v>4.6493837E7</v>
      </c>
      <c r="J1696" s="6">
        <v>1.99150685699E9</v>
      </c>
    </row>
    <row r="1697">
      <c r="A1697" s="4" t="s">
        <v>10</v>
      </c>
      <c r="B1697" s="5">
        <v>44099.0</v>
      </c>
      <c r="C1697" s="6">
        <v>42.94</v>
      </c>
      <c r="D1697" s="13">
        <f>+0.04</f>
        <v>0.04</v>
      </c>
      <c r="E1697" s="14">
        <f>+0.09%</f>
        <v>0.0009</v>
      </c>
      <c r="F1697" s="6">
        <v>42.54</v>
      </c>
      <c r="G1697" s="6">
        <v>42.29</v>
      </c>
      <c r="H1697" s="6">
        <v>42.96</v>
      </c>
      <c r="I1697" s="9">
        <v>4.41657E7</v>
      </c>
      <c r="J1697" s="6">
        <v>1.88361056759E9</v>
      </c>
    </row>
    <row r="1698">
      <c r="A1698" s="4" t="s">
        <v>10</v>
      </c>
      <c r="B1698" s="5">
        <v>44102.0</v>
      </c>
      <c r="C1698" s="6">
        <v>43.42</v>
      </c>
      <c r="D1698" s="13">
        <f>+0.48</f>
        <v>0.48</v>
      </c>
      <c r="E1698" s="14">
        <f>+1.12%</f>
        <v>0.0112</v>
      </c>
      <c r="F1698" s="6">
        <v>43.51</v>
      </c>
      <c r="G1698" s="6">
        <v>43.21</v>
      </c>
      <c r="H1698" s="6">
        <v>43.6</v>
      </c>
      <c r="I1698" s="9">
        <v>4.5528488E7</v>
      </c>
      <c r="J1698" s="6">
        <v>1.9749632926E9</v>
      </c>
    </row>
    <row r="1699">
      <c r="A1699" s="4" t="s">
        <v>10</v>
      </c>
      <c r="B1699" s="5">
        <v>44103.0</v>
      </c>
      <c r="C1699" s="6">
        <v>43.39</v>
      </c>
      <c r="D1699" s="11">
        <v>-0.03</v>
      </c>
      <c r="E1699" s="12">
        <v>-7.0E-4</v>
      </c>
      <c r="F1699" s="6">
        <v>43.29</v>
      </c>
      <c r="G1699" s="6">
        <v>43.25</v>
      </c>
      <c r="H1699" s="6">
        <v>43.53</v>
      </c>
      <c r="I1699" s="9">
        <v>2.533316E7</v>
      </c>
      <c r="J1699" s="6">
        <v>1.0992579311E9</v>
      </c>
    </row>
    <row r="1700">
      <c r="A1700" s="4" t="s">
        <v>10</v>
      </c>
      <c r="B1700" s="5">
        <v>44104.0</v>
      </c>
      <c r="C1700" s="6">
        <v>44.09</v>
      </c>
      <c r="D1700" s="13">
        <f>+0.7</f>
        <v>0.7</v>
      </c>
      <c r="E1700" s="14">
        <f>+1.61%</f>
        <v>0.0161</v>
      </c>
      <c r="F1700" s="6">
        <v>43.73</v>
      </c>
      <c r="G1700" s="6">
        <v>43.7</v>
      </c>
      <c r="H1700" s="6">
        <v>44.21</v>
      </c>
      <c r="I1700" s="9">
        <v>4.867428E7</v>
      </c>
      <c r="J1700" s="6">
        <v>2.14454150431E9</v>
      </c>
    </row>
    <row r="1701">
      <c r="A1701" s="4" t="s">
        <v>10</v>
      </c>
      <c r="B1701" s="5">
        <v>44105.0</v>
      </c>
      <c r="C1701" s="6">
        <v>44.5</v>
      </c>
      <c r="D1701" s="13">
        <f>+0.41</f>
        <v>0.41</v>
      </c>
      <c r="E1701" s="14">
        <f>+0.93%</f>
        <v>0.0093</v>
      </c>
      <c r="F1701" s="6">
        <v>44.42</v>
      </c>
      <c r="G1701" s="6">
        <v>44.16</v>
      </c>
      <c r="H1701" s="6">
        <v>44.53</v>
      </c>
      <c r="I1701" s="9">
        <v>5.1521055E7</v>
      </c>
      <c r="J1701" s="6">
        <v>2.28482849484E9</v>
      </c>
    </row>
    <row r="1702">
      <c r="A1702" s="4" t="s">
        <v>10</v>
      </c>
      <c r="B1702" s="5">
        <v>44106.0</v>
      </c>
      <c r="C1702" s="6">
        <v>43.99</v>
      </c>
      <c r="D1702" s="11">
        <v>-0.51</v>
      </c>
      <c r="E1702" s="12">
        <v>-0.0115</v>
      </c>
      <c r="F1702" s="6">
        <v>43.83</v>
      </c>
      <c r="G1702" s="6">
        <v>43.78</v>
      </c>
      <c r="H1702" s="6">
        <v>44.38</v>
      </c>
      <c r="I1702" s="9">
        <v>3.264706E7</v>
      </c>
      <c r="J1702" s="6">
        <v>1.43960488318E9</v>
      </c>
    </row>
    <row r="1703">
      <c r="A1703" s="4" t="s">
        <v>10</v>
      </c>
      <c r="B1703" s="5">
        <v>44109.0</v>
      </c>
      <c r="C1703" s="6">
        <v>44.58</v>
      </c>
      <c r="D1703" s="13">
        <f>+0.59</f>
        <v>0.59</v>
      </c>
      <c r="E1703" s="14">
        <f>+1.34%</f>
        <v>0.0134</v>
      </c>
      <c r="F1703" s="6">
        <v>44.23</v>
      </c>
      <c r="G1703" s="6">
        <v>44.23</v>
      </c>
      <c r="H1703" s="6">
        <v>44.58</v>
      </c>
      <c r="I1703" s="9">
        <v>3.6059119E7</v>
      </c>
      <c r="J1703" s="6">
        <v>1.60176681762E9</v>
      </c>
    </row>
    <row r="1704">
      <c r="A1704" s="4" t="s">
        <v>10</v>
      </c>
      <c r="B1704" s="5">
        <v>44110.0</v>
      </c>
      <c r="C1704" s="6">
        <v>44.66</v>
      </c>
      <c r="D1704" s="13">
        <f>+0.08</f>
        <v>0.08</v>
      </c>
      <c r="E1704" s="14">
        <f>+0.18%</f>
        <v>0.0018</v>
      </c>
      <c r="F1704" s="6">
        <v>44.72</v>
      </c>
      <c r="G1704" s="6">
        <v>44.51</v>
      </c>
      <c r="H1704" s="6">
        <v>45.0</v>
      </c>
      <c r="I1704" s="9">
        <v>4.3464757E7</v>
      </c>
      <c r="J1704" s="6">
        <v>1.94514654944E9</v>
      </c>
    </row>
    <row r="1705">
      <c r="A1705" s="4" t="s">
        <v>10</v>
      </c>
      <c r="B1705" s="5">
        <v>44111.0</v>
      </c>
      <c r="C1705" s="6">
        <v>45.15</v>
      </c>
      <c r="D1705" s="13">
        <f>+0.49</f>
        <v>0.49</v>
      </c>
      <c r="E1705" s="14">
        <f>+1.1%</f>
        <v>0.011</v>
      </c>
      <c r="F1705" s="6">
        <v>45.07</v>
      </c>
      <c r="G1705" s="6">
        <v>44.94</v>
      </c>
      <c r="H1705" s="6">
        <v>45.29</v>
      </c>
      <c r="I1705" s="9">
        <v>4.5691054E7</v>
      </c>
      <c r="J1705" s="6">
        <v>2.06174041688E9</v>
      </c>
    </row>
    <row r="1706">
      <c r="A1706" s="4" t="s">
        <v>10</v>
      </c>
      <c r="B1706" s="5">
        <v>44112.0</v>
      </c>
      <c r="C1706" s="6">
        <v>45.52</v>
      </c>
      <c r="D1706" s="13">
        <f>+0.37</f>
        <v>0.37</v>
      </c>
      <c r="E1706" s="14">
        <f>+0.82%</f>
        <v>0.0082</v>
      </c>
      <c r="F1706" s="6">
        <v>45.31</v>
      </c>
      <c r="G1706" s="6">
        <v>44.95</v>
      </c>
      <c r="H1706" s="6">
        <v>45.57</v>
      </c>
      <c r="I1706" s="9">
        <v>2.9670157E7</v>
      </c>
      <c r="J1706" s="6">
        <v>1.34712371173E9</v>
      </c>
    </row>
    <row r="1707">
      <c r="A1707" s="4" t="s">
        <v>10</v>
      </c>
      <c r="B1707" s="5">
        <v>44113.0</v>
      </c>
      <c r="C1707" s="6">
        <v>45.83</v>
      </c>
      <c r="D1707" s="13">
        <f>+0.31</f>
        <v>0.31</v>
      </c>
      <c r="E1707" s="14">
        <f>+0.68%</f>
        <v>0.0068</v>
      </c>
      <c r="F1707" s="6">
        <v>45.63</v>
      </c>
      <c r="G1707" s="6">
        <v>45.5</v>
      </c>
      <c r="H1707" s="6">
        <v>45.96</v>
      </c>
      <c r="I1707" s="9">
        <v>3.1902151E7</v>
      </c>
      <c r="J1707" s="6">
        <v>1.46197889269E9</v>
      </c>
    </row>
    <row r="1708">
      <c r="A1708" s="4" t="s">
        <v>10</v>
      </c>
      <c r="B1708" s="5">
        <v>44116.0</v>
      </c>
      <c r="C1708" s="6">
        <v>46.23</v>
      </c>
      <c r="D1708" s="13">
        <f>+0.4</f>
        <v>0.4</v>
      </c>
      <c r="E1708" s="14">
        <f>+0.87%</f>
        <v>0.0087</v>
      </c>
      <c r="F1708" s="6">
        <v>46.08</v>
      </c>
      <c r="G1708" s="6">
        <v>45.98</v>
      </c>
      <c r="H1708" s="6">
        <v>46.34</v>
      </c>
      <c r="I1708" s="9">
        <v>4.0037696E7</v>
      </c>
      <c r="J1708" s="6">
        <v>1.849707957E9</v>
      </c>
    </row>
    <row r="1709">
      <c r="A1709" s="4" t="s">
        <v>10</v>
      </c>
      <c r="B1709" s="5">
        <v>44117.0</v>
      </c>
      <c r="C1709" s="6">
        <v>46.04</v>
      </c>
      <c r="D1709" s="11">
        <v>-0.19</v>
      </c>
      <c r="E1709" s="12">
        <v>-0.0041</v>
      </c>
      <c r="F1709" s="6">
        <v>46.07</v>
      </c>
      <c r="G1709" s="6">
        <v>45.8</v>
      </c>
      <c r="H1709" s="6">
        <v>46.1</v>
      </c>
      <c r="I1709" s="9">
        <v>3.5584963E7</v>
      </c>
      <c r="J1709" s="6">
        <v>1.63589571297E9</v>
      </c>
    </row>
    <row r="1710">
      <c r="A1710" s="4" t="s">
        <v>10</v>
      </c>
      <c r="B1710" s="5">
        <v>44118.0</v>
      </c>
      <c r="C1710" s="6">
        <v>45.73</v>
      </c>
      <c r="D1710" s="11">
        <v>-0.31</v>
      </c>
      <c r="E1710" s="12">
        <v>-0.0067</v>
      </c>
      <c r="F1710" s="6">
        <v>46.02</v>
      </c>
      <c r="G1710" s="6">
        <v>45.71</v>
      </c>
      <c r="H1710" s="6">
        <v>46.14</v>
      </c>
      <c r="I1710" s="9">
        <v>4.2300463E7</v>
      </c>
      <c r="J1710" s="6">
        <v>1.94252063946E9</v>
      </c>
    </row>
    <row r="1711">
      <c r="A1711" s="4" t="s">
        <v>10</v>
      </c>
      <c r="B1711" s="5">
        <v>44119.0</v>
      </c>
      <c r="C1711" s="6">
        <v>45.4</v>
      </c>
      <c r="D1711" s="11">
        <v>-0.33</v>
      </c>
      <c r="E1711" s="12">
        <v>-0.0072</v>
      </c>
      <c r="F1711" s="6">
        <v>45.07</v>
      </c>
      <c r="G1711" s="6">
        <v>45.02</v>
      </c>
      <c r="H1711" s="6">
        <v>45.44</v>
      </c>
      <c r="I1711" s="9">
        <v>4.112635E7</v>
      </c>
      <c r="J1711" s="6">
        <v>1.86143935525E9</v>
      </c>
    </row>
    <row r="1712">
      <c r="A1712" s="4" t="s">
        <v>10</v>
      </c>
      <c r="B1712" s="5">
        <v>44120.0</v>
      </c>
      <c r="C1712" s="6">
        <v>45.56</v>
      </c>
      <c r="D1712" s="13">
        <f>+0.16</f>
        <v>0.16</v>
      </c>
      <c r="E1712" s="14">
        <f>+0.35%</f>
        <v>0.0035</v>
      </c>
      <c r="F1712" s="6">
        <v>45.56</v>
      </c>
      <c r="G1712" s="6">
        <v>45.41</v>
      </c>
      <c r="H1712" s="6">
        <v>45.69</v>
      </c>
      <c r="I1712" s="9">
        <v>3.1611525E7</v>
      </c>
      <c r="J1712" s="6">
        <v>1.44052021726E9</v>
      </c>
    </row>
    <row r="1713">
      <c r="A1713" s="4" t="s">
        <v>10</v>
      </c>
      <c r="B1713" s="5">
        <v>44123.0</v>
      </c>
      <c r="C1713" s="6">
        <v>45.43</v>
      </c>
      <c r="D1713" s="11">
        <v>-0.13</v>
      </c>
      <c r="E1713" s="12">
        <v>-0.0029</v>
      </c>
      <c r="F1713" s="6">
        <v>45.7</v>
      </c>
      <c r="G1713" s="6">
        <v>45.34</v>
      </c>
      <c r="H1713" s="6">
        <v>45.89</v>
      </c>
      <c r="I1713" s="9">
        <v>3.0869535E7</v>
      </c>
      <c r="J1713" s="6">
        <v>1.40614683914E9</v>
      </c>
    </row>
    <row r="1714">
      <c r="A1714" s="4" t="s">
        <v>10</v>
      </c>
      <c r="B1714" s="5">
        <v>44124.0</v>
      </c>
      <c r="C1714" s="6">
        <v>45.93</v>
      </c>
      <c r="D1714" s="13">
        <f>+0.5</f>
        <v>0.5</v>
      </c>
      <c r="E1714" s="14">
        <f>+1.1%</f>
        <v>0.011</v>
      </c>
      <c r="F1714" s="6">
        <v>45.71</v>
      </c>
      <c r="G1714" s="6">
        <v>45.69</v>
      </c>
      <c r="H1714" s="6">
        <v>46.17</v>
      </c>
      <c r="I1714" s="9">
        <v>5.1631318E7</v>
      </c>
      <c r="J1714" s="6">
        <v>2.37330501968E9</v>
      </c>
    </row>
    <row r="1715">
      <c r="A1715" s="4" t="s">
        <v>10</v>
      </c>
      <c r="B1715" s="5">
        <v>44125.0</v>
      </c>
      <c r="C1715" s="6">
        <v>46.06</v>
      </c>
      <c r="D1715" s="13">
        <f>+0.13</f>
        <v>0.13</v>
      </c>
      <c r="E1715" s="14">
        <f>+0.28%</f>
        <v>0.0028</v>
      </c>
      <c r="F1715" s="6">
        <v>46.0</v>
      </c>
      <c r="G1715" s="6">
        <v>45.94</v>
      </c>
      <c r="H1715" s="6">
        <v>46.32</v>
      </c>
      <c r="I1715" s="9">
        <v>4.2909729E7</v>
      </c>
      <c r="J1715" s="6">
        <v>1.9796868999E9</v>
      </c>
    </row>
    <row r="1716">
      <c r="A1716" s="4" t="s">
        <v>10</v>
      </c>
      <c r="B1716" s="5">
        <v>44126.0</v>
      </c>
      <c r="C1716" s="6">
        <v>46.05</v>
      </c>
      <c r="D1716" s="11">
        <v>-0.01</v>
      </c>
      <c r="E1716" s="12">
        <v>-2.0E-4</v>
      </c>
      <c r="F1716" s="6">
        <v>46.14</v>
      </c>
      <c r="G1716" s="6">
        <v>45.82</v>
      </c>
      <c r="H1716" s="6">
        <v>46.18</v>
      </c>
      <c r="I1716" s="9">
        <v>4.1884144E7</v>
      </c>
      <c r="J1716" s="6">
        <v>1.92851240031E9</v>
      </c>
    </row>
    <row r="1717">
      <c r="A1717" s="4" t="s">
        <v>10</v>
      </c>
      <c r="B1717" s="5">
        <v>44127.0</v>
      </c>
      <c r="C1717" s="6">
        <v>46.32</v>
      </c>
      <c r="D1717" s="13">
        <f>+0.27</f>
        <v>0.27</v>
      </c>
      <c r="E1717" s="14">
        <f>+0.59%</f>
        <v>0.0059</v>
      </c>
      <c r="F1717" s="6">
        <v>46.09</v>
      </c>
      <c r="G1717" s="6">
        <v>45.87</v>
      </c>
      <c r="H1717" s="6">
        <v>46.32</v>
      </c>
      <c r="I1717" s="9">
        <v>3.6931741E7</v>
      </c>
      <c r="J1717" s="6">
        <v>1.70356608838E9</v>
      </c>
    </row>
    <row r="1718">
      <c r="A1718" s="4" t="s">
        <v>10</v>
      </c>
      <c r="B1718" s="5">
        <v>44130.0</v>
      </c>
      <c r="C1718" s="6">
        <v>45.72</v>
      </c>
      <c r="D1718" s="11">
        <v>-0.6</v>
      </c>
      <c r="E1718" s="12">
        <v>-0.013</v>
      </c>
      <c r="F1718" s="6">
        <v>45.77</v>
      </c>
      <c r="G1718" s="6">
        <v>45.35</v>
      </c>
      <c r="H1718" s="6">
        <v>46.04</v>
      </c>
      <c r="I1718" s="9">
        <v>5.3574288E7</v>
      </c>
      <c r="J1718" s="6">
        <v>2.44832700019E9</v>
      </c>
    </row>
    <row r="1719">
      <c r="A1719" s="4" t="s">
        <v>10</v>
      </c>
      <c r="B1719" s="5">
        <v>44131.0</v>
      </c>
      <c r="C1719" s="6">
        <v>45.92</v>
      </c>
      <c r="D1719" s="13">
        <f>+0.2</f>
        <v>0.2</v>
      </c>
      <c r="E1719" s="14">
        <f>+0.44%</f>
        <v>0.0044</v>
      </c>
      <c r="F1719" s="6">
        <v>45.85</v>
      </c>
      <c r="G1719" s="6">
        <v>45.7</v>
      </c>
      <c r="H1719" s="6">
        <v>46.05</v>
      </c>
      <c r="I1719" s="9">
        <v>4.1828635E7</v>
      </c>
      <c r="J1719" s="6">
        <v>1.91991522785E9</v>
      </c>
    </row>
    <row r="1720">
      <c r="A1720" s="4" t="s">
        <v>10</v>
      </c>
      <c r="B1720" s="5">
        <v>44132.0</v>
      </c>
      <c r="C1720" s="6">
        <v>44.77</v>
      </c>
      <c r="D1720" s="11">
        <v>-1.15</v>
      </c>
      <c r="E1720" s="12">
        <v>-0.025</v>
      </c>
      <c r="F1720" s="6">
        <v>45.19</v>
      </c>
      <c r="G1720" s="6">
        <v>44.73</v>
      </c>
      <c r="H1720" s="6">
        <v>45.25</v>
      </c>
      <c r="I1720" s="9">
        <v>6.7047156E7</v>
      </c>
      <c r="J1720" s="6">
        <v>3.01394815415E9</v>
      </c>
    </row>
    <row r="1721">
      <c r="A1721" s="4" t="s">
        <v>10</v>
      </c>
      <c r="B1721" s="5">
        <v>44133.0</v>
      </c>
      <c r="C1721" s="6">
        <v>45.22</v>
      </c>
      <c r="D1721" s="13">
        <f>+0.45</f>
        <v>0.45</v>
      </c>
      <c r="E1721" s="14">
        <f>+1.01%</f>
        <v>0.0101</v>
      </c>
      <c r="F1721" s="6">
        <v>44.94</v>
      </c>
      <c r="G1721" s="6">
        <v>44.78</v>
      </c>
      <c r="H1721" s="6">
        <v>45.37</v>
      </c>
      <c r="I1721" s="9">
        <v>4.4763527E7</v>
      </c>
      <c r="J1721" s="6">
        <v>2.02006146442E9</v>
      </c>
    </row>
    <row r="1722">
      <c r="A1722" s="4" t="s">
        <v>10</v>
      </c>
      <c r="B1722" s="5">
        <v>44134.0</v>
      </c>
      <c r="C1722" s="6">
        <v>44.71</v>
      </c>
      <c r="D1722" s="11">
        <v>-0.51</v>
      </c>
      <c r="E1722" s="12">
        <v>-0.0113</v>
      </c>
      <c r="F1722" s="6">
        <v>44.85</v>
      </c>
      <c r="G1722" s="6">
        <v>44.41</v>
      </c>
      <c r="H1722" s="6">
        <v>44.92</v>
      </c>
      <c r="I1722" s="9">
        <v>6.615538E7</v>
      </c>
      <c r="J1722" s="6">
        <v>2.95132448281E9</v>
      </c>
    </row>
    <row r="1723">
      <c r="A1723" s="4" t="s">
        <v>10</v>
      </c>
      <c r="B1723" s="5">
        <v>44137.0</v>
      </c>
      <c r="C1723" s="6">
        <v>45.28</v>
      </c>
      <c r="D1723" s="13">
        <f>+0.57</f>
        <v>0.57</v>
      </c>
      <c r="E1723" s="14">
        <f>+1.27%</f>
        <v>0.0127</v>
      </c>
      <c r="F1723" s="6">
        <v>45.18</v>
      </c>
      <c r="G1723" s="6">
        <v>44.92</v>
      </c>
      <c r="H1723" s="6">
        <v>45.3</v>
      </c>
      <c r="I1723" s="9">
        <v>5.1001572E7</v>
      </c>
      <c r="J1723" s="6">
        <v>2.30245060701E9</v>
      </c>
    </row>
    <row r="1724">
      <c r="A1724" s="4" t="s">
        <v>10</v>
      </c>
      <c r="B1724" s="5">
        <v>44138.0</v>
      </c>
      <c r="C1724" s="6">
        <v>45.48</v>
      </c>
      <c r="D1724" s="13">
        <f>+0.2</f>
        <v>0.2</v>
      </c>
      <c r="E1724" s="14">
        <f>+0.44%</f>
        <v>0.0044</v>
      </c>
      <c r="F1724" s="6">
        <v>45.36</v>
      </c>
      <c r="G1724" s="6">
        <v>45.18</v>
      </c>
      <c r="H1724" s="6">
        <v>45.6</v>
      </c>
      <c r="I1724" s="9">
        <v>4.9744325E7</v>
      </c>
      <c r="J1724" s="6">
        <v>2.26037032853E9</v>
      </c>
    </row>
    <row r="1725">
      <c r="A1725" s="4" t="s">
        <v>10</v>
      </c>
      <c r="B1725" s="5">
        <v>44139.0</v>
      </c>
      <c r="C1725" s="6">
        <v>46.91</v>
      </c>
      <c r="D1725" s="13">
        <f>+1.43</f>
        <v>1.43</v>
      </c>
      <c r="E1725" s="14">
        <f>+3.14%</f>
        <v>0.0314</v>
      </c>
      <c r="F1725" s="6">
        <v>46.09</v>
      </c>
      <c r="G1725" s="6">
        <v>46.0</v>
      </c>
      <c r="H1725" s="6">
        <v>47.09</v>
      </c>
      <c r="I1725" s="9">
        <v>8.1110201E7</v>
      </c>
      <c r="J1725" s="6">
        <v>3.7897020731E9</v>
      </c>
    </row>
    <row r="1726">
      <c r="A1726" s="4" t="s">
        <v>10</v>
      </c>
      <c r="B1726" s="5">
        <v>44140.0</v>
      </c>
      <c r="C1726" s="6">
        <v>47.71</v>
      </c>
      <c r="D1726" s="13">
        <f>+0.8</f>
        <v>0.8</v>
      </c>
      <c r="E1726" s="14">
        <f>+1.71%</f>
        <v>0.0171</v>
      </c>
      <c r="F1726" s="6">
        <v>47.71</v>
      </c>
      <c r="G1726" s="6">
        <v>47.31</v>
      </c>
      <c r="H1726" s="6">
        <v>47.91</v>
      </c>
      <c r="I1726" s="9">
        <v>7.8029316E7</v>
      </c>
      <c r="J1726" s="6">
        <v>3.71295725758E9</v>
      </c>
    </row>
    <row r="1727">
      <c r="A1727" s="4" t="s">
        <v>10</v>
      </c>
      <c r="B1727" s="5">
        <v>44141.0</v>
      </c>
      <c r="C1727" s="6">
        <v>47.93</v>
      </c>
      <c r="D1727" s="13">
        <f>+0.22</f>
        <v>0.22</v>
      </c>
      <c r="E1727" s="14">
        <f>+0.46%</f>
        <v>0.0046</v>
      </c>
      <c r="F1727" s="6">
        <v>47.67</v>
      </c>
      <c r="G1727" s="6">
        <v>47.54</v>
      </c>
      <c r="H1727" s="6">
        <v>48.11</v>
      </c>
      <c r="I1727" s="9">
        <v>5.7353252E7</v>
      </c>
      <c r="J1727" s="6">
        <v>2.74620660249E9</v>
      </c>
    </row>
    <row r="1728">
      <c r="A1728" s="4" t="s">
        <v>10</v>
      </c>
      <c r="B1728" s="5">
        <v>44144.0</v>
      </c>
      <c r="C1728" s="6">
        <v>48.26</v>
      </c>
      <c r="D1728" s="13">
        <f>+0.33</f>
        <v>0.33</v>
      </c>
      <c r="E1728" s="14">
        <f>+0.69%</f>
        <v>0.0069</v>
      </c>
      <c r="F1728" s="6">
        <v>49.48</v>
      </c>
      <c r="G1728" s="6">
        <v>48.24</v>
      </c>
      <c r="H1728" s="6">
        <v>49.53</v>
      </c>
      <c r="I1728" s="9">
        <v>7.4889427E7</v>
      </c>
      <c r="J1728" s="6">
        <v>3.64606961903E9</v>
      </c>
    </row>
    <row r="1729">
      <c r="A1729" s="4" t="s">
        <v>10</v>
      </c>
      <c r="B1729" s="5">
        <v>44145.0</v>
      </c>
      <c r="C1729" s="6">
        <v>47.71</v>
      </c>
      <c r="D1729" s="11">
        <v>-0.55</v>
      </c>
      <c r="E1729" s="12">
        <v>-0.0114</v>
      </c>
      <c r="F1729" s="6">
        <v>48.07</v>
      </c>
      <c r="G1729" s="6">
        <v>47.5</v>
      </c>
      <c r="H1729" s="6">
        <v>48.19</v>
      </c>
      <c r="I1729" s="9">
        <v>6.8735574E7</v>
      </c>
      <c r="J1729" s="6">
        <v>3.28756840108E9</v>
      </c>
    </row>
    <row r="1730">
      <c r="A1730" s="4" t="s">
        <v>10</v>
      </c>
      <c r="B1730" s="5">
        <v>44146.0</v>
      </c>
      <c r="C1730" s="6">
        <v>48.02</v>
      </c>
      <c r="D1730" s="13">
        <f>+0.31</f>
        <v>0.31</v>
      </c>
      <c r="E1730" s="14">
        <f>+0.65%</f>
        <v>0.0065</v>
      </c>
      <c r="F1730" s="6">
        <v>47.64</v>
      </c>
      <c r="G1730" s="6">
        <v>47.56</v>
      </c>
      <c r="H1730" s="6">
        <v>48.1</v>
      </c>
      <c r="I1730" s="9">
        <v>4.6272034E7</v>
      </c>
      <c r="J1730" s="6">
        <v>2.21595132785E9</v>
      </c>
    </row>
    <row r="1731">
      <c r="A1731" s="4" t="s">
        <v>10</v>
      </c>
      <c r="B1731" s="5">
        <v>44147.0</v>
      </c>
      <c r="C1731" s="6">
        <v>47.66</v>
      </c>
      <c r="D1731" s="11">
        <v>-0.36</v>
      </c>
      <c r="E1731" s="12">
        <v>-0.0075</v>
      </c>
      <c r="F1731" s="6">
        <v>48.14</v>
      </c>
      <c r="G1731" s="6">
        <v>47.54</v>
      </c>
      <c r="H1731" s="6">
        <v>48.31</v>
      </c>
      <c r="I1731" s="9">
        <v>4.129475E7</v>
      </c>
      <c r="J1731" s="6">
        <v>1.97714446724E9</v>
      </c>
    </row>
    <row r="1732">
      <c r="A1732" s="4" t="s">
        <v>10</v>
      </c>
      <c r="B1732" s="5">
        <v>44148.0</v>
      </c>
      <c r="C1732" s="6">
        <v>48.33</v>
      </c>
      <c r="D1732" s="13">
        <f>+0.67</f>
        <v>0.67</v>
      </c>
      <c r="E1732" s="14">
        <f>+1.41%</f>
        <v>0.0141</v>
      </c>
      <c r="F1732" s="6">
        <v>48.24</v>
      </c>
      <c r="G1732" s="6">
        <v>47.99</v>
      </c>
      <c r="H1732" s="6">
        <v>48.36</v>
      </c>
      <c r="I1732" s="9">
        <v>4.8158676E7</v>
      </c>
      <c r="J1732" s="6">
        <v>2.32345614815E9</v>
      </c>
    </row>
    <row r="1733">
      <c r="A1733" s="4" t="s">
        <v>10</v>
      </c>
      <c r="B1733" s="5">
        <v>44151.0</v>
      </c>
      <c r="C1733" s="6">
        <v>48.93</v>
      </c>
      <c r="D1733" s="13">
        <f>+0.6</f>
        <v>0.6</v>
      </c>
      <c r="E1733" s="14">
        <f>+1.24%</f>
        <v>0.0124</v>
      </c>
      <c r="F1733" s="6">
        <v>48.85</v>
      </c>
      <c r="G1733" s="6">
        <v>48.76</v>
      </c>
      <c r="H1733" s="6">
        <v>49.09</v>
      </c>
      <c r="I1733" s="9">
        <v>6.3565902E7</v>
      </c>
      <c r="J1733" s="6">
        <v>3.10910778496E9</v>
      </c>
    </row>
    <row r="1734">
      <c r="A1734" s="4" t="s">
        <v>10</v>
      </c>
      <c r="B1734" s="5">
        <v>44152.0</v>
      </c>
      <c r="C1734" s="6">
        <v>48.88</v>
      </c>
      <c r="D1734" s="11">
        <v>-0.05</v>
      </c>
      <c r="E1734" s="12">
        <v>-0.001</v>
      </c>
      <c r="F1734" s="6">
        <v>48.63</v>
      </c>
      <c r="G1734" s="6">
        <v>48.56</v>
      </c>
      <c r="H1734" s="6">
        <v>49.01</v>
      </c>
      <c r="I1734" s="9">
        <v>3.4661641E7</v>
      </c>
      <c r="J1734" s="6">
        <v>1.69309970906E9</v>
      </c>
    </row>
    <row r="1735">
      <c r="A1735" s="4" t="s">
        <v>10</v>
      </c>
      <c r="B1735" s="5">
        <v>44153.0</v>
      </c>
      <c r="C1735" s="6">
        <v>48.71</v>
      </c>
      <c r="D1735" s="11">
        <v>-0.17</v>
      </c>
      <c r="E1735" s="12">
        <v>-0.0035</v>
      </c>
      <c r="F1735" s="6">
        <v>49.09</v>
      </c>
      <c r="G1735" s="6">
        <v>48.7</v>
      </c>
      <c r="H1735" s="6">
        <v>49.1</v>
      </c>
      <c r="I1735" s="9">
        <v>3.2343464E7</v>
      </c>
      <c r="J1735" s="6">
        <v>1.58096628225E9</v>
      </c>
    </row>
    <row r="1736">
      <c r="A1736" s="4" t="s">
        <v>10</v>
      </c>
      <c r="B1736" s="5">
        <v>44154.0</v>
      </c>
      <c r="C1736" s="6">
        <v>48.79</v>
      </c>
      <c r="D1736" s="13">
        <f>+0.08</f>
        <v>0.08</v>
      </c>
      <c r="E1736" s="14">
        <f>+0.16%</f>
        <v>0.0016</v>
      </c>
      <c r="F1736" s="6">
        <v>48.48</v>
      </c>
      <c r="G1736" s="6">
        <v>48.38</v>
      </c>
      <c r="H1736" s="6">
        <v>48.86</v>
      </c>
      <c r="I1736" s="9">
        <v>2.7523991E7</v>
      </c>
      <c r="J1736" s="6">
        <v>1.34085234274E9</v>
      </c>
    </row>
    <row r="1737">
      <c r="A1737" s="4" t="s">
        <v>10</v>
      </c>
      <c r="B1737" s="5">
        <v>44155.0</v>
      </c>
      <c r="C1737" s="6">
        <v>49.06</v>
      </c>
      <c r="D1737" s="13">
        <f>+0.27</f>
        <v>0.27</v>
      </c>
      <c r="E1737" s="14">
        <f>+0.55%</f>
        <v>0.0055</v>
      </c>
      <c r="F1737" s="6">
        <v>48.9</v>
      </c>
      <c r="G1737" s="6">
        <v>48.86</v>
      </c>
      <c r="H1737" s="6">
        <v>49.2</v>
      </c>
      <c r="I1737" s="9">
        <v>3.5261022E7</v>
      </c>
      <c r="J1737" s="6">
        <v>1.72963516968E9</v>
      </c>
    </row>
    <row r="1738">
      <c r="A1738" s="4" t="s">
        <v>10</v>
      </c>
      <c r="B1738" s="5">
        <v>44158.0</v>
      </c>
      <c r="C1738" s="6">
        <v>49.19</v>
      </c>
      <c r="D1738" s="13">
        <f>+0.13</f>
        <v>0.13</v>
      </c>
      <c r="E1738" s="14">
        <f>+0.26%</f>
        <v>0.0026</v>
      </c>
      <c r="F1738" s="6">
        <v>49.59</v>
      </c>
      <c r="G1738" s="6">
        <v>49.08</v>
      </c>
      <c r="H1738" s="6">
        <v>49.6</v>
      </c>
      <c r="I1738" s="9">
        <v>3.8982057E7</v>
      </c>
      <c r="J1738" s="6">
        <v>1.91953667031E9</v>
      </c>
    </row>
    <row r="1739">
      <c r="A1739" s="4" t="s">
        <v>10</v>
      </c>
      <c r="B1739" s="5">
        <v>44159.0</v>
      </c>
      <c r="C1739" s="6">
        <v>49.85</v>
      </c>
      <c r="D1739" s="13">
        <f>+0.66</f>
        <v>0.66</v>
      </c>
      <c r="E1739" s="14">
        <f>+1.34%</f>
        <v>0.0134</v>
      </c>
      <c r="F1739" s="6">
        <v>49.6</v>
      </c>
      <c r="G1739" s="6">
        <v>49.34</v>
      </c>
      <c r="H1739" s="6">
        <v>49.88</v>
      </c>
      <c r="I1739" s="9">
        <v>3.9282604E7</v>
      </c>
      <c r="J1739" s="6">
        <v>1.95246162499E9</v>
      </c>
    </row>
    <row r="1740">
      <c r="A1740" s="4" t="s">
        <v>10</v>
      </c>
      <c r="B1740" s="5">
        <v>44160.0</v>
      </c>
      <c r="C1740" s="6">
        <v>49.57</v>
      </c>
      <c r="D1740" s="11">
        <v>-0.28</v>
      </c>
      <c r="E1740" s="12">
        <v>-0.0056</v>
      </c>
      <c r="F1740" s="6">
        <v>49.4</v>
      </c>
      <c r="G1740" s="6">
        <v>49.26</v>
      </c>
      <c r="H1740" s="6">
        <v>49.6</v>
      </c>
      <c r="I1740" s="9">
        <v>4.7357994E7</v>
      </c>
      <c r="J1740" s="6">
        <v>2.34345435395E9</v>
      </c>
    </row>
    <row r="1741">
      <c r="A1741" s="4" t="s">
        <v>10</v>
      </c>
      <c r="B1741" s="5">
        <v>44162.0</v>
      </c>
      <c r="C1741" s="6">
        <v>50.04</v>
      </c>
      <c r="D1741" s="13">
        <f>+0.47</f>
        <v>0.47</v>
      </c>
      <c r="E1741" s="14">
        <f>+0.95%</f>
        <v>0.0095</v>
      </c>
      <c r="F1741" s="6">
        <v>49.95</v>
      </c>
      <c r="G1741" s="6">
        <v>49.91</v>
      </c>
      <c r="H1741" s="6">
        <v>50.17</v>
      </c>
      <c r="I1741" s="9">
        <v>2.7040333E7</v>
      </c>
      <c r="J1741" s="6">
        <v>1.35294317029E9</v>
      </c>
    </row>
    <row r="1742">
      <c r="A1742" s="4" t="s">
        <v>10</v>
      </c>
      <c r="B1742" s="5">
        <v>44165.0</v>
      </c>
      <c r="C1742" s="6">
        <v>48.73</v>
      </c>
      <c r="D1742" s="11">
        <v>-1.31</v>
      </c>
      <c r="E1742" s="12">
        <v>-0.0262</v>
      </c>
      <c r="F1742" s="6">
        <v>49.31</v>
      </c>
      <c r="G1742" s="6">
        <v>48.71</v>
      </c>
      <c r="H1742" s="6">
        <v>49.31</v>
      </c>
      <c r="I1742" s="9">
        <v>6.0622759E7</v>
      </c>
      <c r="J1742" s="6">
        <v>2.96531187171E9</v>
      </c>
    </row>
    <row r="1743">
      <c r="A1743" s="4" t="s">
        <v>10</v>
      </c>
      <c r="B1743" s="5">
        <v>44166.0</v>
      </c>
      <c r="C1743" s="6">
        <v>49.69</v>
      </c>
      <c r="D1743" s="13">
        <f>+0.96</f>
        <v>0.96</v>
      </c>
      <c r="E1743" s="14">
        <f>+1.97%</f>
        <v>0.0197</v>
      </c>
      <c r="F1743" s="6">
        <v>49.59</v>
      </c>
      <c r="G1743" s="6">
        <v>49.35</v>
      </c>
      <c r="H1743" s="6">
        <v>49.88</v>
      </c>
      <c r="I1743" s="9">
        <v>5.0376594E7</v>
      </c>
      <c r="J1743" s="6">
        <v>2.50187251519E9</v>
      </c>
    </row>
    <row r="1744">
      <c r="A1744" s="4" t="s">
        <v>10</v>
      </c>
      <c r="B1744" s="5">
        <v>44167.0</v>
      </c>
      <c r="C1744" s="6">
        <v>49.76</v>
      </c>
      <c r="D1744" s="13">
        <f>+0.07</f>
        <v>0.07</v>
      </c>
      <c r="E1744" s="14">
        <f>+0.14%</f>
        <v>0.0014</v>
      </c>
      <c r="F1744" s="6">
        <v>49.61</v>
      </c>
      <c r="G1744" s="6">
        <v>49.42</v>
      </c>
      <c r="H1744" s="6">
        <v>49.86</v>
      </c>
      <c r="I1744" s="9">
        <v>4.282616E7</v>
      </c>
      <c r="J1744" s="6">
        <v>2.13009790391E9</v>
      </c>
    </row>
    <row r="1745">
      <c r="A1745" s="4" t="s">
        <v>10</v>
      </c>
      <c r="B1745" s="5">
        <v>44168.0</v>
      </c>
      <c r="C1745" s="6">
        <v>50.33</v>
      </c>
      <c r="D1745" s="13">
        <f>+0.57</f>
        <v>0.57</v>
      </c>
      <c r="E1745" s="14">
        <f>+1.15%</f>
        <v>0.0115</v>
      </c>
      <c r="F1745" s="6">
        <v>50.23</v>
      </c>
      <c r="G1745" s="6">
        <v>50.19</v>
      </c>
      <c r="H1745" s="6">
        <v>50.58</v>
      </c>
      <c r="I1745" s="9">
        <v>6.1408281E7</v>
      </c>
      <c r="J1745" s="6">
        <v>3.09563272912E9</v>
      </c>
    </row>
    <row r="1746">
      <c r="A1746" s="4" t="s">
        <v>10</v>
      </c>
      <c r="B1746" s="5">
        <v>44169.0</v>
      </c>
      <c r="C1746" s="6">
        <v>50.85</v>
      </c>
      <c r="D1746" s="13">
        <f>+0.52</f>
        <v>0.52</v>
      </c>
      <c r="E1746" s="14">
        <f>+1.03%</f>
        <v>0.0103</v>
      </c>
      <c r="F1746" s="6">
        <v>50.72</v>
      </c>
      <c r="G1746" s="6">
        <v>50.63</v>
      </c>
      <c r="H1746" s="6">
        <v>50.88</v>
      </c>
      <c r="I1746" s="9">
        <v>4.2230866E7</v>
      </c>
      <c r="J1746" s="6">
        <v>2.14484305411E9</v>
      </c>
    </row>
    <row r="1747">
      <c r="A1747" s="4" t="s">
        <v>10</v>
      </c>
      <c r="B1747" s="5">
        <v>44172.0</v>
      </c>
      <c r="C1747" s="6">
        <v>50.85</v>
      </c>
      <c r="D1747" s="11">
        <v>0.0</v>
      </c>
      <c r="E1747" s="12">
        <v>0.0</v>
      </c>
      <c r="F1747" s="6">
        <v>50.78</v>
      </c>
      <c r="G1747" s="6">
        <v>50.65</v>
      </c>
      <c r="H1747" s="6">
        <v>50.99</v>
      </c>
      <c r="I1747" s="9">
        <v>4.3115107E7</v>
      </c>
      <c r="J1747" s="6">
        <v>2.19156587451E9</v>
      </c>
    </row>
    <row r="1748">
      <c r="A1748" s="4" t="s">
        <v>10</v>
      </c>
      <c r="B1748" s="5">
        <v>44173.0</v>
      </c>
      <c r="C1748" s="6">
        <v>50.87</v>
      </c>
      <c r="D1748" s="13">
        <f>+0.02</f>
        <v>0.02</v>
      </c>
      <c r="E1748" s="14">
        <f>+0.04%</f>
        <v>0.0004</v>
      </c>
      <c r="F1748" s="6">
        <v>50.79</v>
      </c>
      <c r="G1748" s="6">
        <v>50.63</v>
      </c>
      <c r="H1748" s="6">
        <v>50.87</v>
      </c>
      <c r="I1748" s="9">
        <v>2.8632558E7</v>
      </c>
      <c r="J1748" s="6">
        <v>1.45458257198E9</v>
      </c>
    </row>
    <row r="1749">
      <c r="A1749" s="4" t="s">
        <v>10</v>
      </c>
      <c r="B1749" s="5">
        <v>44174.0</v>
      </c>
      <c r="C1749" s="6">
        <v>50.43</v>
      </c>
      <c r="D1749" s="11">
        <v>-0.44</v>
      </c>
      <c r="E1749" s="12">
        <v>-0.0086</v>
      </c>
      <c r="F1749" s="6">
        <v>51.03</v>
      </c>
      <c r="G1749" s="6">
        <v>50.19</v>
      </c>
      <c r="H1749" s="6">
        <v>51.03</v>
      </c>
      <c r="I1749" s="9">
        <v>4.0762595E7</v>
      </c>
      <c r="J1749" s="6">
        <v>2.05910513332E9</v>
      </c>
    </row>
    <row r="1750">
      <c r="A1750" s="4" t="s">
        <v>10</v>
      </c>
      <c r="B1750" s="5">
        <v>44175.0</v>
      </c>
      <c r="C1750" s="6">
        <v>51.08</v>
      </c>
      <c r="D1750" s="13">
        <f>+0.65</f>
        <v>0.65</v>
      </c>
      <c r="E1750" s="14">
        <f>+1.29%</f>
        <v>0.0129</v>
      </c>
      <c r="F1750" s="6">
        <v>50.37</v>
      </c>
      <c r="G1750" s="6">
        <v>50.34</v>
      </c>
      <c r="H1750" s="6">
        <v>51.14</v>
      </c>
      <c r="I1750" s="9">
        <v>3.6032E7</v>
      </c>
      <c r="J1750" s="6">
        <v>1.83558844693E9</v>
      </c>
    </row>
    <row r="1751">
      <c r="A1751" s="4" t="s">
        <v>10</v>
      </c>
      <c r="B1751" s="5">
        <v>44176.0</v>
      </c>
      <c r="C1751" s="6">
        <v>50.72</v>
      </c>
      <c r="D1751" s="11">
        <v>-0.36</v>
      </c>
      <c r="E1751" s="12">
        <v>-0.007</v>
      </c>
      <c r="F1751" s="6">
        <v>50.76</v>
      </c>
      <c r="G1751" s="6">
        <v>50.63</v>
      </c>
      <c r="H1751" s="6">
        <v>50.91</v>
      </c>
      <c r="I1751" s="9">
        <v>3.8034373E7</v>
      </c>
      <c r="J1751" s="6">
        <v>1.931150527E9</v>
      </c>
    </row>
    <row r="1752">
      <c r="A1752" s="4" t="s">
        <v>10</v>
      </c>
      <c r="B1752" s="5">
        <v>44179.0</v>
      </c>
      <c r="C1752" s="6">
        <v>49.94</v>
      </c>
      <c r="D1752" s="11">
        <v>-0.78</v>
      </c>
      <c r="E1752" s="12">
        <v>-0.0154</v>
      </c>
      <c r="F1752" s="6">
        <v>50.32</v>
      </c>
      <c r="G1752" s="6">
        <v>49.91</v>
      </c>
      <c r="H1752" s="6">
        <v>50.35</v>
      </c>
      <c r="I1752" s="9">
        <v>3.4407158E7</v>
      </c>
      <c r="J1752" s="6">
        <v>1.72371612306E9</v>
      </c>
    </row>
    <row r="1753">
      <c r="A1753" s="4" t="s">
        <v>10</v>
      </c>
      <c r="B1753" s="5">
        <v>44180.0</v>
      </c>
      <c r="C1753" s="6">
        <v>50.48</v>
      </c>
      <c r="D1753" s="13">
        <f>+0.54</f>
        <v>0.54</v>
      </c>
      <c r="E1753" s="14">
        <f>+1.08%</f>
        <v>0.0108</v>
      </c>
      <c r="F1753" s="6">
        <v>50.16</v>
      </c>
      <c r="G1753" s="6">
        <v>50.02</v>
      </c>
      <c r="H1753" s="6">
        <v>50.51</v>
      </c>
      <c r="I1753" s="9">
        <v>3.9347063E7</v>
      </c>
      <c r="J1753" s="6">
        <v>1.97882444153E9</v>
      </c>
    </row>
    <row r="1754">
      <c r="A1754" s="4" t="s">
        <v>10</v>
      </c>
      <c r="B1754" s="5">
        <v>44181.0</v>
      </c>
      <c r="C1754" s="6">
        <v>50.72</v>
      </c>
      <c r="D1754" s="13">
        <f>+0.24</f>
        <v>0.24</v>
      </c>
      <c r="E1754" s="14">
        <f>+0.48%</f>
        <v>0.0048</v>
      </c>
      <c r="F1754" s="6">
        <v>50.58</v>
      </c>
      <c r="G1754" s="6">
        <v>50.47</v>
      </c>
      <c r="H1754" s="6">
        <v>50.8</v>
      </c>
      <c r="I1754" s="9">
        <v>3.8114246E7</v>
      </c>
      <c r="J1754" s="6">
        <v>1.93141014922E9</v>
      </c>
    </row>
    <row r="1755">
      <c r="A1755" s="4" t="s">
        <v>10</v>
      </c>
      <c r="B1755" s="5">
        <v>44182.0</v>
      </c>
      <c r="C1755" s="6">
        <v>51.05</v>
      </c>
      <c r="D1755" s="13">
        <f>+0.33</f>
        <v>0.33</v>
      </c>
      <c r="E1755" s="14">
        <f>+0.65%</f>
        <v>0.0065</v>
      </c>
      <c r="F1755" s="6">
        <v>51.05</v>
      </c>
      <c r="G1755" s="6">
        <v>50.89</v>
      </c>
      <c r="H1755" s="6">
        <v>51.11</v>
      </c>
      <c r="I1755" s="9">
        <v>3.632385E7</v>
      </c>
      <c r="J1755" s="6">
        <v>1.85233625415E9</v>
      </c>
    </row>
    <row r="1756">
      <c r="A1756" s="4" t="s">
        <v>10</v>
      </c>
      <c r="B1756" s="5">
        <v>44183.0</v>
      </c>
      <c r="C1756" s="6">
        <v>50.99</v>
      </c>
      <c r="D1756" s="11">
        <v>-0.06</v>
      </c>
      <c r="E1756" s="12">
        <v>-0.0012</v>
      </c>
      <c r="F1756" s="6">
        <v>50.95</v>
      </c>
      <c r="G1756" s="6">
        <v>50.78</v>
      </c>
      <c r="H1756" s="6">
        <v>51.02</v>
      </c>
      <c r="I1756" s="9">
        <v>4.7662778E7</v>
      </c>
      <c r="J1756" s="6">
        <v>2.42744936318E9</v>
      </c>
    </row>
    <row r="1757">
      <c r="A1757" s="4" t="s">
        <v>10</v>
      </c>
      <c r="B1757" s="5">
        <v>44186.0</v>
      </c>
      <c r="C1757" s="6">
        <v>50.24</v>
      </c>
      <c r="D1757" s="11">
        <v>-0.75</v>
      </c>
      <c r="E1757" s="12">
        <v>-0.0147</v>
      </c>
      <c r="F1757" s="6">
        <v>49.86</v>
      </c>
      <c r="G1757" s="6">
        <v>49.84</v>
      </c>
      <c r="H1757" s="6">
        <v>50.45</v>
      </c>
      <c r="I1757" s="9">
        <v>4.8558424E7</v>
      </c>
      <c r="J1757" s="6">
        <v>2.43901458716E9</v>
      </c>
    </row>
    <row r="1758">
      <c r="A1758" s="4" t="s">
        <v>10</v>
      </c>
      <c r="B1758" s="5">
        <v>44187.0</v>
      </c>
      <c r="C1758" s="6">
        <v>49.84</v>
      </c>
      <c r="D1758" s="11">
        <v>-0.4</v>
      </c>
      <c r="E1758" s="12">
        <v>-0.008</v>
      </c>
      <c r="F1758" s="6">
        <v>50.11</v>
      </c>
      <c r="G1758" s="6">
        <v>49.77</v>
      </c>
      <c r="H1758" s="6">
        <v>50.16</v>
      </c>
      <c r="I1758" s="9">
        <v>3.5232653E7</v>
      </c>
      <c r="J1758" s="6">
        <v>1.75819529839E9</v>
      </c>
    </row>
    <row r="1759">
      <c r="A1759" s="4" t="s">
        <v>10</v>
      </c>
      <c r="B1759" s="5">
        <v>44188.0</v>
      </c>
      <c r="C1759" s="6">
        <v>50.35</v>
      </c>
      <c r="D1759" s="13">
        <f>+0.51</f>
        <v>0.51</v>
      </c>
      <c r="E1759" s="14">
        <f>+1.02%</f>
        <v>0.0102</v>
      </c>
      <c r="F1759" s="6">
        <v>50.32</v>
      </c>
      <c r="G1759" s="6">
        <v>50.25</v>
      </c>
      <c r="H1759" s="6">
        <v>50.46</v>
      </c>
      <c r="I1759" s="9">
        <v>3.646944E7</v>
      </c>
      <c r="J1759" s="6">
        <v>1.83758539415E9</v>
      </c>
    </row>
    <row r="1760">
      <c r="A1760" s="4" t="s">
        <v>10</v>
      </c>
      <c r="B1760" s="5">
        <v>44189.0</v>
      </c>
      <c r="C1760" s="6">
        <v>50.13</v>
      </c>
      <c r="D1760" s="11">
        <v>-0.22</v>
      </c>
      <c r="E1760" s="12">
        <v>-0.0044</v>
      </c>
      <c r="F1760" s="6">
        <v>50.21</v>
      </c>
      <c r="G1760" s="6">
        <v>49.86</v>
      </c>
      <c r="H1760" s="6">
        <v>50.33</v>
      </c>
      <c r="I1760" s="9">
        <v>2.0688956E7</v>
      </c>
      <c r="J1760" s="6">
        <v>1.03644781087E9</v>
      </c>
    </row>
    <row r="1761">
      <c r="A1761" s="4" t="s">
        <v>10</v>
      </c>
      <c r="B1761" s="5">
        <v>44193.0</v>
      </c>
      <c r="C1761" s="6">
        <v>50.27</v>
      </c>
      <c r="D1761" s="13">
        <f>+0.14</f>
        <v>0.14</v>
      </c>
      <c r="E1761" s="14">
        <f>+0.28%</f>
        <v>0.0028</v>
      </c>
      <c r="F1761" s="6">
        <v>50.37</v>
      </c>
      <c r="G1761" s="6">
        <v>50.16</v>
      </c>
      <c r="H1761" s="6">
        <v>50.44</v>
      </c>
      <c r="I1761" s="9">
        <v>2.6906053E7</v>
      </c>
      <c r="J1761" s="6">
        <v>1.3535734797E9</v>
      </c>
    </row>
    <row r="1762">
      <c r="A1762" s="4" t="s">
        <v>10</v>
      </c>
      <c r="B1762" s="5">
        <v>44194.0</v>
      </c>
      <c r="C1762" s="6">
        <v>51.02</v>
      </c>
      <c r="D1762" s="13">
        <f>+0.75</f>
        <v>0.75</v>
      </c>
      <c r="E1762" s="14">
        <f>+1.49%</f>
        <v>0.0149</v>
      </c>
      <c r="F1762" s="6">
        <v>50.72</v>
      </c>
      <c r="G1762" s="6">
        <v>50.68</v>
      </c>
      <c r="H1762" s="6">
        <v>51.06</v>
      </c>
      <c r="I1762" s="9">
        <v>4.1965924E7</v>
      </c>
      <c r="J1762" s="6">
        <v>2.13708680825E9</v>
      </c>
    </row>
    <row r="1763">
      <c r="A1763" s="4" t="s">
        <v>10</v>
      </c>
      <c r="B1763" s="5">
        <v>44195.0</v>
      </c>
      <c r="C1763" s="6">
        <v>51.7</v>
      </c>
      <c r="D1763" s="13">
        <f>+0.68</f>
        <v>0.68</v>
      </c>
      <c r="E1763" s="14">
        <f>+1.33%</f>
        <v>0.0133</v>
      </c>
      <c r="F1763" s="6">
        <v>51.64</v>
      </c>
      <c r="G1763" s="6">
        <v>51.59</v>
      </c>
      <c r="H1763" s="6">
        <v>51.88</v>
      </c>
      <c r="I1763" s="9">
        <v>3.5759462E7</v>
      </c>
      <c r="J1763" s="6">
        <v>1.850875477E9</v>
      </c>
    </row>
    <row r="1764">
      <c r="A1764" s="4" t="s">
        <v>10</v>
      </c>
      <c r="B1764" s="5">
        <v>44196.0</v>
      </c>
      <c r="C1764" s="6">
        <v>51.67</v>
      </c>
      <c r="D1764" s="11">
        <v>-0.03</v>
      </c>
      <c r="E1764" s="12">
        <v>-6.0E-4</v>
      </c>
      <c r="F1764" s="6">
        <v>51.99</v>
      </c>
      <c r="G1764" s="6">
        <v>51.36</v>
      </c>
      <c r="H1764" s="6">
        <v>52.0</v>
      </c>
      <c r="I1764" s="9">
        <v>3.5680186E7</v>
      </c>
      <c r="J1764" s="6">
        <v>1.84010509462E9</v>
      </c>
    </row>
    <row r="1765">
      <c r="A1765" s="4" t="s">
        <v>10</v>
      </c>
      <c r="B1765" s="5">
        <v>44200.0</v>
      </c>
      <c r="C1765" s="6">
        <v>52.0</v>
      </c>
      <c r="D1765" s="13">
        <f>+0.33</f>
        <v>0.33</v>
      </c>
      <c r="E1765" s="14">
        <f>+0.64%</f>
        <v>0.0064</v>
      </c>
      <c r="F1765" s="6">
        <v>52.62</v>
      </c>
      <c r="G1765" s="6">
        <v>51.83</v>
      </c>
      <c r="H1765" s="6">
        <v>52.81</v>
      </c>
      <c r="I1765" s="9">
        <v>4.8201262E7</v>
      </c>
      <c r="J1765" s="6">
        <v>2.51996532186E9</v>
      </c>
    </row>
    <row r="1766">
      <c r="A1766" s="4" t="s">
        <v>10</v>
      </c>
      <c r="B1766" s="5">
        <v>44201.0</v>
      </c>
      <c r="C1766" s="6">
        <v>53.25</v>
      </c>
      <c r="D1766" s="13">
        <f>+1.25</f>
        <v>1.25</v>
      </c>
      <c r="E1766" s="14">
        <f>+2.4%</f>
        <v>0.024</v>
      </c>
      <c r="F1766" s="6">
        <v>52.49</v>
      </c>
      <c r="G1766" s="6">
        <v>52.49</v>
      </c>
      <c r="H1766" s="6">
        <v>53.27</v>
      </c>
      <c r="I1766" s="9">
        <v>5.3358001E7</v>
      </c>
      <c r="J1766" s="6">
        <v>2.82878815534E9</v>
      </c>
    </row>
    <row r="1767">
      <c r="A1767" s="4" t="s">
        <v>10</v>
      </c>
      <c r="B1767" s="5">
        <v>44202.0</v>
      </c>
      <c r="C1767" s="6">
        <v>52.8</v>
      </c>
      <c r="D1767" s="11">
        <v>-0.45</v>
      </c>
      <c r="E1767" s="12">
        <v>-0.0085</v>
      </c>
      <c r="F1767" s="6">
        <v>52.85</v>
      </c>
      <c r="G1767" s="6">
        <v>52.66</v>
      </c>
      <c r="H1767" s="6">
        <v>53.44</v>
      </c>
      <c r="I1767" s="9">
        <v>5.6418741E7</v>
      </c>
      <c r="J1767" s="6">
        <v>2.98814669759E9</v>
      </c>
    </row>
    <row r="1768">
      <c r="A1768" s="4" t="s">
        <v>10</v>
      </c>
      <c r="B1768" s="5">
        <v>44203.0</v>
      </c>
      <c r="C1768" s="6">
        <v>53.3</v>
      </c>
      <c r="D1768" s="13">
        <f>+0.5</f>
        <v>0.5</v>
      </c>
      <c r="E1768" s="14">
        <f>+0.95%</f>
        <v>0.0095</v>
      </c>
      <c r="F1768" s="6">
        <v>53.08</v>
      </c>
      <c r="G1768" s="6">
        <v>52.82</v>
      </c>
      <c r="H1768" s="6">
        <v>53.3</v>
      </c>
      <c r="I1768" s="9">
        <v>4.1031306E7</v>
      </c>
      <c r="J1768" s="6">
        <v>2.17782406537E9</v>
      </c>
    </row>
    <row r="1769">
      <c r="A1769" s="4" t="s">
        <v>10</v>
      </c>
      <c r="B1769" s="5">
        <v>44204.0</v>
      </c>
      <c r="C1769" s="6">
        <v>54.71</v>
      </c>
      <c r="D1769" s="13">
        <f>+1.41</f>
        <v>1.41</v>
      </c>
      <c r="E1769" s="14">
        <f>+2.65%</f>
        <v>0.0265</v>
      </c>
      <c r="F1769" s="6">
        <v>54.25</v>
      </c>
      <c r="G1769" s="6">
        <v>53.94</v>
      </c>
      <c r="H1769" s="6">
        <v>54.74</v>
      </c>
      <c r="I1769" s="9">
        <v>7.6024498E7</v>
      </c>
      <c r="J1769" s="6">
        <v>4.13648797941E9</v>
      </c>
    </row>
    <row r="1770">
      <c r="A1770" s="4" t="s">
        <v>10</v>
      </c>
      <c r="B1770" s="5">
        <v>44207.0</v>
      </c>
      <c r="C1770" s="6">
        <v>53.97</v>
      </c>
      <c r="D1770" s="11">
        <v>-0.74</v>
      </c>
      <c r="E1770" s="12">
        <v>-0.0135</v>
      </c>
      <c r="F1770" s="6">
        <v>53.99</v>
      </c>
      <c r="G1770" s="6">
        <v>53.91</v>
      </c>
      <c r="H1770" s="6">
        <v>54.3</v>
      </c>
      <c r="I1770" s="9">
        <v>4.0816547E7</v>
      </c>
      <c r="J1770" s="6">
        <v>2.20670834126E9</v>
      </c>
    </row>
    <row r="1771">
      <c r="A1771" s="4" t="s">
        <v>10</v>
      </c>
      <c r="B1771" s="5">
        <v>44208.0</v>
      </c>
      <c r="C1771" s="6">
        <v>54.5</v>
      </c>
      <c r="D1771" s="13">
        <f>+0.53</f>
        <v>0.53</v>
      </c>
      <c r="E1771" s="14">
        <f>+0.98%</f>
        <v>0.0098</v>
      </c>
      <c r="F1771" s="6">
        <v>54.31</v>
      </c>
      <c r="G1771" s="6">
        <v>54.16</v>
      </c>
      <c r="H1771" s="6">
        <v>54.61</v>
      </c>
      <c r="I1771" s="9">
        <v>4.7570547E7</v>
      </c>
      <c r="J1771" s="6">
        <v>2.58928966866E9</v>
      </c>
    </row>
    <row r="1772">
      <c r="A1772" s="4" t="s">
        <v>10</v>
      </c>
      <c r="B1772" s="5">
        <v>44209.0</v>
      </c>
      <c r="C1772" s="6">
        <v>54.62</v>
      </c>
      <c r="D1772" s="13">
        <f>+0.12</f>
        <v>0.12</v>
      </c>
      <c r="E1772" s="14">
        <f>+0.22%</f>
        <v>0.0022</v>
      </c>
      <c r="F1772" s="6">
        <v>54.6</v>
      </c>
      <c r="G1772" s="6">
        <v>54.28</v>
      </c>
      <c r="H1772" s="6">
        <v>54.89</v>
      </c>
      <c r="I1772" s="9">
        <v>3.3561164E7</v>
      </c>
      <c r="J1772" s="6">
        <v>1.83189562206E9</v>
      </c>
    </row>
    <row r="1773">
      <c r="A1773" s="4" t="s">
        <v>10</v>
      </c>
      <c r="B1773" s="5">
        <v>44210.0</v>
      </c>
      <c r="C1773" s="6">
        <v>55.13</v>
      </c>
      <c r="D1773" s="13">
        <f>+0.51</f>
        <v>0.51</v>
      </c>
      <c r="E1773" s="14">
        <f>+0.93%</f>
        <v>0.0093</v>
      </c>
      <c r="F1773" s="6">
        <v>55.22</v>
      </c>
      <c r="G1773" s="6">
        <v>55.06</v>
      </c>
      <c r="H1773" s="6">
        <v>55.48</v>
      </c>
      <c r="I1773" s="9">
        <v>3.8837183E7</v>
      </c>
      <c r="J1773" s="6">
        <v>2.1455346397E9</v>
      </c>
    </row>
    <row r="1774">
      <c r="A1774" s="4" t="s">
        <v>10</v>
      </c>
      <c r="B1774" s="5">
        <v>44211.0</v>
      </c>
      <c r="C1774" s="6">
        <v>54.35</v>
      </c>
      <c r="D1774" s="11">
        <v>-0.78</v>
      </c>
      <c r="E1774" s="12">
        <v>-0.0141</v>
      </c>
      <c r="F1774" s="6">
        <v>54.56</v>
      </c>
      <c r="G1774" s="6">
        <v>54.21</v>
      </c>
      <c r="H1774" s="6">
        <v>54.67</v>
      </c>
      <c r="I1774" s="9">
        <v>5.851898E7</v>
      </c>
      <c r="J1774" s="6">
        <v>3.18472488739E9</v>
      </c>
    </row>
    <row r="1775">
      <c r="A1775" s="4" t="s">
        <v>10</v>
      </c>
      <c r="B1775" s="5">
        <v>44215.0</v>
      </c>
      <c r="C1775" s="6">
        <v>55.25</v>
      </c>
      <c r="D1775" s="13">
        <f>+0.9</f>
        <v>0.9</v>
      </c>
      <c r="E1775" s="14">
        <f>+1.66%</f>
        <v>0.0166</v>
      </c>
      <c r="F1775" s="6">
        <v>55.5</v>
      </c>
      <c r="G1775" s="6">
        <v>55.12</v>
      </c>
      <c r="H1775" s="6">
        <v>55.54</v>
      </c>
      <c r="I1775" s="9">
        <v>5.0429307E7</v>
      </c>
      <c r="J1775" s="6">
        <v>2.78674959392E9</v>
      </c>
    </row>
    <row r="1776">
      <c r="A1776" s="4" t="s">
        <v>10</v>
      </c>
      <c r="B1776" s="5">
        <v>44216.0</v>
      </c>
      <c r="C1776" s="6">
        <v>56.22</v>
      </c>
      <c r="D1776" s="13">
        <f>+0.97</f>
        <v>0.97</v>
      </c>
      <c r="E1776" s="14">
        <f>+1.76%</f>
        <v>0.0176</v>
      </c>
      <c r="F1776" s="6">
        <v>56.2</v>
      </c>
      <c r="G1776" s="6">
        <v>55.95</v>
      </c>
      <c r="H1776" s="6">
        <v>56.26</v>
      </c>
      <c r="I1776" s="9">
        <v>3.8832495E7</v>
      </c>
      <c r="J1776" s="6">
        <v>2.18093919914E9</v>
      </c>
    </row>
    <row r="1777">
      <c r="A1777" s="4" t="s">
        <v>10</v>
      </c>
      <c r="B1777" s="5">
        <v>44217.0</v>
      </c>
      <c r="C1777" s="6">
        <v>56.32</v>
      </c>
      <c r="D1777" s="13">
        <f>+0.1</f>
        <v>0.1</v>
      </c>
      <c r="E1777" s="14">
        <f>+0.18%</f>
        <v>0.0018</v>
      </c>
      <c r="F1777" s="6">
        <v>56.41</v>
      </c>
      <c r="G1777" s="6">
        <v>56.11</v>
      </c>
      <c r="H1777" s="6">
        <v>56.45</v>
      </c>
      <c r="I1777" s="9">
        <v>3.1457543E7</v>
      </c>
      <c r="J1777" s="6">
        <v>1.77097791544E9</v>
      </c>
    </row>
    <row r="1778">
      <c r="A1778" s="4" t="s">
        <v>10</v>
      </c>
      <c r="B1778" s="5">
        <v>44218.0</v>
      </c>
      <c r="C1778" s="6">
        <v>55.83</v>
      </c>
      <c r="D1778" s="11">
        <v>-0.49</v>
      </c>
      <c r="E1778" s="12">
        <v>-0.0087</v>
      </c>
      <c r="F1778" s="6">
        <v>55.54</v>
      </c>
      <c r="G1778" s="6">
        <v>55.47</v>
      </c>
      <c r="H1778" s="6">
        <v>55.95</v>
      </c>
      <c r="I1778" s="9">
        <v>4.8224126E7</v>
      </c>
      <c r="J1778" s="6">
        <v>2.68924815927E9</v>
      </c>
    </row>
    <row r="1779">
      <c r="A1779" s="4" t="s">
        <v>10</v>
      </c>
      <c r="B1779" s="5">
        <v>44221.0</v>
      </c>
      <c r="C1779" s="6">
        <v>56.25</v>
      </c>
      <c r="D1779" s="13">
        <f>+0.42</f>
        <v>0.42</v>
      </c>
      <c r="E1779" s="14">
        <f>+0.75%</f>
        <v>0.0075</v>
      </c>
      <c r="F1779" s="6">
        <v>56.45</v>
      </c>
      <c r="G1779" s="6">
        <v>55.71</v>
      </c>
      <c r="H1779" s="6">
        <v>56.54</v>
      </c>
      <c r="I1779" s="9">
        <v>5.0793675E7</v>
      </c>
      <c r="J1779" s="6">
        <v>2.85262104808E9</v>
      </c>
    </row>
    <row r="1780">
      <c r="A1780" s="4" t="s">
        <v>10</v>
      </c>
      <c r="B1780" s="5">
        <v>44222.0</v>
      </c>
      <c r="C1780" s="6">
        <v>55.84</v>
      </c>
      <c r="D1780" s="11">
        <v>-0.41</v>
      </c>
      <c r="E1780" s="12">
        <v>-0.0073</v>
      </c>
      <c r="F1780" s="6">
        <v>55.79</v>
      </c>
      <c r="G1780" s="6">
        <v>55.53</v>
      </c>
      <c r="H1780" s="6">
        <v>55.93</v>
      </c>
      <c r="I1780" s="9">
        <v>3.2282993E7</v>
      </c>
      <c r="J1780" s="6">
        <v>1.79955957772E9</v>
      </c>
    </row>
    <row r="1781">
      <c r="A1781" s="4" t="s">
        <v>10</v>
      </c>
      <c r="B1781" s="5">
        <v>44223.0</v>
      </c>
      <c r="C1781" s="6">
        <v>54.29</v>
      </c>
      <c r="D1781" s="11">
        <v>-1.55</v>
      </c>
      <c r="E1781" s="12">
        <v>-0.0278</v>
      </c>
      <c r="F1781" s="6">
        <v>54.66</v>
      </c>
      <c r="G1781" s="6">
        <v>54.25</v>
      </c>
      <c r="H1781" s="6">
        <v>54.88</v>
      </c>
      <c r="I1781" s="9">
        <v>4.5279678E7</v>
      </c>
      <c r="J1781" s="6">
        <v>2.4697877133E9</v>
      </c>
    </row>
    <row r="1782">
      <c r="A1782" s="4" t="s">
        <v>10</v>
      </c>
      <c r="B1782" s="5">
        <v>44224.0</v>
      </c>
      <c r="C1782" s="6">
        <v>54.67</v>
      </c>
      <c r="D1782" s="13">
        <f>+0.38</f>
        <v>0.38</v>
      </c>
      <c r="E1782" s="14">
        <f>+0.7%</f>
        <v>0.007</v>
      </c>
      <c r="F1782" s="6">
        <v>54.19</v>
      </c>
      <c r="G1782" s="6">
        <v>54.05</v>
      </c>
      <c r="H1782" s="6">
        <v>54.87</v>
      </c>
      <c r="I1782" s="9">
        <v>3.8054957E7</v>
      </c>
      <c r="J1782" s="6">
        <v>2.07564631858E9</v>
      </c>
    </row>
    <row r="1783">
      <c r="A1783" s="4" t="s">
        <v>10</v>
      </c>
      <c r="B1783" s="5">
        <v>44225.0</v>
      </c>
      <c r="C1783" s="6">
        <v>53.31</v>
      </c>
      <c r="D1783" s="11">
        <v>-1.36</v>
      </c>
      <c r="E1783" s="12">
        <v>-0.0249</v>
      </c>
      <c r="F1783" s="6">
        <v>53.72</v>
      </c>
      <c r="G1783" s="6">
        <v>53.05</v>
      </c>
      <c r="H1783" s="6">
        <v>53.85</v>
      </c>
      <c r="I1783" s="9">
        <v>5.7657831E7</v>
      </c>
      <c r="J1783" s="6">
        <v>3.08039031606E9</v>
      </c>
    </row>
    <row r="1784">
      <c r="A1784" s="4" t="s">
        <v>10</v>
      </c>
      <c r="B1784" s="5">
        <v>44228.0</v>
      </c>
      <c r="C1784" s="6">
        <v>54.75</v>
      </c>
      <c r="D1784" s="13">
        <f>+1.44</f>
        <v>1.44</v>
      </c>
      <c r="E1784" s="14">
        <f>+2.7%</f>
        <v>0.027</v>
      </c>
      <c r="F1784" s="6">
        <v>54.42</v>
      </c>
      <c r="G1784" s="6">
        <v>54.16</v>
      </c>
      <c r="H1784" s="6">
        <v>54.85</v>
      </c>
      <c r="I1784" s="9">
        <v>5.1427026E7</v>
      </c>
      <c r="J1784" s="6">
        <v>2.8059928674E9</v>
      </c>
    </row>
    <row r="1785">
      <c r="A1785" s="4" t="s">
        <v>10</v>
      </c>
      <c r="B1785" s="5">
        <v>44229.0</v>
      </c>
      <c r="C1785" s="6">
        <v>55.46</v>
      </c>
      <c r="D1785" s="13">
        <f>+0.71</f>
        <v>0.71</v>
      </c>
      <c r="E1785" s="14">
        <f>+1.3%</f>
        <v>0.013</v>
      </c>
      <c r="F1785" s="6">
        <v>55.55</v>
      </c>
      <c r="G1785" s="6">
        <v>55.29</v>
      </c>
      <c r="H1785" s="6">
        <v>55.59</v>
      </c>
      <c r="I1785" s="9">
        <v>3.3172488E7</v>
      </c>
      <c r="J1785" s="6">
        <v>1.83988467085E9</v>
      </c>
    </row>
    <row r="1786">
      <c r="A1786" s="4" t="s">
        <v>10</v>
      </c>
      <c r="B1786" s="5">
        <v>44230.0</v>
      </c>
      <c r="C1786" s="6">
        <v>55.74</v>
      </c>
      <c r="D1786" s="13">
        <f>+0.28</f>
        <v>0.28</v>
      </c>
      <c r="E1786" s="14">
        <f>+0.5%</f>
        <v>0.005</v>
      </c>
      <c r="F1786" s="6">
        <v>55.83</v>
      </c>
      <c r="G1786" s="6">
        <v>55.57</v>
      </c>
      <c r="H1786" s="6">
        <v>55.95</v>
      </c>
      <c r="I1786" s="9">
        <v>3.2363188E7</v>
      </c>
      <c r="J1786" s="6">
        <v>1.80635996304E9</v>
      </c>
    </row>
    <row r="1787">
      <c r="A1787" s="4" t="s">
        <v>10</v>
      </c>
      <c r="B1787" s="5">
        <v>44231.0</v>
      </c>
      <c r="C1787" s="6">
        <v>55.76</v>
      </c>
      <c r="D1787" s="13">
        <f>+0.02</f>
        <v>0.02</v>
      </c>
      <c r="E1787" s="14">
        <f>+0.04%</f>
        <v>0.0004</v>
      </c>
      <c r="F1787" s="6">
        <v>55.68</v>
      </c>
      <c r="G1787" s="6">
        <v>55.34</v>
      </c>
      <c r="H1787" s="6">
        <v>55.8</v>
      </c>
      <c r="I1787" s="9">
        <v>4.0161847E7</v>
      </c>
      <c r="J1787" s="6">
        <v>2.23154567438E9</v>
      </c>
    </row>
    <row r="1788">
      <c r="A1788" s="4" t="s">
        <v>10</v>
      </c>
      <c r="B1788" s="5">
        <v>44232.0</v>
      </c>
      <c r="C1788" s="6">
        <v>56.24</v>
      </c>
      <c r="D1788" s="13">
        <f>+0.48</f>
        <v>0.48</v>
      </c>
      <c r="E1788" s="14">
        <f>+0.86%</f>
        <v>0.0086</v>
      </c>
      <c r="F1788" s="6">
        <v>56.01</v>
      </c>
      <c r="G1788" s="6">
        <v>55.8</v>
      </c>
      <c r="H1788" s="6">
        <v>56.26</v>
      </c>
      <c r="I1788" s="9">
        <v>2.4242258E7</v>
      </c>
      <c r="J1788" s="6">
        <v>1.35994333619E9</v>
      </c>
    </row>
    <row r="1789">
      <c r="A1789" s="4" t="s">
        <v>10</v>
      </c>
      <c r="B1789" s="5">
        <v>44235.0</v>
      </c>
      <c r="C1789" s="6">
        <v>56.34</v>
      </c>
      <c r="D1789" s="13">
        <f>+0.1</f>
        <v>0.1</v>
      </c>
      <c r="E1789" s="14">
        <f>+0.18%</f>
        <v>0.0018</v>
      </c>
      <c r="F1789" s="6">
        <v>56.04</v>
      </c>
      <c r="G1789" s="6">
        <v>56.03</v>
      </c>
      <c r="H1789" s="6">
        <v>56.44</v>
      </c>
      <c r="I1789" s="9">
        <v>2.1606011E7</v>
      </c>
      <c r="J1789" s="6">
        <v>1.21629234771E9</v>
      </c>
    </row>
    <row r="1790">
      <c r="A1790" s="4" t="s">
        <v>10</v>
      </c>
      <c r="B1790" s="5">
        <v>44236.0</v>
      </c>
      <c r="C1790" s="6">
        <v>56.94</v>
      </c>
      <c r="D1790" s="13">
        <f>+0.6</f>
        <v>0.6</v>
      </c>
      <c r="E1790" s="14">
        <f>+1.06%</f>
        <v>0.0106</v>
      </c>
      <c r="F1790" s="6">
        <v>56.35</v>
      </c>
      <c r="G1790" s="6">
        <v>56.34</v>
      </c>
      <c r="H1790" s="6">
        <v>56.99</v>
      </c>
      <c r="I1790" s="9">
        <v>2.7200068E7</v>
      </c>
      <c r="J1790" s="6">
        <v>1.54466700693E9</v>
      </c>
    </row>
    <row r="1791">
      <c r="A1791" s="4" t="s">
        <v>10</v>
      </c>
      <c r="B1791" s="5">
        <v>44237.0</v>
      </c>
      <c r="C1791" s="6">
        <v>57.14</v>
      </c>
      <c r="D1791" s="13">
        <f>+0.2</f>
        <v>0.2</v>
      </c>
      <c r="E1791" s="14">
        <f>+0.35%</f>
        <v>0.0035</v>
      </c>
      <c r="F1791" s="6">
        <v>57.45</v>
      </c>
      <c r="G1791" s="6">
        <v>56.8</v>
      </c>
      <c r="H1791" s="6">
        <v>57.53</v>
      </c>
      <c r="I1791" s="9">
        <v>3.0531214E7</v>
      </c>
      <c r="J1791" s="6">
        <v>1.74469934508E9</v>
      </c>
    </row>
    <row r="1792">
      <c r="A1792" s="4" t="s">
        <v>10</v>
      </c>
      <c r="B1792" s="5">
        <v>44238.0</v>
      </c>
      <c r="C1792" s="6">
        <v>57.75</v>
      </c>
      <c r="D1792" s="13">
        <f>+0.61</f>
        <v>0.61</v>
      </c>
      <c r="E1792" s="14">
        <f>+1.07%</f>
        <v>0.0107</v>
      </c>
      <c r="F1792" s="6">
        <v>57.65</v>
      </c>
      <c r="G1792" s="6">
        <v>57.54</v>
      </c>
      <c r="H1792" s="6">
        <v>58.0</v>
      </c>
      <c r="I1792" s="9">
        <v>4.8874971E7</v>
      </c>
      <c r="J1792" s="6">
        <v>2.82289926598E9</v>
      </c>
    </row>
    <row r="1793">
      <c r="A1793" s="4" t="s">
        <v>10</v>
      </c>
      <c r="B1793" s="5">
        <v>44239.0</v>
      </c>
      <c r="C1793" s="6">
        <v>57.8</v>
      </c>
      <c r="D1793" s="13">
        <f>+0.05</f>
        <v>0.05</v>
      </c>
      <c r="E1793" s="14">
        <f>+0.09%</f>
        <v>0.0009</v>
      </c>
      <c r="F1793" s="6">
        <v>57.5</v>
      </c>
      <c r="G1793" s="6">
        <v>57.41</v>
      </c>
      <c r="H1793" s="6">
        <v>57.97</v>
      </c>
      <c r="I1793" s="9">
        <v>2.8400384E7</v>
      </c>
      <c r="J1793" s="6">
        <v>1.64042975564E9</v>
      </c>
    </row>
    <row r="1794">
      <c r="A1794" s="4" t="s">
        <v>10</v>
      </c>
      <c r="B1794" s="5">
        <v>44243.0</v>
      </c>
      <c r="C1794" s="6">
        <v>57.94</v>
      </c>
      <c r="D1794" s="13">
        <f>+0.14</f>
        <v>0.14</v>
      </c>
      <c r="E1794" s="14">
        <f>+0.24%</f>
        <v>0.0024</v>
      </c>
      <c r="F1794" s="6">
        <v>58.13</v>
      </c>
      <c r="G1794" s="6">
        <v>57.79</v>
      </c>
      <c r="H1794" s="6">
        <v>58.29</v>
      </c>
      <c r="I1794" s="9">
        <v>3.4953986E7</v>
      </c>
      <c r="J1794" s="6">
        <v>2.02811206525E9</v>
      </c>
    </row>
    <row r="1795">
      <c r="A1795" s="4" t="s">
        <v>10</v>
      </c>
      <c r="B1795" s="5">
        <v>44244.0</v>
      </c>
      <c r="C1795" s="6">
        <v>57.96</v>
      </c>
      <c r="D1795" s="13">
        <f>+0.02</f>
        <v>0.02</v>
      </c>
      <c r="E1795" s="14">
        <f>+0.03%</f>
        <v>0.0003</v>
      </c>
      <c r="F1795" s="6">
        <v>57.84</v>
      </c>
      <c r="G1795" s="6">
        <v>57.55</v>
      </c>
      <c r="H1795" s="6">
        <v>58.0</v>
      </c>
      <c r="I1795" s="9">
        <v>3.7791756E7</v>
      </c>
      <c r="J1795" s="6">
        <v>2.18427450299E9</v>
      </c>
    </row>
    <row r="1796">
      <c r="A1796" s="4" t="s">
        <v>10</v>
      </c>
      <c r="B1796" s="5">
        <v>44245.0</v>
      </c>
      <c r="C1796" s="6">
        <v>57.16</v>
      </c>
      <c r="D1796" s="11">
        <v>-0.8</v>
      </c>
      <c r="E1796" s="12">
        <v>-0.0138</v>
      </c>
      <c r="F1796" s="6">
        <v>57.02</v>
      </c>
      <c r="G1796" s="6">
        <v>56.54</v>
      </c>
      <c r="H1796" s="6">
        <v>57.16</v>
      </c>
      <c r="I1796" s="9">
        <v>4.612098E7</v>
      </c>
      <c r="J1796" s="6">
        <v>2.62683913583E9</v>
      </c>
    </row>
    <row r="1797">
      <c r="A1797" s="4" t="s">
        <v>10</v>
      </c>
      <c r="B1797" s="5">
        <v>44246.0</v>
      </c>
      <c r="C1797" s="6">
        <v>57.53</v>
      </c>
      <c r="D1797" s="13">
        <f>+0.37</f>
        <v>0.37</v>
      </c>
      <c r="E1797" s="14">
        <f>+0.65%</f>
        <v>0.0065</v>
      </c>
      <c r="F1797" s="6">
        <v>57.5</v>
      </c>
      <c r="G1797" s="6">
        <v>57.34</v>
      </c>
      <c r="H1797" s="6">
        <v>57.81</v>
      </c>
      <c r="I1797" s="9">
        <v>3.9809791E7</v>
      </c>
      <c r="J1797" s="6">
        <v>2.29220688163E9</v>
      </c>
    </row>
    <row r="1798">
      <c r="A1798" s="4" t="s">
        <v>10</v>
      </c>
      <c r="B1798" s="5">
        <v>44249.0</v>
      </c>
      <c r="C1798" s="6">
        <v>55.84</v>
      </c>
      <c r="D1798" s="11">
        <v>-1.69</v>
      </c>
      <c r="E1798" s="12">
        <v>-0.0294</v>
      </c>
      <c r="F1798" s="6">
        <v>56.0</v>
      </c>
      <c r="G1798" s="6">
        <v>55.78</v>
      </c>
      <c r="H1798" s="6">
        <v>56.37</v>
      </c>
      <c r="I1798" s="9">
        <v>4.6925479E7</v>
      </c>
      <c r="J1798" s="6">
        <v>2.63076060239E9</v>
      </c>
    </row>
    <row r="1799">
      <c r="A1799" s="4" t="s">
        <v>10</v>
      </c>
      <c r="B1799" s="5">
        <v>44250.0</v>
      </c>
      <c r="C1799" s="6">
        <v>56.09</v>
      </c>
      <c r="D1799" s="13">
        <f>+0.25</f>
        <v>0.25</v>
      </c>
      <c r="E1799" s="14">
        <f>+0.45%</f>
        <v>0.0045</v>
      </c>
      <c r="F1799" s="6">
        <v>55.48</v>
      </c>
      <c r="G1799" s="6">
        <v>54.79</v>
      </c>
      <c r="H1799" s="6">
        <v>56.28</v>
      </c>
      <c r="I1799" s="9">
        <v>4.0316191E7</v>
      </c>
      <c r="J1799" s="6">
        <v>2.24297261233E9</v>
      </c>
    </row>
    <row r="1800">
      <c r="A1800" s="4" t="s">
        <v>10</v>
      </c>
      <c r="B1800" s="5">
        <v>44251.0</v>
      </c>
      <c r="C1800" s="6">
        <v>55.73</v>
      </c>
      <c r="D1800" s="11">
        <v>-0.36</v>
      </c>
      <c r="E1800" s="12">
        <v>-0.0064</v>
      </c>
      <c r="F1800" s="6">
        <v>55.16</v>
      </c>
      <c r="G1800" s="6">
        <v>54.82</v>
      </c>
      <c r="H1800" s="6">
        <v>55.75</v>
      </c>
      <c r="I1800" s="9">
        <v>3.6631306E7</v>
      </c>
      <c r="J1800" s="6">
        <v>2.02766316363E9</v>
      </c>
    </row>
    <row r="1801">
      <c r="A1801" s="4" t="s">
        <v>10</v>
      </c>
      <c r="B1801" s="5">
        <v>44252.0</v>
      </c>
      <c r="C1801" s="6">
        <v>54.46</v>
      </c>
      <c r="D1801" s="11">
        <v>-1.27</v>
      </c>
      <c r="E1801" s="12">
        <v>-0.0228</v>
      </c>
      <c r="F1801" s="6">
        <v>55.76</v>
      </c>
      <c r="G1801" s="6">
        <v>54.38</v>
      </c>
      <c r="H1801" s="6">
        <v>55.9</v>
      </c>
      <c r="I1801" s="9">
        <v>5.0895176E7</v>
      </c>
      <c r="J1801" s="6">
        <v>2.79782334226E9</v>
      </c>
    </row>
    <row r="1802">
      <c r="A1802" s="4" t="s">
        <v>10</v>
      </c>
      <c r="B1802" s="5">
        <v>44253.0</v>
      </c>
      <c r="C1802" s="6">
        <v>53.73</v>
      </c>
      <c r="D1802" s="11">
        <v>-0.73</v>
      </c>
      <c r="E1802" s="12">
        <v>-0.0134</v>
      </c>
      <c r="F1802" s="6">
        <v>54.11</v>
      </c>
      <c r="G1802" s="6">
        <v>53.39</v>
      </c>
      <c r="H1802" s="6">
        <v>54.15</v>
      </c>
      <c r="I1802" s="9">
        <v>6.8933553E7</v>
      </c>
      <c r="J1802" s="6">
        <v>3.70889439534E9</v>
      </c>
    </row>
    <row r="1803">
      <c r="A1803" s="4" t="s">
        <v>10</v>
      </c>
      <c r="B1803" s="5">
        <v>44256.0</v>
      </c>
      <c r="C1803" s="6">
        <v>55.17</v>
      </c>
      <c r="D1803" s="13">
        <f>+1.44</f>
        <v>1.44</v>
      </c>
      <c r="E1803" s="14">
        <f>+2.68%</f>
        <v>0.0268</v>
      </c>
      <c r="F1803" s="6">
        <v>54.82</v>
      </c>
      <c r="G1803" s="6">
        <v>54.7</v>
      </c>
      <c r="H1803" s="6">
        <v>55.33</v>
      </c>
      <c r="I1803" s="9">
        <v>5.342469E7</v>
      </c>
      <c r="J1803" s="6">
        <v>2.94414331224E9</v>
      </c>
    </row>
    <row r="1804">
      <c r="A1804" s="4" t="s">
        <v>10</v>
      </c>
      <c r="B1804" s="5">
        <v>44257.0</v>
      </c>
      <c r="C1804" s="6">
        <v>54.63</v>
      </c>
      <c r="D1804" s="11">
        <v>-0.54</v>
      </c>
      <c r="E1804" s="12">
        <v>-0.0098</v>
      </c>
      <c r="F1804" s="6">
        <v>54.87</v>
      </c>
      <c r="G1804" s="6">
        <v>54.46</v>
      </c>
      <c r="H1804" s="6">
        <v>54.91</v>
      </c>
      <c r="I1804" s="9">
        <v>3.8533934E7</v>
      </c>
      <c r="J1804" s="6">
        <v>2.10865824438E9</v>
      </c>
    </row>
    <row r="1805">
      <c r="A1805" s="4" t="s">
        <v>10</v>
      </c>
      <c r="B1805" s="5">
        <v>44258.0</v>
      </c>
      <c r="C1805" s="6">
        <v>54.52</v>
      </c>
      <c r="D1805" s="11">
        <v>-0.11</v>
      </c>
      <c r="E1805" s="12">
        <v>-0.002</v>
      </c>
      <c r="F1805" s="6">
        <v>55.04</v>
      </c>
      <c r="G1805" s="6">
        <v>54.32</v>
      </c>
      <c r="H1805" s="6">
        <v>55.18</v>
      </c>
      <c r="I1805" s="9">
        <v>4.3013591E7</v>
      </c>
      <c r="J1805" s="6">
        <v>2.35422225965E9</v>
      </c>
    </row>
    <row r="1806">
      <c r="A1806" s="4" t="s">
        <v>10</v>
      </c>
      <c r="B1806" s="5">
        <v>44259.0</v>
      </c>
      <c r="C1806" s="6">
        <v>53.25</v>
      </c>
      <c r="D1806" s="11">
        <v>-1.27</v>
      </c>
      <c r="E1806" s="12">
        <v>-0.0233</v>
      </c>
      <c r="F1806" s="6">
        <v>54.3</v>
      </c>
      <c r="G1806" s="6">
        <v>52.97</v>
      </c>
      <c r="H1806" s="6">
        <v>54.55</v>
      </c>
      <c r="I1806" s="9">
        <v>7.0653833E7</v>
      </c>
      <c r="J1806" s="6">
        <v>3.79445803716E9</v>
      </c>
    </row>
    <row r="1807">
      <c r="A1807" s="4" t="s">
        <v>10</v>
      </c>
      <c r="B1807" s="5">
        <v>44260.0</v>
      </c>
      <c r="C1807" s="6">
        <v>53.83</v>
      </c>
      <c r="D1807" s="13">
        <f>+0.58</f>
        <v>0.58</v>
      </c>
      <c r="E1807" s="14">
        <f>+1.09%</f>
        <v>0.0109</v>
      </c>
      <c r="F1807" s="6">
        <v>54.01</v>
      </c>
      <c r="G1807" s="6">
        <v>52.8</v>
      </c>
      <c r="H1807" s="6">
        <v>54.03</v>
      </c>
      <c r="I1807" s="9">
        <v>6.401845E7</v>
      </c>
      <c r="J1807" s="6">
        <v>3.42457696691E9</v>
      </c>
    </row>
    <row r="1808">
      <c r="A1808" s="4" t="s">
        <v>10</v>
      </c>
      <c r="B1808" s="5">
        <v>44263.0</v>
      </c>
      <c r="C1808" s="6">
        <v>52.38</v>
      </c>
      <c r="D1808" s="11">
        <v>-1.45</v>
      </c>
      <c r="E1808" s="12">
        <v>-0.0269</v>
      </c>
      <c r="F1808" s="6">
        <v>52.88</v>
      </c>
      <c r="G1808" s="6">
        <v>52.25</v>
      </c>
      <c r="H1808" s="6">
        <v>53.03</v>
      </c>
      <c r="I1808" s="9">
        <v>5.4120608E7</v>
      </c>
      <c r="J1808" s="6">
        <v>2.84810730104E9</v>
      </c>
    </row>
    <row r="1809">
      <c r="A1809" s="4" t="s">
        <v>10</v>
      </c>
      <c r="B1809" s="5">
        <v>44264.0</v>
      </c>
      <c r="C1809" s="6">
        <v>53.53</v>
      </c>
      <c r="D1809" s="13">
        <f>+1.15</f>
        <v>1.15</v>
      </c>
      <c r="E1809" s="14">
        <f>+2.2%</f>
        <v>0.022</v>
      </c>
      <c r="F1809" s="6">
        <v>53.15</v>
      </c>
      <c r="G1809" s="6">
        <v>53.08</v>
      </c>
      <c r="H1809" s="6">
        <v>53.83</v>
      </c>
      <c r="I1809" s="9">
        <v>4.245008E7</v>
      </c>
      <c r="J1809" s="6">
        <v>2.27107491298E9</v>
      </c>
    </row>
    <row r="1810">
      <c r="A1810" s="4" t="s">
        <v>10</v>
      </c>
      <c r="B1810" s="5">
        <v>44265.0</v>
      </c>
      <c r="C1810" s="6">
        <v>53.29</v>
      </c>
      <c r="D1810" s="11">
        <v>-0.24</v>
      </c>
      <c r="E1810" s="12">
        <v>-0.0045</v>
      </c>
      <c r="F1810" s="6">
        <v>53.77</v>
      </c>
      <c r="G1810" s="6">
        <v>53.04</v>
      </c>
      <c r="H1810" s="6">
        <v>53.79</v>
      </c>
      <c r="I1810" s="9">
        <v>4.285387E7</v>
      </c>
      <c r="J1810" s="6">
        <v>2.28517419153E9</v>
      </c>
    </row>
    <row r="1811">
      <c r="A1811" s="4" t="s">
        <v>10</v>
      </c>
      <c r="B1811" s="5">
        <v>44266.0</v>
      </c>
      <c r="C1811" s="6">
        <v>54.97</v>
      </c>
      <c r="D1811" s="13">
        <f>+1.68</f>
        <v>1.68</v>
      </c>
      <c r="E1811" s="14">
        <f>+3.15%</f>
        <v>0.0315</v>
      </c>
      <c r="F1811" s="6">
        <v>54.51</v>
      </c>
      <c r="G1811" s="6">
        <v>54.27</v>
      </c>
      <c r="H1811" s="6">
        <v>55.04</v>
      </c>
      <c r="I1811" s="9">
        <v>5.7247152E7</v>
      </c>
      <c r="J1811" s="6">
        <v>3.13588370204E9</v>
      </c>
    </row>
    <row r="1812">
      <c r="A1812" s="4" t="s">
        <v>10</v>
      </c>
      <c r="B1812" s="5">
        <v>44267.0</v>
      </c>
      <c r="C1812" s="6">
        <v>53.99</v>
      </c>
      <c r="D1812" s="11">
        <v>-0.98</v>
      </c>
      <c r="E1812" s="12">
        <v>-0.0178</v>
      </c>
      <c r="F1812" s="6">
        <v>53.84</v>
      </c>
      <c r="G1812" s="6">
        <v>53.58</v>
      </c>
      <c r="H1812" s="6">
        <v>53.99</v>
      </c>
      <c r="I1812" s="9">
        <v>4.1559756E7</v>
      </c>
      <c r="J1812" s="6">
        <v>2.23804234887E9</v>
      </c>
    </row>
    <row r="1813">
      <c r="A1813" s="4" t="s">
        <v>10</v>
      </c>
      <c r="B1813" s="5">
        <v>44270.0</v>
      </c>
      <c r="C1813" s="6">
        <v>54.12</v>
      </c>
      <c r="D1813" s="13">
        <f>+0.13</f>
        <v>0.13</v>
      </c>
      <c r="E1813" s="14">
        <f>+0.24%</f>
        <v>0.0024</v>
      </c>
      <c r="F1813" s="6">
        <v>53.73</v>
      </c>
      <c r="G1813" s="6">
        <v>53.59</v>
      </c>
      <c r="H1813" s="6">
        <v>54.13</v>
      </c>
      <c r="I1813" s="9">
        <v>3.2448549E7</v>
      </c>
      <c r="J1813" s="6">
        <v>1.74975805562E9</v>
      </c>
    </row>
    <row r="1814">
      <c r="A1814" s="4" t="s">
        <v>10</v>
      </c>
      <c r="B1814" s="5">
        <v>44271.0</v>
      </c>
      <c r="C1814" s="6">
        <v>54.35</v>
      </c>
      <c r="D1814" s="13">
        <f>+0.23</f>
        <v>0.23</v>
      </c>
      <c r="E1814" s="14">
        <f>+0.42%</f>
        <v>0.0042</v>
      </c>
      <c r="F1814" s="6">
        <v>54.29</v>
      </c>
      <c r="G1814" s="6">
        <v>54.11</v>
      </c>
      <c r="H1814" s="6">
        <v>54.55</v>
      </c>
      <c r="I1814" s="9">
        <v>4.1261588E7</v>
      </c>
      <c r="J1814" s="6">
        <v>2.24283135451E9</v>
      </c>
    </row>
    <row r="1815">
      <c r="A1815" s="4" t="s">
        <v>10</v>
      </c>
      <c r="B1815" s="5">
        <v>44272.0</v>
      </c>
      <c r="C1815" s="6">
        <v>54.42</v>
      </c>
      <c r="D1815" s="13">
        <f>+0.07</f>
        <v>0.07</v>
      </c>
      <c r="E1815" s="14">
        <f>+0.13%</f>
        <v>0.0013</v>
      </c>
      <c r="F1815" s="6">
        <v>53.65</v>
      </c>
      <c r="G1815" s="6">
        <v>53.52</v>
      </c>
      <c r="H1815" s="6">
        <v>54.66</v>
      </c>
      <c r="I1815" s="9">
        <v>5.7032356E7</v>
      </c>
      <c r="J1815" s="6">
        <v>3.08882426016E9</v>
      </c>
    </row>
    <row r="1816">
      <c r="A1816" s="4" t="s">
        <v>10</v>
      </c>
      <c r="B1816" s="5">
        <v>44273.0</v>
      </c>
      <c r="C1816" s="6">
        <v>53.42</v>
      </c>
      <c r="D1816" s="11">
        <v>-1.0</v>
      </c>
      <c r="E1816" s="12">
        <v>-0.0184</v>
      </c>
      <c r="F1816" s="6">
        <v>53.93</v>
      </c>
      <c r="G1816" s="6">
        <v>53.39</v>
      </c>
      <c r="H1816" s="6">
        <v>54.09</v>
      </c>
      <c r="I1816" s="9">
        <v>4.9207981E7</v>
      </c>
      <c r="J1816" s="6">
        <v>2.64427716504E9</v>
      </c>
    </row>
    <row r="1817">
      <c r="A1817" s="4" t="s">
        <v>10</v>
      </c>
      <c r="B1817" s="5">
        <v>44274.0</v>
      </c>
      <c r="C1817" s="6">
        <v>54.08</v>
      </c>
      <c r="D1817" s="13">
        <f>+0.66</f>
        <v>0.66</v>
      </c>
      <c r="E1817" s="14">
        <f>+1.24%</f>
        <v>0.0124</v>
      </c>
      <c r="F1817" s="6">
        <v>53.5</v>
      </c>
      <c r="G1817" s="6">
        <v>53.33</v>
      </c>
      <c r="H1817" s="6">
        <v>54.08</v>
      </c>
      <c r="I1817" s="9">
        <v>6.0265704E7</v>
      </c>
      <c r="J1817" s="6">
        <v>3.2483752116E9</v>
      </c>
    </row>
    <row r="1818">
      <c r="A1818" s="4" t="s">
        <v>10</v>
      </c>
      <c r="B1818" s="5">
        <v>44277.0</v>
      </c>
      <c r="C1818" s="6">
        <v>53.92</v>
      </c>
      <c r="D1818" s="11">
        <v>-0.16</v>
      </c>
      <c r="E1818" s="12">
        <v>-0.003</v>
      </c>
      <c r="F1818" s="6">
        <v>53.74</v>
      </c>
      <c r="G1818" s="6">
        <v>53.55</v>
      </c>
      <c r="H1818" s="6">
        <v>54.08</v>
      </c>
      <c r="I1818" s="9">
        <v>2.48604E7</v>
      </c>
      <c r="J1818" s="6">
        <v>1.33950972692E9</v>
      </c>
    </row>
    <row r="1819">
      <c r="A1819" s="4" t="s">
        <v>10</v>
      </c>
      <c r="B1819" s="5">
        <v>44278.0</v>
      </c>
      <c r="C1819" s="6">
        <v>52.89</v>
      </c>
      <c r="D1819" s="11">
        <v>-1.03</v>
      </c>
      <c r="E1819" s="12">
        <v>-0.0191</v>
      </c>
      <c r="F1819" s="6">
        <v>53.22</v>
      </c>
      <c r="G1819" s="6">
        <v>52.86</v>
      </c>
      <c r="H1819" s="6">
        <v>53.4</v>
      </c>
      <c r="I1819" s="9">
        <v>4.0356401E7</v>
      </c>
      <c r="J1819" s="6">
        <v>2.14386706553E9</v>
      </c>
    </row>
    <row r="1820">
      <c r="A1820" s="4" t="s">
        <v>10</v>
      </c>
      <c r="B1820" s="5">
        <v>44279.0</v>
      </c>
      <c r="C1820" s="6">
        <v>51.68</v>
      </c>
      <c r="D1820" s="11">
        <v>-1.21</v>
      </c>
      <c r="E1820" s="12">
        <v>-0.0229</v>
      </c>
      <c r="F1820" s="6">
        <v>52.55</v>
      </c>
      <c r="G1820" s="6">
        <v>51.68</v>
      </c>
      <c r="H1820" s="6">
        <v>52.63</v>
      </c>
      <c r="I1820" s="9">
        <v>4.5315418E7</v>
      </c>
      <c r="J1820" s="6">
        <v>2.36491377811E9</v>
      </c>
    </row>
    <row r="1821">
      <c r="A1821" s="4" t="s">
        <v>10</v>
      </c>
      <c r="B1821" s="5">
        <v>44280.0</v>
      </c>
      <c r="C1821" s="6">
        <v>51.92</v>
      </c>
      <c r="D1821" s="13">
        <f>+0.24</f>
        <v>0.24</v>
      </c>
      <c r="E1821" s="14">
        <f>+0.46%</f>
        <v>0.0046</v>
      </c>
      <c r="F1821" s="6">
        <v>51.56</v>
      </c>
      <c r="G1821" s="6">
        <v>51.52</v>
      </c>
      <c r="H1821" s="6">
        <v>52.07</v>
      </c>
      <c r="I1821" s="9">
        <v>7.3684605E7</v>
      </c>
      <c r="J1821" s="6">
        <v>3.82198128514E9</v>
      </c>
    </row>
    <row r="1822">
      <c r="A1822" s="4" t="s">
        <v>10</v>
      </c>
      <c r="B1822" s="5">
        <v>44281.0</v>
      </c>
      <c r="C1822" s="6">
        <v>53.27</v>
      </c>
      <c r="D1822" s="13">
        <f>+1.35</f>
        <v>1.35</v>
      </c>
      <c r="E1822" s="14">
        <f>+2.6%</f>
        <v>0.026</v>
      </c>
      <c r="F1822" s="6">
        <v>52.4</v>
      </c>
      <c r="G1822" s="6">
        <v>52.16</v>
      </c>
      <c r="H1822" s="6">
        <v>53.32</v>
      </c>
      <c r="I1822" s="9">
        <v>1.42402751E8</v>
      </c>
      <c r="J1822" s="6">
        <v>7.51650846855E9</v>
      </c>
    </row>
    <row r="1823">
      <c r="A1823" s="4" t="s">
        <v>10</v>
      </c>
      <c r="B1823" s="5">
        <v>44284.0</v>
      </c>
      <c r="C1823" s="6">
        <v>52.9</v>
      </c>
      <c r="D1823" s="11">
        <v>-0.37</v>
      </c>
      <c r="E1823" s="12">
        <v>-0.0069</v>
      </c>
      <c r="F1823" s="6">
        <v>52.84</v>
      </c>
      <c r="G1823" s="6">
        <v>52.64</v>
      </c>
      <c r="H1823" s="6">
        <v>53.12</v>
      </c>
      <c r="I1823" s="9">
        <v>5.1309474E7</v>
      </c>
      <c r="J1823" s="6">
        <v>2.71194038945E9</v>
      </c>
    </row>
    <row r="1824">
      <c r="A1824" s="4" t="s">
        <v>10</v>
      </c>
      <c r="B1824" s="5">
        <v>44285.0</v>
      </c>
      <c r="C1824" s="6">
        <v>53.07</v>
      </c>
      <c r="D1824" s="13">
        <f>+0.17</f>
        <v>0.17</v>
      </c>
      <c r="E1824" s="14">
        <f>+0.32%</f>
        <v>0.0032</v>
      </c>
      <c r="F1824" s="6">
        <v>52.88</v>
      </c>
      <c r="G1824" s="6">
        <v>52.73</v>
      </c>
      <c r="H1824" s="6">
        <v>53.18</v>
      </c>
      <c r="I1824" s="9">
        <v>4.4414333E7</v>
      </c>
      <c r="J1824" s="6">
        <v>2.353752482E9</v>
      </c>
    </row>
    <row r="1825">
      <c r="A1825" s="4" t="s">
        <v>10</v>
      </c>
      <c r="B1825" s="5">
        <v>44286.0</v>
      </c>
      <c r="C1825" s="6">
        <v>53.34</v>
      </c>
      <c r="D1825" s="13">
        <f>+0.27</f>
        <v>0.27</v>
      </c>
      <c r="E1825" s="14">
        <f>+0.51%</f>
        <v>0.0051</v>
      </c>
      <c r="F1825" s="6">
        <v>53.01</v>
      </c>
      <c r="G1825" s="6">
        <v>53.01</v>
      </c>
      <c r="H1825" s="6">
        <v>53.52</v>
      </c>
      <c r="I1825" s="9">
        <v>3.8807487E7</v>
      </c>
      <c r="J1825" s="6">
        <v>2.06932599351E9</v>
      </c>
    </row>
    <row r="1826">
      <c r="A1826" s="4" t="s">
        <v>10</v>
      </c>
      <c r="B1826" s="5">
        <v>44287.0</v>
      </c>
      <c r="C1826" s="6">
        <v>53.86</v>
      </c>
      <c r="D1826" s="13">
        <f>+0.52</f>
        <v>0.52</v>
      </c>
      <c r="E1826" s="14">
        <f>+0.97%</f>
        <v>0.0097</v>
      </c>
      <c r="F1826" s="6">
        <v>54.12</v>
      </c>
      <c r="G1826" s="6">
        <v>53.81</v>
      </c>
      <c r="H1826" s="6">
        <v>54.22</v>
      </c>
      <c r="I1826" s="9">
        <v>4.4592743E7</v>
      </c>
      <c r="J1826" s="6">
        <v>2.40850716124E9</v>
      </c>
    </row>
    <row r="1827">
      <c r="A1827" s="4" t="s">
        <v>10</v>
      </c>
      <c r="B1827" s="5">
        <v>44291.0</v>
      </c>
      <c r="C1827" s="6">
        <v>54.07</v>
      </c>
      <c r="D1827" s="13">
        <f>+0.21</f>
        <v>0.21</v>
      </c>
      <c r="E1827" s="14">
        <f>+0.39%</f>
        <v>0.0039</v>
      </c>
      <c r="F1827" s="6">
        <v>54.19</v>
      </c>
      <c r="G1827" s="6">
        <v>53.95</v>
      </c>
      <c r="H1827" s="6">
        <v>54.25</v>
      </c>
      <c r="I1827" s="9">
        <v>3.0891725E7</v>
      </c>
      <c r="J1827" s="6">
        <v>1.67073385455E9</v>
      </c>
    </row>
    <row r="1828">
      <c r="A1828" s="4" t="s">
        <v>10</v>
      </c>
      <c r="B1828" s="5">
        <v>44292.0</v>
      </c>
      <c r="C1828" s="6">
        <v>54.37</v>
      </c>
      <c r="D1828" s="13">
        <f>+0.3</f>
        <v>0.3</v>
      </c>
      <c r="E1828" s="14">
        <f>+0.55%</f>
        <v>0.0055</v>
      </c>
      <c r="F1828" s="6">
        <v>54.08</v>
      </c>
      <c r="G1828" s="6">
        <v>53.96</v>
      </c>
      <c r="H1828" s="6">
        <v>54.6</v>
      </c>
      <c r="I1828" s="9">
        <v>3.1509153E7</v>
      </c>
      <c r="J1828" s="6">
        <v>1.71437700144E9</v>
      </c>
    </row>
    <row r="1829">
      <c r="A1829" s="4" t="s">
        <v>10</v>
      </c>
      <c r="B1829" s="5">
        <v>44293.0</v>
      </c>
      <c r="C1829" s="6">
        <v>53.57</v>
      </c>
      <c r="D1829" s="11">
        <v>-0.8</v>
      </c>
      <c r="E1829" s="12">
        <v>-0.0147</v>
      </c>
      <c r="F1829" s="6">
        <v>53.61</v>
      </c>
      <c r="G1829" s="6">
        <v>53.38</v>
      </c>
      <c r="H1829" s="6">
        <v>53.75</v>
      </c>
      <c r="I1829" s="9">
        <v>4.7888147E7</v>
      </c>
      <c r="J1829" s="6">
        <v>2.5642233643E9</v>
      </c>
    </row>
    <row r="1830">
      <c r="A1830" s="4" t="s">
        <v>10</v>
      </c>
      <c r="B1830" s="5">
        <v>44294.0</v>
      </c>
      <c r="C1830" s="6">
        <v>54.01</v>
      </c>
      <c r="D1830" s="13">
        <f>+0.44</f>
        <v>0.44</v>
      </c>
      <c r="E1830" s="14">
        <f>+0.82%</f>
        <v>0.0082</v>
      </c>
      <c r="F1830" s="6">
        <v>54.12</v>
      </c>
      <c r="G1830" s="6">
        <v>53.99</v>
      </c>
      <c r="H1830" s="6">
        <v>54.28</v>
      </c>
      <c r="I1830" s="9">
        <v>5.037311E7</v>
      </c>
      <c r="J1830" s="6">
        <v>2.72496258704E9</v>
      </c>
    </row>
    <row r="1831">
      <c r="A1831" s="4" t="s">
        <v>10</v>
      </c>
      <c r="B1831" s="5">
        <v>44295.0</v>
      </c>
      <c r="C1831" s="6">
        <v>53.55</v>
      </c>
      <c r="D1831" s="11">
        <v>-0.46</v>
      </c>
      <c r="E1831" s="12">
        <v>-0.0085</v>
      </c>
      <c r="F1831" s="6">
        <v>53.49</v>
      </c>
      <c r="G1831" s="6">
        <v>53.37</v>
      </c>
      <c r="H1831" s="6">
        <v>53.57</v>
      </c>
      <c r="I1831" s="9">
        <v>3.5808309E7</v>
      </c>
      <c r="J1831" s="6">
        <v>1.91539657459E9</v>
      </c>
    </row>
    <row r="1832">
      <c r="A1832" s="4" t="s">
        <v>10</v>
      </c>
      <c r="B1832" s="5">
        <v>44298.0</v>
      </c>
      <c r="C1832" s="6">
        <v>53.23</v>
      </c>
      <c r="D1832" s="11">
        <v>-0.32</v>
      </c>
      <c r="E1832" s="12">
        <v>-0.006</v>
      </c>
      <c r="F1832" s="6">
        <v>53.18</v>
      </c>
      <c r="G1832" s="6">
        <v>53.06</v>
      </c>
      <c r="H1832" s="6">
        <v>53.29</v>
      </c>
      <c r="I1832" s="9">
        <v>3.0046136E7</v>
      </c>
      <c r="J1832" s="6">
        <v>1.59716646618E9</v>
      </c>
    </row>
    <row r="1833">
      <c r="A1833" s="4" t="s">
        <v>10</v>
      </c>
      <c r="B1833" s="5">
        <v>44299.0</v>
      </c>
      <c r="C1833" s="6">
        <v>53.45</v>
      </c>
      <c r="D1833" s="13">
        <f>+0.22</f>
        <v>0.22</v>
      </c>
      <c r="E1833" s="14">
        <f>+0.41%</f>
        <v>0.0041</v>
      </c>
      <c r="F1833" s="6">
        <v>53.24</v>
      </c>
      <c r="G1833" s="6">
        <v>53.16</v>
      </c>
      <c r="H1833" s="6">
        <v>53.64</v>
      </c>
      <c r="I1833" s="9">
        <v>3.3697886E7</v>
      </c>
      <c r="J1833" s="6">
        <v>1.80178821601E9</v>
      </c>
    </row>
    <row r="1834">
      <c r="A1834" s="4" t="s">
        <v>10</v>
      </c>
      <c r="B1834" s="5">
        <v>44300.0</v>
      </c>
      <c r="C1834" s="6">
        <v>53.72</v>
      </c>
      <c r="D1834" s="13">
        <f>+0.27</f>
        <v>0.27</v>
      </c>
      <c r="E1834" s="14">
        <f>+0.51%</f>
        <v>0.0051</v>
      </c>
      <c r="F1834" s="6">
        <v>53.93</v>
      </c>
      <c r="G1834" s="6">
        <v>53.67</v>
      </c>
      <c r="H1834" s="6">
        <v>54.04</v>
      </c>
      <c r="I1834" s="9">
        <v>2.7449544E7</v>
      </c>
      <c r="J1834" s="6">
        <v>1.47802685432E9</v>
      </c>
    </row>
    <row r="1835">
      <c r="A1835" s="4" t="s">
        <v>10</v>
      </c>
      <c r="B1835" s="5">
        <v>44301.0</v>
      </c>
      <c r="C1835" s="6">
        <v>54.21</v>
      </c>
      <c r="D1835" s="13">
        <f>+0.49</f>
        <v>0.49</v>
      </c>
      <c r="E1835" s="14">
        <f>+0.91%</f>
        <v>0.0091</v>
      </c>
      <c r="F1835" s="6">
        <v>54.16</v>
      </c>
      <c r="G1835" s="6">
        <v>53.99</v>
      </c>
      <c r="H1835" s="6">
        <v>54.26</v>
      </c>
      <c r="I1835" s="9">
        <v>4.2621963E7</v>
      </c>
      <c r="J1835" s="6">
        <v>2.30832425857E9</v>
      </c>
    </row>
    <row r="1836">
      <c r="A1836" s="4" t="s">
        <v>10</v>
      </c>
      <c r="B1836" s="5">
        <v>44302.0</v>
      </c>
      <c r="C1836" s="6">
        <v>54.35</v>
      </c>
      <c r="D1836" s="13">
        <f>+0.14</f>
        <v>0.14</v>
      </c>
      <c r="E1836" s="14">
        <f>+0.26%</f>
        <v>0.0026</v>
      </c>
      <c r="F1836" s="6">
        <v>54.35</v>
      </c>
      <c r="G1836" s="6">
        <v>54.1</v>
      </c>
      <c r="H1836" s="6">
        <v>54.43</v>
      </c>
      <c r="I1836" s="9">
        <v>3.2031334E7</v>
      </c>
      <c r="J1836" s="6">
        <v>1.73990948523E9</v>
      </c>
    </row>
    <row r="1837">
      <c r="A1837" s="4" t="s">
        <v>10</v>
      </c>
      <c r="B1837" s="5">
        <v>44305.0</v>
      </c>
      <c r="C1837" s="6">
        <v>54.15</v>
      </c>
      <c r="D1837" s="11">
        <v>-0.2</v>
      </c>
      <c r="E1837" s="12">
        <v>-0.0037</v>
      </c>
      <c r="F1837" s="6">
        <v>54.24</v>
      </c>
      <c r="G1837" s="6">
        <v>53.96</v>
      </c>
      <c r="H1837" s="6">
        <v>54.34</v>
      </c>
      <c r="I1837" s="9">
        <v>3.4318551E7</v>
      </c>
      <c r="J1837" s="6">
        <v>1.85808523049E9</v>
      </c>
    </row>
    <row r="1838">
      <c r="A1838" s="4" t="s">
        <v>10</v>
      </c>
      <c r="B1838" s="5">
        <v>44306.0</v>
      </c>
      <c r="C1838" s="6">
        <v>53.71</v>
      </c>
      <c r="D1838" s="11">
        <v>-0.44</v>
      </c>
      <c r="E1838" s="12">
        <v>-0.0081</v>
      </c>
      <c r="F1838" s="6">
        <v>54.09</v>
      </c>
      <c r="G1838" s="6">
        <v>53.56</v>
      </c>
      <c r="H1838" s="6">
        <v>54.2</v>
      </c>
      <c r="I1838" s="9">
        <v>2.7732788E7</v>
      </c>
      <c r="J1838" s="6">
        <v>1.49200452085E9</v>
      </c>
    </row>
    <row r="1839">
      <c r="A1839" s="4" t="s">
        <v>10</v>
      </c>
      <c r="B1839" s="5">
        <v>44307.0</v>
      </c>
      <c r="C1839" s="6">
        <v>54.04</v>
      </c>
      <c r="D1839" s="13">
        <f>+0.33</f>
        <v>0.33</v>
      </c>
      <c r="E1839" s="14">
        <f>+0.61%</f>
        <v>0.0061</v>
      </c>
      <c r="F1839" s="6">
        <v>53.46</v>
      </c>
      <c r="G1839" s="6">
        <v>53.34</v>
      </c>
      <c r="H1839" s="6">
        <v>54.07</v>
      </c>
      <c r="I1839" s="9">
        <v>3.3407563E7</v>
      </c>
      <c r="J1839" s="6">
        <v>1.7968347441E9</v>
      </c>
    </row>
    <row r="1840">
      <c r="A1840" s="4" t="s">
        <v>10</v>
      </c>
      <c r="B1840" s="5">
        <v>44308.0</v>
      </c>
      <c r="C1840" s="6">
        <v>53.85</v>
      </c>
      <c r="D1840" s="11">
        <v>-0.19</v>
      </c>
      <c r="E1840" s="12">
        <v>-0.0035</v>
      </c>
      <c r="F1840" s="6">
        <v>54.08</v>
      </c>
      <c r="G1840" s="6">
        <v>53.68</v>
      </c>
      <c r="H1840" s="6">
        <v>54.19</v>
      </c>
      <c r="I1840" s="9">
        <v>3.9452055E7</v>
      </c>
      <c r="J1840" s="6">
        <v>2.12840994571E9</v>
      </c>
    </row>
    <row r="1841">
      <c r="A1841" s="4" t="s">
        <v>10</v>
      </c>
      <c r="B1841" s="5">
        <v>44309.0</v>
      </c>
      <c r="C1841" s="6">
        <v>54.63</v>
      </c>
      <c r="D1841" s="13">
        <f>+0.78</f>
        <v>0.78</v>
      </c>
      <c r="E1841" s="14">
        <f>+1.45%</f>
        <v>0.0145</v>
      </c>
      <c r="F1841" s="6">
        <v>54.38</v>
      </c>
      <c r="G1841" s="6">
        <v>54.34</v>
      </c>
      <c r="H1841" s="6">
        <v>54.69</v>
      </c>
      <c r="I1841" s="9">
        <v>2.7062929E7</v>
      </c>
      <c r="J1841" s="6">
        <v>1.47634259432E9</v>
      </c>
    </row>
    <row r="1842">
      <c r="A1842" s="4" t="s">
        <v>10</v>
      </c>
      <c r="B1842" s="5">
        <v>44312.0</v>
      </c>
      <c r="C1842" s="6">
        <v>54.7</v>
      </c>
      <c r="D1842" s="13">
        <f>+0.07</f>
        <v>0.07</v>
      </c>
      <c r="E1842" s="14">
        <f>+0.13%</f>
        <v>0.0013</v>
      </c>
      <c r="F1842" s="6">
        <v>54.54</v>
      </c>
      <c r="G1842" s="6">
        <v>54.43</v>
      </c>
      <c r="H1842" s="6">
        <v>54.75</v>
      </c>
      <c r="I1842" s="9">
        <v>2.6805179E7</v>
      </c>
      <c r="J1842" s="6">
        <v>1.4636138974E9</v>
      </c>
    </row>
    <row r="1843">
      <c r="A1843" s="4" t="s">
        <v>10</v>
      </c>
      <c r="B1843" s="5">
        <v>44313.0</v>
      </c>
      <c r="C1843" s="6">
        <v>54.67</v>
      </c>
      <c r="D1843" s="11">
        <v>-0.03</v>
      </c>
      <c r="E1843" s="12">
        <v>-5.0E-4</v>
      </c>
      <c r="F1843" s="6">
        <v>54.69</v>
      </c>
      <c r="G1843" s="6">
        <v>54.58</v>
      </c>
      <c r="H1843" s="6">
        <v>54.84</v>
      </c>
      <c r="I1843" s="9">
        <v>2.5563387E7</v>
      </c>
      <c r="J1843" s="6">
        <v>1.39833950453E9</v>
      </c>
    </row>
    <row r="1844">
      <c r="A1844" s="4" t="s">
        <v>10</v>
      </c>
      <c r="B1844" s="5">
        <v>44314.0</v>
      </c>
      <c r="C1844" s="6">
        <v>55.08</v>
      </c>
      <c r="D1844" s="13">
        <f>+0.41</f>
        <v>0.41</v>
      </c>
      <c r="E1844" s="14">
        <f>+0.75%</f>
        <v>0.0075</v>
      </c>
      <c r="F1844" s="6">
        <v>54.93</v>
      </c>
      <c r="G1844" s="6">
        <v>54.76</v>
      </c>
      <c r="H1844" s="6">
        <v>55.34</v>
      </c>
      <c r="I1844" s="9">
        <v>3.7380977E7</v>
      </c>
      <c r="J1844" s="6">
        <v>2.0592318596E9</v>
      </c>
    </row>
    <row r="1845">
      <c r="A1845" s="4" t="s">
        <v>10</v>
      </c>
      <c r="B1845" s="5">
        <v>44315.0</v>
      </c>
      <c r="C1845" s="6">
        <v>54.95</v>
      </c>
      <c r="D1845" s="11">
        <v>-0.13</v>
      </c>
      <c r="E1845" s="12">
        <v>-0.0024</v>
      </c>
      <c r="F1845" s="6">
        <v>55.26</v>
      </c>
      <c r="G1845" s="6">
        <v>54.5</v>
      </c>
      <c r="H1845" s="6">
        <v>55.27</v>
      </c>
      <c r="I1845" s="9">
        <v>3.6617095E7</v>
      </c>
      <c r="J1845" s="6">
        <v>2.00682270574E9</v>
      </c>
    </row>
    <row r="1846">
      <c r="A1846" s="4" t="s">
        <v>10</v>
      </c>
      <c r="B1846" s="5">
        <v>44316.0</v>
      </c>
      <c r="C1846" s="6">
        <v>53.98</v>
      </c>
      <c r="D1846" s="11">
        <v>-0.97</v>
      </c>
      <c r="E1846" s="12">
        <v>-0.0177</v>
      </c>
      <c r="F1846" s="6">
        <v>54.27</v>
      </c>
      <c r="G1846" s="6">
        <v>53.85</v>
      </c>
      <c r="H1846" s="6">
        <v>54.37</v>
      </c>
      <c r="I1846" s="9">
        <v>4.6299932E7</v>
      </c>
      <c r="J1846" s="6">
        <v>2.5031036471E9</v>
      </c>
    </row>
    <row r="1847">
      <c r="A1847" s="4" t="s">
        <v>10</v>
      </c>
      <c r="B1847" s="5">
        <v>44319.0</v>
      </c>
      <c r="C1847" s="6">
        <v>53.98</v>
      </c>
      <c r="D1847" s="11">
        <v>0.0</v>
      </c>
      <c r="E1847" s="12">
        <v>0.0</v>
      </c>
      <c r="F1847" s="6">
        <v>53.94</v>
      </c>
      <c r="G1847" s="6">
        <v>53.76</v>
      </c>
      <c r="H1847" s="6">
        <v>54.23</v>
      </c>
      <c r="I1847" s="9">
        <v>2.0627952E7</v>
      </c>
      <c r="J1847" s="6">
        <v>1.1136503613E9</v>
      </c>
    </row>
    <row r="1848">
      <c r="A1848" s="4" t="s">
        <v>10</v>
      </c>
      <c r="B1848" s="5">
        <v>44320.0</v>
      </c>
      <c r="C1848" s="6">
        <v>53.37</v>
      </c>
      <c r="D1848" s="11">
        <v>-0.61</v>
      </c>
      <c r="E1848" s="12">
        <v>-0.0113</v>
      </c>
      <c r="F1848" s="6">
        <v>53.58</v>
      </c>
      <c r="G1848" s="6">
        <v>52.98</v>
      </c>
      <c r="H1848" s="6">
        <v>53.66</v>
      </c>
      <c r="I1848" s="9">
        <v>3.8634821E7</v>
      </c>
      <c r="J1848" s="6">
        <v>2.05831337384E9</v>
      </c>
    </row>
    <row r="1849">
      <c r="A1849" s="4" t="s">
        <v>10</v>
      </c>
      <c r="B1849" s="5">
        <v>44321.0</v>
      </c>
      <c r="C1849" s="6">
        <v>53.62</v>
      </c>
      <c r="D1849" s="13">
        <f>+0.25</f>
        <v>0.25</v>
      </c>
      <c r="E1849" s="14">
        <f>+0.47%</f>
        <v>0.0047</v>
      </c>
      <c r="F1849" s="6">
        <v>53.63</v>
      </c>
      <c r="G1849" s="6">
        <v>53.46</v>
      </c>
      <c r="H1849" s="6">
        <v>53.8</v>
      </c>
      <c r="I1849" s="9">
        <v>2.6062877E7</v>
      </c>
      <c r="J1849" s="6">
        <v>1.39900433229E9</v>
      </c>
    </row>
    <row r="1850">
      <c r="A1850" s="4" t="s">
        <v>10</v>
      </c>
      <c r="B1850" s="5">
        <v>44322.0</v>
      </c>
      <c r="C1850" s="6">
        <v>54.13</v>
      </c>
      <c r="D1850" s="13">
        <f>+0.51</f>
        <v>0.51</v>
      </c>
      <c r="E1850" s="14">
        <f>+0.95%</f>
        <v>0.0095</v>
      </c>
      <c r="F1850" s="6">
        <v>53.9</v>
      </c>
      <c r="G1850" s="6">
        <v>53.73</v>
      </c>
      <c r="H1850" s="6">
        <v>54.16</v>
      </c>
      <c r="I1850" s="9">
        <v>2.9454308E7</v>
      </c>
      <c r="J1850" s="6">
        <v>1.59027870834E9</v>
      </c>
    </row>
    <row r="1851">
      <c r="A1851" s="4" t="s">
        <v>10</v>
      </c>
      <c r="B1851" s="5">
        <v>44323.0</v>
      </c>
      <c r="C1851" s="6">
        <v>54.69</v>
      </c>
      <c r="D1851" s="13">
        <f>+0.56</f>
        <v>0.56</v>
      </c>
      <c r="E1851" s="14">
        <f>+1.03%</f>
        <v>0.0103</v>
      </c>
      <c r="F1851" s="6">
        <v>54.46</v>
      </c>
      <c r="G1851" s="6">
        <v>54.39</v>
      </c>
      <c r="H1851" s="6">
        <v>54.93</v>
      </c>
      <c r="I1851" s="9">
        <v>4.1590553E7</v>
      </c>
      <c r="J1851" s="6">
        <v>2.27609102792E9</v>
      </c>
    </row>
    <row r="1852">
      <c r="A1852" s="4" t="s">
        <v>10</v>
      </c>
      <c r="B1852" s="5">
        <v>44326.0</v>
      </c>
      <c r="C1852" s="6">
        <v>53.71</v>
      </c>
      <c r="D1852" s="11">
        <v>-0.98</v>
      </c>
      <c r="E1852" s="12">
        <v>-0.0179</v>
      </c>
      <c r="F1852" s="6">
        <v>54.47</v>
      </c>
      <c r="G1852" s="6">
        <v>53.66</v>
      </c>
      <c r="H1852" s="6">
        <v>54.49</v>
      </c>
      <c r="I1852" s="9">
        <v>4.0686941E7</v>
      </c>
      <c r="J1852" s="6">
        <v>2.1935466405E9</v>
      </c>
    </row>
    <row r="1853">
      <c r="A1853" s="4" t="s">
        <v>10</v>
      </c>
      <c r="B1853" s="5">
        <v>44327.0</v>
      </c>
      <c r="C1853" s="6">
        <v>53.56</v>
      </c>
      <c r="D1853" s="11">
        <v>-0.15</v>
      </c>
      <c r="E1853" s="12">
        <v>-0.0028</v>
      </c>
      <c r="F1853" s="6">
        <v>52.7</v>
      </c>
      <c r="G1853" s="6">
        <v>52.66</v>
      </c>
      <c r="H1853" s="6">
        <v>53.58</v>
      </c>
      <c r="I1853" s="9">
        <v>3.7374271E7</v>
      </c>
      <c r="J1853" s="6">
        <v>1.99029935228E9</v>
      </c>
    </row>
    <row r="1854">
      <c r="A1854" s="4" t="s">
        <v>10</v>
      </c>
      <c r="B1854" s="5">
        <v>44328.0</v>
      </c>
      <c r="C1854" s="6">
        <v>52.08</v>
      </c>
      <c r="D1854" s="11">
        <v>-1.48</v>
      </c>
      <c r="E1854" s="12">
        <v>-0.0276</v>
      </c>
      <c r="F1854" s="6">
        <v>52.68</v>
      </c>
      <c r="G1854" s="6">
        <v>52.01</v>
      </c>
      <c r="H1854" s="6">
        <v>52.91</v>
      </c>
      <c r="I1854" s="9">
        <v>5.3632887E7</v>
      </c>
      <c r="J1854" s="6">
        <v>2.80835583772E9</v>
      </c>
    </row>
    <row r="1855">
      <c r="A1855" s="4" t="s">
        <v>10</v>
      </c>
      <c r="B1855" s="5">
        <v>44329.0</v>
      </c>
      <c r="C1855" s="6">
        <v>52.01</v>
      </c>
      <c r="D1855" s="11">
        <v>-0.07</v>
      </c>
      <c r="E1855" s="12">
        <v>-0.0013</v>
      </c>
      <c r="F1855" s="6">
        <v>52.24</v>
      </c>
      <c r="G1855" s="6">
        <v>51.74</v>
      </c>
      <c r="H1855" s="6">
        <v>52.51</v>
      </c>
      <c r="I1855" s="9">
        <v>4.29355E7</v>
      </c>
      <c r="J1855" s="6">
        <v>2.23850513334E9</v>
      </c>
    </row>
    <row r="1856">
      <c r="A1856" s="4" t="s">
        <v>10</v>
      </c>
      <c r="B1856" s="5">
        <v>44330.0</v>
      </c>
      <c r="C1856" s="6">
        <v>52.95</v>
      </c>
      <c r="D1856" s="13">
        <f>+0.94</f>
        <v>0.94</v>
      </c>
      <c r="E1856" s="14">
        <f>+1.81%</f>
        <v>0.0181</v>
      </c>
      <c r="F1856" s="6">
        <v>52.61</v>
      </c>
      <c r="G1856" s="6">
        <v>52.48</v>
      </c>
      <c r="H1856" s="6">
        <v>53.04</v>
      </c>
      <c r="I1856" s="9">
        <v>4.0362997E7</v>
      </c>
      <c r="J1856" s="6">
        <v>2.13230700877E9</v>
      </c>
    </row>
    <row r="1857">
      <c r="A1857" s="4" t="s">
        <v>10</v>
      </c>
      <c r="B1857" s="5">
        <v>44333.0</v>
      </c>
      <c r="C1857" s="6">
        <v>52.9</v>
      </c>
      <c r="D1857" s="11">
        <v>-0.05</v>
      </c>
      <c r="E1857" s="12">
        <v>-9.0E-4</v>
      </c>
      <c r="F1857" s="6">
        <v>52.61</v>
      </c>
      <c r="G1857" s="6">
        <v>52.53</v>
      </c>
      <c r="H1857" s="6">
        <v>52.94</v>
      </c>
      <c r="I1857" s="9">
        <v>2.3169583E7</v>
      </c>
      <c r="J1857" s="6">
        <v>1.22352002851E9</v>
      </c>
    </row>
    <row r="1858">
      <c r="A1858" s="4" t="s">
        <v>10</v>
      </c>
      <c r="B1858" s="5">
        <v>44334.0</v>
      </c>
      <c r="C1858" s="6">
        <v>53.61</v>
      </c>
      <c r="D1858" s="13">
        <f>+0.71</f>
        <v>0.71</v>
      </c>
      <c r="E1858" s="14">
        <f>+1.34%</f>
        <v>0.0134</v>
      </c>
      <c r="F1858" s="6">
        <v>53.59</v>
      </c>
      <c r="G1858" s="6">
        <v>53.52</v>
      </c>
      <c r="H1858" s="6">
        <v>53.88</v>
      </c>
      <c r="I1858" s="9">
        <v>3.2405558E7</v>
      </c>
      <c r="J1858" s="6">
        <v>1.74064603922E9</v>
      </c>
    </row>
    <row r="1859">
      <c r="A1859" s="4" t="s">
        <v>10</v>
      </c>
      <c r="B1859" s="5">
        <v>44335.0</v>
      </c>
      <c r="C1859" s="6">
        <v>53.45</v>
      </c>
      <c r="D1859" s="11">
        <v>-0.16</v>
      </c>
      <c r="E1859" s="12">
        <v>-0.003</v>
      </c>
      <c r="F1859" s="6">
        <v>52.95</v>
      </c>
      <c r="G1859" s="6">
        <v>52.91</v>
      </c>
      <c r="H1859" s="6">
        <v>53.65</v>
      </c>
      <c r="I1859" s="9">
        <v>4.6284087E7</v>
      </c>
      <c r="J1859" s="6">
        <v>2.46931741459E9</v>
      </c>
    </row>
    <row r="1860">
      <c r="A1860" s="4" t="s">
        <v>10</v>
      </c>
      <c r="B1860" s="5">
        <v>44336.0</v>
      </c>
      <c r="C1860" s="6">
        <v>53.76</v>
      </c>
      <c r="D1860" s="13">
        <f>+0.31</f>
        <v>0.31</v>
      </c>
      <c r="E1860" s="14">
        <f>+0.58%</f>
        <v>0.0058</v>
      </c>
      <c r="F1860" s="6">
        <v>53.53</v>
      </c>
      <c r="G1860" s="6">
        <v>53.52</v>
      </c>
      <c r="H1860" s="6">
        <v>53.87</v>
      </c>
      <c r="I1860" s="9">
        <v>3.3273044E7</v>
      </c>
      <c r="J1860" s="6">
        <v>1.78777943031E9</v>
      </c>
    </row>
    <row r="1861">
      <c r="A1861" s="4" t="s">
        <v>10</v>
      </c>
      <c r="B1861" s="5">
        <v>44337.0</v>
      </c>
      <c r="C1861" s="6">
        <v>53.14</v>
      </c>
      <c r="D1861" s="11">
        <v>-0.62</v>
      </c>
      <c r="E1861" s="12">
        <v>-0.0115</v>
      </c>
      <c r="F1861" s="6">
        <v>53.74</v>
      </c>
      <c r="G1861" s="6">
        <v>53.06</v>
      </c>
      <c r="H1861" s="6">
        <v>53.74</v>
      </c>
      <c r="I1861" s="9">
        <v>3.9111023E7</v>
      </c>
      <c r="J1861" s="6">
        <v>2.08386889076E9</v>
      </c>
    </row>
    <row r="1862">
      <c r="A1862" s="4" t="s">
        <v>10</v>
      </c>
      <c r="B1862" s="5">
        <v>44340.0</v>
      </c>
      <c r="C1862" s="6">
        <v>53.58</v>
      </c>
      <c r="D1862" s="13">
        <f>+0.44</f>
        <v>0.44</v>
      </c>
      <c r="E1862" s="14">
        <f>+0.83%</f>
        <v>0.0083</v>
      </c>
      <c r="F1862" s="6">
        <v>53.39</v>
      </c>
      <c r="G1862" s="6">
        <v>53.28</v>
      </c>
      <c r="H1862" s="6">
        <v>53.71</v>
      </c>
      <c r="I1862" s="9">
        <v>2.2406817E7</v>
      </c>
      <c r="J1862" s="6">
        <v>1.20060857306E9</v>
      </c>
    </row>
    <row r="1863">
      <c r="A1863" s="4" t="s">
        <v>10</v>
      </c>
      <c r="B1863" s="5">
        <v>44341.0</v>
      </c>
      <c r="C1863" s="6">
        <v>54.11</v>
      </c>
      <c r="D1863" s="13">
        <f>+0.53</f>
        <v>0.53</v>
      </c>
      <c r="E1863" s="14">
        <f>+0.99%</f>
        <v>0.0099</v>
      </c>
      <c r="F1863" s="6">
        <v>54.27</v>
      </c>
      <c r="G1863" s="6">
        <v>54.03</v>
      </c>
      <c r="H1863" s="6">
        <v>54.36</v>
      </c>
      <c r="I1863" s="9">
        <v>4.0993676E7</v>
      </c>
      <c r="J1863" s="6">
        <v>2.22156610353E9</v>
      </c>
    </row>
    <row r="1864">
      <c r="A1864" s="4" t="s">
        <v>10</v>
      </c>
      <c r="B1864" s="5">
        <v>44342.0</v>
      </c>
      <c r="C1864" s="6">
        <v>54.51</v>
      </c>
      <c r="D1864" s="13">
        <f>+0.4</f>
        <v>0.4</v>
      </c>
      <c r="E1864" s="14">
        <f>+0.74%</f>
        <v>0.0074</v>
      </c>
      <c r="F1864" s="6">
        <v>54.32</v>
      </c>
      <c r="G1864" s="6">
        <v>54.3</v>
      </c>
      <c r="H1864" s="6">
        <v>54.57</v>
      </c>
      <c r="I1864" s="9">
        <v>2.6984837E7</v>
      </c>
      <c r="J1864" s="6">
        <v>1.46978361525E9</v>
      </c>
    </row>
    <row r="1865">
      <c r="A1865" s="4" t="s">
        <v>10</v>
      </c>
      <c r="B1865" s="5">
        <v>44343.0</v>
      </c>
      <c r="C1865" s="6">
        <v>54.52</v>
      </c>
      <c r="D1865" s="13">
        <f>+0.01</f>
        <v>0.01</v>
      </c>
      <c r="E1865" s="14">
        <f>+0.02%</f>
        <v>0.0002</v>
      </c>
      <c r="F1865" s="6">
        <v>54.56</v>
      </c>
      <c r="G1865" s="6">
        <v>54.4</v>
      </c>
      <c r="H1865" s="6">
        <v>54.67</v>
      </c>
      <c r="I1865" s="9">
        <v>3.5598902E7</v>
      </c>
      <c r="J1865" s="6">
        <v>1.94109964659E9</v>
      </c>
    </row>
    <row r="1866">
      <c r="A1866" s="4" t="s">
        <v>10</v>
      </c>
      <c r="B1866" s="5">
        <v>44344.0</v>
      </c>
      <c r="C1866" s="6">
        <v>54.87</v>
      </c>
      <c r="D1866" s="13">
        <f>+0.35</f>
        <v>0.35</v>
      </c>
      <c r="E1866" s="14">
        <f>+0.64%</f>
        <v>0.0064</v>
      </c>
      <c r="F1866" s="6">
        <v>54.66</v>
      </c>
      <c r="G1866" s="6">
        <v>54.64</v>
      </c>
      <c r="H1866" s="6">
        <v>55.0</v>
      </c>
      <c r="I1866" s="9">
        <v>4.3730268E7</v>
      </c>
      <c r="J1866" s="6">
        <v>2.40035744757E9</v>
      </c>
    </row>
    <row r="1867">
      <c r="A1867" s="4" t="s">
        <v>10</v>
      </c>
      <c r="B1867" s="5">
        <v>44348.0</v>
      </c>
      <c r="C1867" s="6">
        <v>56.0</v>
      </c>
      <c r="D1867" s="13">
        <f>+1.13</f>
        <v>1.13</v>
      </c>
      <c r="E1867" s="14">
        <f>+2.06%</f>
        <v>0.0206</v>
      </c>
      <c r="F1867" s="6">
        <v>56.14</v>
      </c>
      <c r="G1867" s="6">
        <v>55.82</v>
      </c>
      <c r="H1867" s="6">
        <v>56.18</v>
      </c>
      <c r="I1867" s="9">
        <v>4.1656081E7</v>
      </c>
      <c r="J1867" s="6">
        <v>2.33266397234E9</v>
      </c>
    </row>
    <row r="1868">
      <c r="A1868" s="4" t="s">
        <v>10</v>
      </c>
      <c r="B1868" s="5">
        <v>44349.0</v>
      </c>
      <c r="C1868" s="6">
        <v>56.09</v>
      </c>
      <c r="D1868" s="13">
        <f>+0.09</f>
        <v>0.09</v>
      </c>
      <c r="E1868" s="14">
        <f>+0.16%</f>
        <v>0.0016</v>
      </c>
      <c r="F1868" s="6">
        <v>55.92</v>
      </c>
      <c r="G1868" s="6">
        <v>55.77</v>
      </c>
      <c r="H1868" s="6">
        <v>56.13</v>
      </c>
      <c r="I1868" s="9">
        <v>2.4532458E7</v>
      </c>
      <c r="J1868" s="6">
        <v>1.37441216967E9</v>
      </c>
    </row>
    <row r="1869">
      <c r="A1869" s="4" t="s">
        <v>10</v>
      </c>
      <c r="B1869" s="5">
        <v>44350.0</v>
      </c>
      <c r="C1869" s="6">
        <v>55.49</v>
      </c>
      <c r="D1869" s="11">
        <v>-0.6</v>
      </c>
      <c r="E1869" s="12">
        <v>-0.0107</v>
      </c>
      <c r="F1869" s="6">
        <v>55.51</v>
      </c>
      <c r="G1869" s="6">
        <v>55.34</v>
      </c>
      <c r="H1869" s="6">
        <v>55.66</v>
      </c>
      <c r="I1869" s="9">
        <v>4.0790471E7</v>
      </c>
      <c r="J1869" s="6">
        <v>2.26271067938E9</v>
      </c>
    </row>
    <row r="1870">
      <c r="A1870" s="4" t="s">
        <v>10</v>
      </c>
      <c r="B1870" s="5">
        <v>44351.0</v>
      </c>
      <c r="C1870" s="6">
        <v>55.99</v>
      </c>
      <c r="D1870" s="13">
        <f>+0.5</f>
        <v>0.5</v>
      </c>
      <c r="E1870" s="14">
        <f>+0.9%</f>
        <v>0.009</v>
      </c>
      <c r="F1870" s="6">
        <v>55.88</v>
      </c>
      <c r="G1870" s="6">
        <v>55.8</v>
      </c>
      <c r="H1870" s="6">
        <v>56.03</v>
      </c>
      <c r="I1870" s="9">
        <v>2.9038051E7</v>
      </c>
      <c r="J1870" s="6">
        <v>1.6241349903E9</v>
      </c>
    </row>
    <row r="1871">
      <c r="A1871" s="4" t="s">
        <v>10</v>
      </c>
      <c r="B1871" s="5">
        <v>44354.0</v>
      </c>
      <c r="C1871" s="6">
        <v>55.71</v>
      </c>
      <c r="D1871" s="11">
        <v>-0.28</v>
      </c>
      <c r="E1871" s="12">
        <v>-0.005</v>
      </c>
      <c r="F1871" s="6">
        <v>55.71</v>
      </c>
      <c r="G1871" s="6">
        <v>55.46</v>
      </c>
      <c r="H1871" s="6">
        <v>55.74</v>
      </c>
      <c r="I1871" s="9">
        <v>2.4830478E7</v>
      </c>
      <c r="J1871" s="6">
        <v>1.38085036256E9</v>
      </c>
    </row>
    <row r="1872">
      <c r="A1872" s="4" t="s">
        <v>10</v>
      </c>
      <c r="B1872" s="5">
        <v>44355.0</v>
      </c>
      <c r="C1872" s="6">
        <v>55.44</v>
      </c>
      <c r="D1872" s="11">
        <v>-0.27</v>
      </c>
      <c r="E1872" s="12">
        <v>-0.0048</v>
      </c>
      <c r="F1872" s="6">
        <v>55.52</v>
      </c>
      <c r="G1872" s="6">
        <v>55.26</v>
      </c>
      <c r="H1872" s="6">
        <v>55.55</v>
      </c>
      <c r="I1872" s="9">
        <v>3.8113845E7</v>
      </c>
      <c r="J1872" s="6">
        <v>2.11109817089E9</v>
      </c>
    </row>
    <row r="1873">
      <c r="A1873" s="4" t="s">
        <v>10</v>
      </c>
      <c r="B1873" s="5">
        <v>44356.0</v>
      </c>
      <c r="C1873" s="6">
        <v>55.28</v>
      </c>
      <c r="D1873" s="11">
        <v>-0.16</v>
      </c>
      <c r="E1873" s="12">
        <v>-0.0029</v>
      </c>
      <c r="F1873" s="6">
        <v>55.38</v>
      </c>
      <c r="G1873" s="6">
        <v>55.23</v>
      </c>
      <c r="H1873" s="6">
        <v>55.53</v>
      </c>
      <c r="I1873" s="9">
        <v>3.091692E7</v>
      </c>
      <c r="J1873" s="6">
        <v>1.71103196164E9</v>
      </c>
    </row>
    <row r="1874">
      <c r="A1874" s="4" t="s">
        <v>10</v>
      </c>
      <c r="B1874" s="5">
        <v>44357.0</v>
      </c>
      <c r="C1874" s="6">
        <v>55.48</v>
      </c>
      <c r="D1874" s="13">
        <f>+0.2</f>
        <v>0.2</v>
      </c>
      <c r="E1874" s="14">
        <f>+0.36%</f>
        <v>0.0036</v>
      </c>
      <c r="F1874" s="6">
        <v>55.24</v>
      </c>
      <c r="G1874" s="6">
        <v>55.19</v>
      </c>
      <c r="H1874" s="6">
        <v>55.56</v>
      </c>
      <c r="I1874" s="9">
        <v>2.8571087E7</v>
      </c>
      <c r="J1874" s="6">
        <v>1.58375953857E9</v>
      </c>
    </row>
    <row r="1875">
      <c r="A1875" s="4" t="s">
        <v>10</v>
      </c>
      <c r="B1875" s="5">
        <v>44358.0</v>
      </c>
      <c r="C1875" s="6">
        <v>55.29</v>
      </c>
      <c r="D1875" s="11">
        <v>-0.19</v>
      </c>
      <c r="E1875" s="12">
        <v>-0.0034</v>
      </c>
      <c r="F1875" s="6">
        <v>55.34</v>
      </c>
      <c r="G1875" s="6">
        <v>55.11</v>
      </c>
      <c r="H1875" s="6">
        <v>55.39</v>
      </c>
      <c r="I1875" s="9">
        <v>2.8375686E7</v>
      </c>
      <c r="J1875" s="6">
        <v>1.56721940643E9</v>
      </c>
    </row>
    <row r="1876">
      <c r="A1876" s="4" t="s">
        <v>10</v>
      </c>
      <c r="B1876" s="5">
        <v>44361.0</v>
      </c>
      <c r="C1876" s="6">
        <v>55.44</v>
      </c>
      <c r="D1876" s="13">
        <f>+0.15</f>
        <v>0.15</v>
      </c>
      <c r="E1876" s="14">
        <f>+0.27%</f>
        <v>0.0027</v>
      </c>
      <c r="F1876" s="6">
        <v>55.33</v>
      </c>
      <c r="G1876" s="6">
        <v>55.27</v>
      </c>
      <c r="H1876" s="6">
        <v>55.56</v>
      </c>
      <c r="I1876" s="9">
        <v>2.6421439E7</v>
      </c>
      <c r="J1876" s="6">
        <v>1.46508769231E9</v>
      </c>
    </row>
    <row r="1877">
      <c r="A1877" s="4" t="s">
        <v>10</v>
      </c>
      <c r="B1877" s="5">
        <v>44362.0</v>
      </c>
      <c r="C1877" s="6">
        <v>55.06</v>
      </c>
      <c r="D1877" s="11">
        <v>-0.38</v>
      </c>
      <c r="E1877" s="12">
        <v>-0.0069</v>
      </c>
      <c r="F1877" s="6">
        <v>55.3</v>
      </c>
      <c r="G1877" s="6">
        <v>54.94</v>
      </c>
      <c r="H1877" s="6">
        <v>55.31</v>
      </c>
      <c r="I1877" s="9">
        <v>3.4121413E7</v>
      </c>
      <c r="J1877" s="6">
        <v>1.87843125345E9</v>
      </c>
    </row>
    <row r="1878">
      <c r="A1878" s="4" t="s">
        <v>10</v>
      </c>
      <c r="B1878" s="5">
        <v>44363.0</v>
      </c>
      <c r="C1878" s="6">
        <v>54.31</v>
      </c>
      <c r="D1878" s="11">
        <v>-0.75</v>
      </c>
      <c r="E1878" s="12">
        <v>-0.0136</v>
      </c>
      <c r="F1878" s="6">
        <v>54.95</v>
      </c>
      <c r="G1878" s="6">
        <v>54.09</v>
      </c>
      <c r="H1878" s="6">
        <v>55.1</v>
      </c>
      <c r="I1878" s="9">
        <v>4.4138309E7</v>
      </c>
      <c r="J1878" s="6">
        <v>2.40877760426E9</v>
      </c>
    </row>
    <row r="1879">
      <c r="A1879" s="4" t="s">
        <v>10</v>
      </c>
      <c r="B1879" s="5">
        <v>44364.0</v>
      </c>
      <c r="C1879" s="6">
        <v>54.61</v>
      </c>
      <c r="D1879" s="13">
        <f>+0.3</f>
        <v>0.3</v>
      </c>
      <c r="E1879" s="14">
        <f>+0.55%</f>
        <v>0.0055</v>
      </c>
      <c r="F1879" s="6">
        <v>54.54</v>
      </c>
      <c r="G1879" s="6">
        <v>54.45</v>
      </c>
      <c r="H1879" s="6">
        <v>54.82</v>
      </c>
      <c r="I1879" s="9">
        <v>2.7847206E7</v>
      </c>
      <c r="J1879" s="6">
        <v>1.52190456151E9</v>
      </c>
    </row>
    <row r="1880">
      <c r="A1880" s="4" t="s">
        <v>10</v>
      </c>
      <c r="B1880" s="5">
        <v>44365.0</v>
      </c>
      <c r="C1880" s="6">
        <v>54.23</v>
      </c>
      <c r="D1880" s="11">
        <v>-0.38</v>
      </c>
      <c r="E1880" s="12">
        <v>-0.007</v>
      </c>
      <c r="F1880" s="6">
        <v>54.38</v>
      </c>
      <c r="G1880" s="6">
        <v>54.13</v>
      </c>
      <c r="H1880" s="6">
        <v>54.48</v>
      </c>
      <c r="I1880" s="9">
        <v>4.2443623E7</v>
      </c>
      <c r="J1880" s="6">
        <v>2.30310471189E9</v>
      </c>
    </row>
    <row r="1881">
      <c r="A1881" s="4" t="s">
        <v>10</v>
      </c>
      <c r="B1881" s="5">
        <v>44368.0</v>
      </c>
      <c r="C1881" s="6">
        <v>54.46</v>
      </c>
      <c r="D1881" s="13">
        <f>+0.23</f>
        <v>0.23</v>
      </c>
      <c r="E1881" s="14">
        <f>+0.42%</f>
        <v>0.0042</v>
      </c>
      <c r="F1881" s="6">
        <v>54.17</v>
      </c>
      <c r="G1881" s="6">
        <v>53.92</v>
      </c>
      <c r="H1881" s="6">
        <v>54.46</v>
      </c>
      <c r="I1881" s="9">
        <v>2.6977431E7</v>
      </c>
      <c r="J1881" s="6">
        <v>1.4653522208E9</v>
      </c>
    </row>
    <row r="1882">
      <c r="A1882" s="4" t="s">
        <v>10</v>
      </c>
      <c r="B1882" s="5">
        <v>44369.0</v>
      </c>
      <c r="C1882" s="6">
        <v>54.21</v>
      </c>
      <c r="D1882" s="11">
        <v>-0.25</v>
      </c>
      <c r="E1882" s="12">
        <v>-0.0046</v>
      </c>
      <c r="F1882" s="6">
        <v>54.0</v>
      </c>
      <c r="G1882" s="6">
        <v>53.85</v>
      </c>
      <c r="H1882" s="6">
        <v>54.26</v>
      </c>
      <c r="I1882" s="9">
        <v>3.5862643E7</v>
      </c>
      <c r="J1882" s="6">
        <v>1.93950430211E9</v>
      </c>
    </row>
    <row r="1883">
      <c r="A1883" s="4" t="s">
        <v>10</v>
      </c>
      <c r="B1883" s="5">
        <v>44370.0</v>
      </c>
      <c r="C1883" s="6">
        <v>54.54</v>
      </c>
      <c r="D1883" s="13">
        <f>+0.33</f>
        <v>0.33</v>
      </c>
      <c r="E1883" s="14">
        <f>+0.61%</f>
        <v>0.0061</v>
      </c>
      <c r="F1883" s="6">
        <v>54.6</v>
      </c>
      <c r="G1883" s="6">
        <v>54.51</v>
      </c>
      <c r="H1883" s="6">
        <v>54.9</v>
      </c>
      <c r="I1883" s="9">
        <v>2.6049154E7</v>
      </c>
      <c r="J1883" s="6">
        <v>1.42366302455E9</v>
      </c>
    </row>
    <row r="1884">
      <c r="A1884" s="4" t="s">
        <v>10</v>
      </c>
      <c r="B1884" s="5">
        <v>44371.0</v>
      </c>
      <c r="C1884" s="6">
        <v>55.04</v>
      </c>
      <c r="D1884" s="13">
        <f>+0.5</f>
        <v>0.5</v>
      </c>
      <c r="E1884" s="14">
        <f>+0.92%</f>
        <v>0.0092</v>
      </c>
      <c r="F1884" s="6">
        <v>54.86</v>
      </c>
      <c r="G1884" s="6">
        <v>54.81</v>
      </c>
      <c r="H1884" s="6">
        <v>55.09</v>
      </c>
      <c r="I1884" s="9">
        <v>2.0096394E7</v>
      </c>
      <c r="J1884" s="6">
        <v>1.10537838954E9</v>
      </c>
    </row>
    <row r="1885">
      <c r="A1885" s="4" t="s">
        <v>10</v>
      </c>
      <c r="B1885" s="5">
        <v>44372.0</v>
      </c>
      <c r="C1885" s="6">
        <v>55.5</v>
      </c>
      <c r="D1885" s="13">
        <f>+0.46</f>
        <v>0.46</v>
      </c>
      <c r="E1885" s="14">
        <f>+0.84%</f>
        <v>0.0084</v>
      </c>
      <c r="F1885" s="6">
        <v>55.52</v>
      </c>
      <c r="G1885" s="6">
        <v>55.29</v>
      </c>
      <c r="H1885" s="6">
        <v>55.59</v>
      </c>
      <c r="I1885" s="9">
        <v>2.4992355E7</v>
      </c>
      <c r="J1885" s="6">
        <v>1.38545875203E9</v>
      </c>
    </row>
    <row r="1886">
      <c r="A1886" s="4" t="s">
        <v>10</v>
      </c>
      <c r="B1886" s="5">
        <v>44375.0</v>
      </c>
      <c r="C1886" s="6">
        <v>55.55</v>
      </c>
      <c r="D1886" s="13">
        <f>+0.05</f>
        <v>0.05</v>
      </c>
      <c r="E1886" s="14">
        <f>+0.09%</f>
        <v>0.0009</v>
      </c>
      <c r="F1886" s="6">
        <v>55.48</v>
      </c>
      <c r="G1886" s="6">
        <v>55.4</v>
      </c>
      <c r="H1886" s="6">
        <v>55.62</v>
      </c>
      <c r="I1886" s="9">
        <v>2.2644853E7</v>
      </c>
      <c r="J1886" s="6">
        <v>1.25707389948E9</v>
      </c>
    </row>
    <row r="1887">
      <c r="A1887" s="4" t="s">
        <v>10</v>
      </c>
      <c r="B1887" s="5">
        <v>44376.0</v>
      </c>
      <c r="C1887" s="6">
        <v>55.51</v>
      </c>
      <c r="D1887" s="11">
        <v>-0.04</v>
      </c>
      <c r="E1887" s="12">
        <v>-7.0E-4</v>
      </c>
      <c r="F1887" s="6">
        <v>55.16</v>
      </c>
      <c r="G1887" s="6">
        <v>55.04</v>
      </c>
      <c r="H1887" s="6">
        <v>55.53</v>
      </c>
      <c r="I1887" s="9">
        <v>1.8308796E7</v>
      </c>
      <c r="J1887" s="6">
        <v>1.01239187514E9</v>
      </c>
    </row>
    <row r="1888">
      <c r="A1888" s="4" t="s">
        <v>10</v>
      </c>
      <c r="B1888" s="5">
        <v>44377.0</v>
      </c>
      <c r="C1888" s="6">
        <v>55.15</v>
      </c>
      <c r="D1888" s="11">
        <v>-0.36</v>
      </c>
      <c r="E1888" s="12">
        <v>-0.0065</v>
      </c>
      <c r="F1888" s="6">
        <v>55.12</v>
      </c>
      <c r="G1888" s="6">
        <v>55.05</v>
      </c>
      <c r="H1888" s="6">
        <v>55.31</v>
      </c>
      <c r="I1888" s="9">
        <v>3.3223449E7</v>
      </c>
      <c r="J1888" s="6">
        <v>1.83234825878E9</v>
      </c>
    </row>
    <row r="1889">
      <c r="A1889" s="4" t="s">
        <v>10</v>
      </c>
      <c r="B1889" s="5">
        <v>44378.0</v>
      </c>
      <c r="C1889" s="6">
        <v>54.84</v>
      </c>
      <c r="D1889" s="11">
        <v>-0.31</v>
      </c>
      <c r="E1889" s="12">
        <v>-0.0056</v>
      </c>
      <c r="F1889" s="6">
        <v>55.18</v>
      </c>
      <c r="G1889" s="6">
        <v>54.57</v>
      </c>
      <c r="H1889" s="6">
        <v>55.25</v>
      </c>
      <c r="I1889" s="9">
        <v>2.7478511E7</v>
      </c>
      <c r="J1889" s="6">
        <v>1.50660390336E9</v>
      </c>
    </row>
    <row r="1890">
      <c r="A1890" s="4" t="s">
        <v>10</v>
      </c>
      <c r="B1890" s="5">
        <v>44379.0</v>
      </c>
      <c r="C1890" s="6">
        <v>54.78</v>
      </c>
      <c r="D1890" s="11">
        <v>-0.06</v>
      </c>
      <c r="E1890" s="12">
        <v>-0.0011</v>
      </c>
      <c r="F1890" s="6">
        <v>54.62</v>
      </c>
      <c r="G1890" s="6">
        <v>54.45</v>
      </c>
      <c r="H1890" s="6">
        <v>54.79</v>
      </c>
      <c r="I1890" s="9">
        <v>2.4289142E7</v>
      </c>
      <c r="J1890" s="6">
        <v>1.32692968985E9</v>
      </c>
    </row>
    <row r="1891">
      <c r="A1891" s="4" t="s">
        <v>10</v>
      </c>
      <c r="B1891" s="5">
        <v>44383.0</v>
      </c>
      <c r="C1891" s="6">
        <v>53.82</v>
      </c>
      <c r="D1891" s="11">
        <v>-0.96</v>
      </c>
      <c r="E1891" s="12">
        <v>-0.0175</v>
      </c>
      <c r="F1891" s="6">
        <v>54.12</v>
      </c>
      <c r="G1891" s="6">
        <v>53.62</v>
      </c>
      <c r="H1891" s="6">
        <v>54.21</v>
      </c>
      <c r="I1891" s="9">
        <v>3.8127087E7</v>
      </c>
      <c r="J1891" s="6">
        <v>2.05317269254E9</v>
      </c>
    </row>
    <row r="1892">
      <c r="A1892" s="4" t="s">
        <v>10</v>
      </c>
      <c r="B1892" s="5">
        <v>44384.0</v>
      </c>
      <c r="C1892" s="6">
        <v>53.76</v>
      </c>
      <c r="D1892" s="11">
        <v>-0.06</v>
      </c>
      <c r="E1892" s="12">
        <v>-0.0011</v>
      </c>
      <c r="F1892" s="6">
        <v>54.13</v>
      </c>
      <c r="G1892" s="6">
        <v>53.56</v>
      </c>
      <c r="H1892" s="6">
        <v>54.14</v>
      </c>
      <c r="I1892" s="9">
        <v>2.5651662E7</v>
      </c>
      <c r="J1892" s="6">
        <v>1.37993029718E9</v>
      </c>
    </row>
    <row r="1893">
      <c r="A1893" s="4" t="s">
        <v>10</v>
      </c>
      <c r="B1893" s="5">
        <v>44385.0</v>
      </c>
      <c r="C1893" s="6">
        <v>52.64</v>
      </c>
      <c r="D1893" s="11">
        <v>-1.12</v>
      </c>
      <c r="E1893" s="12">
        <v>-0.0208</v>
      </c>
      <c r="F1893" s="6">
        <v>52.59</v>
      </c>
      <c r="G1893" s="6">
        <v>52.46</v>
      </c>
      <c r="H1893" s="6">
        <v>52.84</v>
      </c>
      <c r="I1893" s="9">
        <v>4.5146377E7</v>
      </c>
      <c r="J1893" s="6">
        <v>2.37766763934E9</v>
      </c>
    </row>
    <row r="1894">
      <c r="A1894" s="4" t="s">
        <v>10</v>
      </c>
      <c r="B1894" s="5">
        <v>44386.0</v>
      </c>
      <c r="C1894" s="6">
        <v>53.55</v>
      </c>
      <c r="D1894" s="13">
        <f>+0.91</f>
        <v>0.91</v>
      </c>
      <c r="E1894" s="14">
        <f>+1.73%</f>
        <v>0.0173</v>
      </c>
      <c r="F1894" s="6">
        <v>53.23</v>
      </c>
      <c r="G1894" s="6">
        <v>53.09</v>
      </c>
      <c r="H1894" s="6">
        <v>53.57</v>
      </c>
      <c r="I1894" s="9">
        <v>2.8860481E7</v>
      </c>
      <c r="J1894" s="6">
        <v>1.54144988593E9</v>
      </c>
    </row>
    <row r="1895">
      <c r="A1895" s="4" t="s">
        <v>10</v>
      </c>
      <c r="B1895" s="5">
        <v>44389.0</v>
      </c>
      <c r="C1895" s="6">
        <v>53.6</v>
      </c>
      <c r="D1895" s="13">
        <f t="shared" ref="D1895:D1896" si="10">+0.05</f>
        <v>0.05</v>
      </c>
      <c r="E1895" s="14">
        <f t="shared" ref="E1895:E1896" si="11">+0.09%</f>
        <v>0.0009</v>
      </c>
      <c r="F1895" s="6">
        <v>53.38</v>
      </c>
      <c r="G1895" s="6">
        <v>53.28</v>
      </c>
      <c r="H1895" s="6">
        <v>53.63</v>
      </c>
      <c r="I1895" s="9">
        <v>2.2116115E7</v>
      </c>
      <c r="J1895" s="6">
        <v>1.18312545313E9</v>
      </c>
    </row>
    <row r="1896">
      <c r="A1896" s="4" t="s">
        <v>10</v>
      </c>
      <c r="B1896" s="5">
        <v>44390.0</v>
      </c>
      <c r="C1896" s="6">
        <v>53.65</v>
      </c>
      <c r="D1896" s="13">
        <f t="shared" si="10"/>
        <v>0.05</v>
      </c>
      <c r="E1896" s="14">
        <f t="shared" si="11"/>
        <v>0.0009</v>
      </c>
      <c r="F1896" s="6">
        <v>53.69</v>
      </c>
      <c r="G1896" s="6">
        <v>53.64</v>
      </c>
      <c r="H1896" s="6">
        <v>53.99</v>
      </c>
      <c r="I1896" s="9">
        <v>2.9025499E7</v>
      </c>
      <c r="J1896" s="6">
        <v>1.56126286809E9</v>
      </c>
    </row>
    <row r="1897">
      <c r="A1897" s="4" t="s">
        <v>10</v>
      </c>
      <c r="B1897" s="5">
        <v>44391.0</v>
      </c>
      <c r="C1897" s="6">
        <v>53.88</v>
      </c>
      <c r="D1897" s="13">
        <f>+0.23</f>
        <v>0.23</v>
      </c>
      <c r="E1897" s="14">
        <f>+0.43%</f>
        <v>0.0043</v>
      </c>
      <c r="F1897" s="6">
        <v>54.13</v>
      </c>
      <c r="G1897" s="6">
        <v>53.78</v>
      </c>
      <c r="H1897" s="6">
        <v>54.19</v>
      </c>
      <c r="I1897" s="9">
        <v>1.9739572E7</v>
      </c>
      <c r="J1897" s="6">
        <v>1.06515551864E9</v>
      </c>
    </row>
    <row r="1898">
      <c r="A1898" s="4" t="s">
        <v>10</v>
      </c>
      <c r="B1898" s="5">
        <v>44392.0</v>
      </c>
      <c r="C1898" s="6">
        <v>54.01</v>
      </c>
      <c r="D1898" s="13">
        <f>+0.13</f>
        <v>0.13</v>
      </c>
      <c r="E1898" s="14">
        <f>+0.24%</f>
        <v>0.0024</v>
      </c>
      <c r="F1898" s="6">
        <v>54.1</v>
      </c>
      <c r="G1898" s="6">
        <v>53.89</v>
      </c>
      <c r="H1898" s="6">
        <v>54.29</v>
      </c>
      <c r="I1898" s="9">
        <v>3.3310577E7</v>
      </c>
      <c r="J1898" s="6">
        <v>1.80039151105E9</v>
      </c>
    </row>
    <row r="1899">
      <c r="A1899" s="4" t="s">
        <v>10</v>
      </c>
      <c r="B1899" s="5">
        <v>44393.0</v>
      </c>
      <c r="C1899" s="6">
        <v>53.59</v>
      </c>
      <c r="D1899" s="11">
        <v>-0.42</v>
      </c>
      <c r="E1899" s="12">
        <v>-0.0078</v>
      </c>
      <c r="F1899" s="6">
        <v>54.08</v>
      </c>
      <c r="G1899" s="6">
        <v>53.48</v>
      </c>
      <c r="H1899" s="6">
        <v>54.12</v>
      </c>
      <c r="I1899" s="9">
        <v>2.3386333E7</v>
      </c>
      <c r="J1899" s="6">
        <v>1.25538846912E9</v>
      </c>
    </row>
    <row r="1900">
      <c r="A1900" s="4" t="s">
        <v>10</v>
      </c>
      <c r="B1900" s="5">
        <v>44396.0</v>
      </c>
      <c r="C1900" s="6">
        <v>52.69</v>
      </c>
      <c r="D1900" s="11">
        <v>-0.9</v>
      </c>
      <c r="E1900" s="12">
        <v>-0.0168</v>
      </c>
      <c r="F1900" s="6">
        <v>52.75</v>
      </c>
      <c r="G1900" s="6">
        <v>52.41</v>
      </c>
      <c r="H1900" s="6">
        <v>52.79</v>
      </c>
      <c r="I1900" s="9">
        <v>3.3737927E7</v>
      </c>
      <c r="J1900" s="6">
        <v>1.77372164541E9</v>
      </c>
    </row>
    <row r="1901">
      <c r="A1901" s="4" t="s">
        <v>10</v>
      </c>
      <c r="B1901" s="5">
        <v>44397.0</v>
      </c>
      <c r="C1901" s="6">
        <v>52.86</v>
      </c>
      <c r="D1901" s="13">
        <f>+0.17</f>
        <v>0.17</v>
      </c>
      <c r="E1901" s="14">
        <f>+0.32%</f>
        <v>0.0032</v>
      </c>
      <c r="F1901" s="6">
        <v>52.45</v>
      </c>
      <c r="G1901" s="6">
        <v>52.33</v>
      </c>
      <c r="H1901" s="6">
        <v>52.99</v>
      </c>
      <c r="I1901" s="9">
        <v>3.7946032E7</v>
      </c>
      <c r="J1901" s="6">
        <v>2.00032354307E9</v>
      </c>
    </row>
    <row r="1902">
      <c r="A1902" s="4" t="s">
        <v>10</v>
      </c>
      <c r="B1902" s="5">
        <v>44398.0</v>
      </c>
      <c r="C1902" s="6">
        <v>53.2</v>
      </c>
      <c r="D1902" s="13">
        <f>+0.34</f>
        <v>0.34</v>
      </c>
      <c r="E1902" s="14">
        <f>+0.64%</f>
        <v>0.0064</v>
      </c>
      <c r="F1902" s="6">
        <v>52.58</v>
      </c>
      <c r="G1902" s="6">
        <v>52.53</v>
      </c>
      <c r="H1902" s="6">
        <v>53.21</v>
      </c>
      <c r="I1902" s="9">
        <v>2.4101371E7</v>
      </c>
      <c r="J1902" s="6">
        <v>1.2766194262E9</v>
      </c>
    </row>
    <row r="1903">
      <c r="A1903" s="4" t="s">
        <v>10</v>
      </c>
      <c r="B1903" s="5">
        <v>44399.0</v>
      </c>
      <c r="C1903" s="6">
        <v>53.3</v>
      </c>
      <c r="D1903" s="13">
        <f>+0.1</f>
        <v>0.1</v>
      </c>
      <c r="E1903" s="14">
        <f>+0.19%</f>
        <v>0.0019</v>
      </c>
      <c r="F1903" s="6">
        <v>53.35</v>
      </c>
      <c r="G1903" s="6">
        <v>53.07</v>
      </c>
      <c r="H1903" s="6">
        <v>53.37</v>
      </c>
      <c r="I1903" s="9">
        <v>2.7160838E7</v>
      </c>
      <c r="J1903" s="6">
        <v>1.44675151997E9</v>
      </c>
    </row>
    <row r="1904">
      <c r="A1904" s="4" t="s">
        <v>10</v>
      </c>
      <c r="B1904" s="5">
        <v>44400.0</v>
      </c>
      <c r="C1904" s="6">
        <v>52.51</v>
      </c>
      <c r="D1904" s="11">
        <v>-0.79</v>
      </c>
      <c r="E1904" s="12">
        <v>-0.0148</v>
      </c>
      <c r="F1904" s="6">
        <v>52.69</v>
      </c>
      <c r="G1904" s="6">
        <v>52.23</v>
      </c>
      <c r="H1904" s="6">
        <v>52.7</v>
      </c>
      <c r="I1904" s="9">
        <v>3.1210475E7</v>
      </c>
      <c r="J1904" s="6">
        <v>1.63611632123E9</v>
      </c>
    </row>
    <row r="1905">
      <c r="A1905" s="4" t="s">
        <v>10</v>
      </c>
      <c r="B1905" s="5">
        <v>44403.0</v>
      </c>
      <c r="C1905" s="6">
        <v>51.51</v>
      </c>
      <c r="D1905" s="11">
        <v>-1.0</v>
      </c>
      <c r="E1905" s="12">
        <v>-0.019</v>
      </c>
      <c r="F1905" s="6">
        <v>51.41</v>
      </c>
      <c r="G1905" s="6">
        <v>51.3</v>
      </c>
      <c r="H1905" s="6">
        <v>51.75</v>
      </c>
      <c r="I1905" s="9">
        <v>4.3701367E7</v>
      </c>
      <c r="J1905" s="6">
        <v>2.25056482358E9</v>
      </c>
    </row>
    <row r="1906">
      <c r="A1906" s="4" t="s">
        <v>10</v>
      </c>
      <c r="B1906" s="5">
        <v>44404.0</v>
      </c>
      <c r="C1906" s="6">
        <v>50.47</v>
      </c>
      <c r="D1906" s="11">
        <v>-1.04</v>
      </c>
      <c r="E1906" s="12">
        <v>-0.0202</v>
      </c>
      <c r="F1906" s="6">
        <v>50.41</v>
      </c>
      <c r="G1906" s="6">
        <v>49.83</v>
      </c>
      <c r="H1906" s="6">
        <v>50.57</v>
      </c>
      <c r="I1906" s="9">
        <v>7.3640742E7</v>
      </c>
      <c r="J1906" s="6">
        <v>3.6991817782E9</v>
      </c>
    </row>
    <row r="1907">
      <c r="A1907" s="4" t="s">
        <v>10</v>
      </c>
      <c r="B1907" s="5">
        <v>44405.0</v>
      </c>
      <c r="C1907" s="6">
        <v>51.84</v>
      </c>
      <c r="D1907" s="13">
        <f>+1.37</f>
        <v>1.37</v>
      </c>
      <c r="E1907" s="14">
        <f>+2.71%</f>
        <v>0.0271</v>
      </c>
      <c r="F1907" s="6">
        <v>51.08</v>
      </c>
      <c r="G1907" s="6">
        <v>50.96</v>
      </c>
      <c r="H1907" s="6">
        <v>51.94</v>
      </c>
      <c r="I1907" s="9">
        <v>5.6446157E7</v>
      </c>
      <c r="J1907" s="6">
        <v>2.90586263298E9</v>
      </c>
    </row>
    <row r="1908">
      <c r="A1908" s="4" t="s">
        <v>10</v>
      </c>
      <c r="B1908" s="5">
        <v>44406.0</v>
      </c>
      <c r="C1908" s="6">
        <v>52.1</v>
      </c>
      <c r="D1908" s="13">
        <f>+0.26</f>
        <v>0.26</v>
      </c>
      <c r="E1908" s="14">
        <f>+0.5%</f>
        <v>0.005</v>
      </c>
      <c r="F1908" s="6">
        <v>52.25</v>
      </c>
      <c r="G1908" s="6">
        <v>51.89</v>
      </c>
      <c r="H1908" s="6">
        <v>52.28</v>
      </c>
      <c r="I1908" s="9">
        <v>4.3339411E7</v>
      </c>
      <c r="J1908" s="6">
        <v>2.25789796793E9</v>
      </c>
    </row>
    <row r="1909">
      <c r="A1909" s="4" t="s">
        <v>10</v>
      </c>
      <c r="B1909" s="5">
        <v>44407.0</v>
      </c>
      <c r="C1909" s="6">
        <v>51.6</v>
      </c>
      <c r="D1909" s="11">
        <v>-0.5</v>
      </c>
      <c r="E1909" s="12">
        <v>-0.0096</v>
      </c>
      <c r="F1909" s="6">
        <v>51.45</v>
      </c>
      <c r="G1909" s="6">
        <v>51.43</v>
      </c>
      <c r="H1909" s="6">
        <v>51.86</v>
      </c>
      <c r="I1909" s="9">
        <v>5.9797099E7</v>
      </c>
      <c r="J1909" s="6">
        <v>3.08762167739E9</v>
      </c>
    </row>
    <row r="1910">
      <c r="A1910" s="4" t="s">
        <v>10</v>
      </c>
      <c r="B1910" s="5">
        <v>44410.0</v>
      </c>
      <c r="C1910" s="6">
        <v>51.97</v>
      </c>
      <c r="D1910" s="13">
        <f>+0.37</f>
        <v>0.37</v>
      </c>
      <c r="E1910" s="14">
        <f>+0.72%</f>
        <v>0.0072</v>
      </c>
      <c r="F1910" s="6">
        <v>52.05</v>
      </c>
      <c r="G1910" s="6">
        <v>51.91</v>
      </c>
      <c r="H1910" s="6">
        <v>52.25</v>
      </c>
      <c r="I1910" s="9">
        <v>4.0234753E7</v>
      </c>
      <c r="J1910" s="6">
        <v>2.09492111612E9</v>
      </c>
    </row>
    <row r="1911">
      <c r="A1911" s="4" t="s">
        <v>10</v>
      </c>
      <c r="B1911" s="5">
        <v>44411.0</v>
      </c>
      <c r="C1911" s="6">
        <v>52.19</v>
      </c>
      <c r="D1911" s="13">
        <f>+0.22</f>
        <v>0.22</v>
      </c>
      <c r="E1911" s="14">
        <f>+0.42%</f>
        <v>0.0042</v>
      </c>
      <c r="F1911" s="6">
        <v>51.9</v>
      </c>
      <c r="G1911" s="6">
        <v>51.69</v>
      </c>
      <c r="H1911" s="6">
        <v>52.22</v>
      </c>
      <c r="I1911" s="9">
        <v>3.0589882E7</v>
      </c>
      <c r="J1911" s="6">
        <v>1.59141780056E9</v>
      </c>
    </row>
    <row r="1912">
      <c r="A1912" s="4" t="s">
        <v>10</v>
      </c>
      <c r="B1912" s="5">
        <v>44412.0</v>
      </c>
      <c r="C1912" s="6">
        <v>52.46</v>
      </c>
      <c r="D1912" s="13">
        <f>+0.27</f>
        <v>0.27</v>
      </c>
      <c r="E1912" s="14">
        <f>+0.52%</f>
        <v>0.0052</v>
      </c>
      <c r="F1912" s="6">
        <v>52.58</v>
      </c>
      <c r="G1912" s="6">
        <v>52.35</v>
      </c>
      <c r="H1912" s="6">
        <v>52.79</v>
      </c>
      <c r="I1912" s="9">
        <v>3.2586558E7</v>
      </c>
      <c r="J1912" s="6">
        <v>1.71201160129E9</v>
      </c>
    </row>
    <row r="1913">
      <c r="A1913" s="4" t="s">
        <v>10</v>
      </c>
      <c r="B1913" s="5">
        <v>44413.0</v>
      </c>
      <c r="C1913" s="6">
        <v>52.38</v>
      </c>
      <c r="D1913" s="11">
        <v>-0.08</v>
      </c>
      <c r="E1913" s="12">
        <v>-0.0015</v>
      </c>
      <c r="F1913" s="6">
        <v>52.38</v>
      </c>
      <c r="G1913" s="6">
        <v>52.34</v>
      </c>
      <c r="H1913" s="6">
        <v>52.56</v>
      </c>
      <c r="I1913" s="9">
        <v>1.5941746E7</v>
      </c>
      <c r="J1913" s="6">
        <v>8.356834577E8</v>
      </c>
    </row>
    <row r="1914">
      <c r="A1914" s="4" t="s">
        <v>10</v>
      </c>
      <c r="B1914" s="5">
        <v>44414.0</v>
      </c>
      <c r="C1914" s="6">
        <v>51.94</v>
      </c>
      <c r="D1914" s="11">
        <v>-0.44</v>
      </c>
      <c r="E1914" s="12">
        <v>-0.0084</v>
      </c>
      <c r="F1914" s="6">
        <v>52.17</v>
      </c>
      <c r="G1914" s="6">
        <v>51.79</v>
      </c>
      <c r="H1914" s="6">
        <v>52.19</v>
      </c>
      <c r="I1914" s="9">
        <v>3.6049465E7</v>
      </c>
      <c r="J1914" s="6">
        <v>1.87220061039E9</v>
      </c>
    </row>
    <row r="1915">
      <c r="A1915" s="4" t="s">
        <v>10</v>
      </c>
      <c r="B1915" s="5">
        <v>44417.0</v>
      </c>
      <c r="C1915" s="6">
        <v>52.11</v>
      </c>
      <c r="D1915" s="13">
        <f>+0.17</f>
        <v>0.17</v>
      </c>
      <c r="E1915" s="14">
        <f>+0.33%</f>
        <v>0.0033</v>
      </c>
      <c r="F1915" s="6">
        <v>52.17</v>
      </c>
      <c r="G1915" s="6">
        <v>52.05</v>
      </c>
      <c r="H1915" s="6">
        <v>52.3</v>
      </c>
      <c r="I1915" s="9">
        <v>2.4062256E7</v>
      </c>
      <c r="J1915" s="6">
        <v>1.25540695776E9</v>
      </c>
    </row>
    <row r="1916">
      <c r="A1916" s="4" t="s">
        <v>10</v>
      </c>
      <c r="B1916" s="5">
        <v>44418.0</v>
      </c>
      <c r="C1916" s="6">
        <v>52.18</v>
      </c>
      <c r="D1916" s="13">
        <f>+0.07</f>
        <v>0.07</v>
      </c>
      <c r="E1916" s="14">
        <f>+0.13%</f>
        <v>0.0013</v>
      </c>
      <c r="F1916" s="6">
        <v>52.33</v>
      </c>
      <c r="G1916" s="6">
        <v>52.11</v>
      </c>
      <c r="H1916" s="6">
        <v>52.36</v>
      </c>
      <c r="I1916" s="9">
        <v>1.5222572E7</v>
      </c>
      <c r="J1916" s="6">
        <v>7.9464573146E8</v>
      </c>
    </row>
    <row r="1917">
      <c r="A1917" s="4" t="s">
        <v>10</v>
      </c>
      <c r="B1917" s="5">
        <v>44419.0</v>
      </c>
      <c r="C1917" s="6">
        <v>52.32</v>
      </c>
      <c r="D1917" s="13">
        <f>+0.14</f>
        <v>0.14</v>
      </c>
      <c r="E1917" s="14">
        <f>+0.27%</f>
        <v>0.0027</v>
      </c>
      <c r="F1917" s="6">
        <v>52.49</v>
      </c>
      <c r="G1917" s="6">
        <v>52.09</v>
      </c>
      <c r="H1917" s="6">
        <v>52.5</v>
      </c>
      <c r="I1917" s="9">
        <v>2.2374794E7</v>
      </c>
      <c r="J1917" s="6">
        <v>1.17043818226E9</v>
      </c>
    </row>
    <row r="1918">
      <c r="A1918" s="4" t="s">
        <v>10</v>
      </c>
      <c r="B1918" s="5">
        <v>44420.0</v>
      </c>
      <c r="C1918" s="6">
        <v>51.86</v>
      </c>
      <c r="D1918" s="11">
        <v>-0.46</v>
      </c>
      <c r="E1918" s="12">
        <v>-0.0088</v>
      </c>
      <c r="F1918" s="6">
        <v>51.88</v>
      </c>
      <c r="G1918" s="6">
        <v>51.65</v>
      </c>
      <c r="H1918" s="6">
        <v>51.9</v>
      </c>
      <c r="I1918" s="9">
        <v>2.5748315E7</v>
      </c>
      <c r="J1918" s="6">
        <v>1.33329072565E9</v>
      </c>
    </row>
    <row r="1919">
      <c r="A1919" s="4" t="s">
        <v>10</v>
      </c>
      <c r="B1919" s="5">
        <v>44421.0</v>
      </c>
      <c r="C1919" s="6">
        <v>51.73</v>
      </c>
      <c r="D1919" s="11">
        <v>-0.13</v>
      </c>
      <c r="E1919" s="12">
        <v>-0.0025</v>
      </c>
      <c r="F1919" s="6">
        <v>51.64</v>
      </c>
      <c r="G1919" s="6">
        <v>51.39</v>
      </c>
      <c r="H1919" s="6">
        <v>51.73</v>
      </c>
      <c r="I1919" s="9">
        <v>2.8396159E7</v>
      </c>
      <c r="J1919" s="6">
        <v>1.46581789373E9</v>
      </c>
    </row>
    <row r="1920">
      <c r="A1920" s="4" t="s">
        <v>10</v>
      </c>
      <c r="B1920" s="5">
        <v>44424.0</v>
      </c>
      <c r="C1920" s="6">
        <v>51.26</v>
      </c>
      <c r="D1920" s="11">
        <v>-0.47</v>
      </c>
      <c r="E1920" s="12">
        <v>-0.0091</v>
      </c>
      <c r="F1920" s="6">
        <v>51.29</v>
      </c>
      <c r="G1920" s="6">
        <v>51.04</v>
      </c>
      <c r="H1920" s="6">
        <v>51.31</v>
      </c>
      <c r="I1920" s="9">
        <v>4.6229642E7</v>
      </c>
      <c r="J1920" s="6">
        <v>2.367468419E9</v>
      </c>
    </row>
    <row r="1921">
      <c r="A1921" s="4" t="s">
        <v>10</v>
      </c>
      <c r="B1921" s="5">
        <v>44425.0</v>
      </c>
      <c r="C1921" s="6">
        <v>50.32</v>
      </c>
      <c r="D1921" s="11">
        <v>-0.94</v>
      </c>
      <c r="E1921" s="12">
        <v>-0.0183</v>
      </c>
      <c r="F1921" s="6">
        <v>50.33</v>
      </c>
      <c r="G1921" s="6">
        <v>50.12</v>
      </c>
      <c r="H1921" s="6">
        <v>50.62</v>
      </c>
      <c r="I1921" s="9">
        <v>7.8463005E7</v>
      </c>
      <c r="J1921" s="6">
        <v>3.952555636E9</v>
      </c>
    </row>
    <row r="1922">
      <c r="A1922" s="4" t="s">
        <v>10</v>
      </c>
      <c r="B1922" s="5">
        <v>44426.0</v>
      </c>
      <c r="C1922" s="6">
        <v>50.4</v>
      </c>
      <c r="D1922" s="13">
        <f>+0.08</f>
        <v>0.08</v>
      </c>
      <c r="E1922" s="14">
        <f>+0.16%</f>
        <v>0.0016</v>
      </c>
      <c r="F1922" s="6">
        <v>50.69</v>
      </c>
      <c r="G1922" s="6">
        <v>50.38</v>
      </c>
      <c r="H1922" s="6">
        <v>50.89</v>
      </c>
      <c r="I1922" s="9">
        <v>4.2994827E7</v>
      </c>
      <c r="J1922" s="6">
        <v>2.176233023E9</v>
      </c>
    </row>
    <row r="1923">
      <c r="A1923" s="4" t="s">
        <v>10</v>
      </c>
      <c r="B1923" s="5">
        <v>44427.0</v>
      </c>
      <c r="C1923" s="6">
        <v>49.54</v>
      </c>
      <c r="D1923" s="11">
        <v>-0.86</v>
      </c>
      <c r="E1923" s="12">
        <v>-0.0171</v>
      </c>
      <c r="F1923" s="6">
        <v>49.41</v>
      </c>
      <c r="G1923" s="6">
        <v>49.37</v>
      </c>
      <c r="H1923" s="6">
        <v>49.74</v>
      </c>
      <c r="I1923" s="9">
        <v>6.3275201E7</v>
      </c>
      <c r="J1923" s="6">
        <v>3.136781496E9</v>
      </c>
    </row>
    <row r="1924">
      <c r="A1924" s="4" t="s">
        <v>10</v>
      </c>
      <c r="B1924" s="5">
        <v>44428.0</v>
      </c>
      <c r="C1924" s="6">
        <v>49.5</v>
      </c>
      <c r="D1924" s="11">
        <v>-0.04</v>
      </c>
      <c r="E1924" s="12">
        <v>-8.0E-4</v>
      </c>
      <c r="F1924" s="6">
        <v>49.13</v>
      </c>
      <c r="G1924" s="6">
        <v>49.11</v>
      </c>
      <c r="H1924" s="6">
        <v>49.59</v>
      </c>
      <c r="I1924" s="9">
        <v>4.4682069E7</v>
      </c>
      <c r="J1924" s="6">
        <v>2.209797304E9</v>
      </c>
    </row>
    <row r="1925">
      <c r="A1925" s="4" t="s">
        <v>10</v>
      </c>
      <c r="B1925" s="5">
        <v>44431.0</v>
      </c>
      <c r="C1925" s="6">
        <v>50.25</v>
      </c>
      <c r="D1925" s="13">
        <f>+0.75</f>
        <v>0.75</v>
      </c>
      <c r="E1925" s="14">
        <f>+1.52%</f>
        <v>0.0152</v>
      </c>
      <c r="F1925" s="6">
        <v>49.97</v>
      </c>
      <c r="G1925" s="6">
        <v>49.86</v>
      </c>
      <c r="H1925" s="6">
        <v>50.32</v>
      </c>
      <c r="I1925" s="9">
        <v>4.5453897E7</v>
      </c>
      <c r="J1925" s="6">
        <v>2.278174862E9</v>
      </c>
    </row>
    <row r="1926">
      <c r="A1926" s="4" t="s">
        <v>10</v>
      </c>
      <c r="B1926" s="5">
        <v>44432.0</v>
      </c>
      <c r="C1926" s="6">
        <v>51.39</v>
      </c>
      <c r="D1926" s="13">
        <f>+1.14</f>
        <v>1.14</v>
      </c>
      <c r="E1926" s="14">
        <f>+2.27%</f>
        <v>0.0227</v>
      </c>
      <c r="F1926" s="6">
        <v>51.0</v>
      </c>
      <c r="G1926" s="6">
        <v>51.0</v>
      </c>
      <c r="H1926" s="6">
        <v>51.47</v>
      </c>
      <c r="I1926" s="9">
        <v>5.129204E7</v>
      </c>
      <c r="J1926" s="6">
        <v>2.630251073E9</v>
      </c>
    </row>
    <row r="1927">
      <c r="A1927" s="4" t="s">
        <v>10</v>
      </c>
      <c r="B1927" s="5">
        <v>44433.0</v>
      </c>
      <c r="C1927" s="6">
        <v>51.45</v>
      </c>
      <c r="D1927" s="13">
        <f>+0.06</f>
        <v>0.06</v>
      </c>
      <c r="E1927" s="14">
        <f>+0.12%</f>
        <v>0.0012</v>
      </c>
      <c r="F1927" s="6">
        <v>51.33</v>
      </c>
      <c r="G1927" s="6">
        <v>51.21</v>
      </c>
      <c r="H1927" s="6">
        <v>51.5</v>
      </c>
      <c r="I1927" s="9">
        <v>2.5272823E7</v>
      </c>
      <c r="J1927" s="6">
        <v>1.298231268E9</v>
      </c>
    </row>
    <row r="1928">
      <c r="A1928" s="4" t="s">
        <v>10</v>
      </c>
      <c r="B1928" s="5">
        <v>44434.0</v>
      </c>
      <c r="C1928" s="6">
        <v>50.96</v>
      </c>
      <c r="D1928" s="11">
        <v>-0.49</v>
      </c>
      <c r="E1928" s="12">
        <v>-0.0095</v>
      </c>
      <c r="F1928" s="6">
        <v>51.13</v>
      </c>
      <c r="G1928" s="6">
        <v>50.91</v>
      </c>
      <c r="H1928" s="6">
        <v>51.19</v>
      </c>
      <c r="I1928" s="9">
        <v>2.9030575E7</v>
      </c>
      <c r="J1928" s="6">
        <v>1.481978721E9</v>
      </c>
    </row>
    <row r="1929">
      <c r="A1929" s="4" t="s">
        <v>10</v>
      </c>
      <c r="B1929" s="5">
        <v>44435.0</v>
      </c>
      <c r="C1929" s="6">
        <v>51.59</v>
      </c>
      <c r="D1929" s="13">
        <f>+0.63</f>
        <v>0.63</v>
      </c>
      <c r="E1929" s="14">
        <f>+1.24%</f>
        <v>0.0124</v>
      </c>
      <c r="F1929" s="6">
        <v>51.26</v>
      </c>
      <c r="G1929" s="6">
        <v>51.1</v>
      </c>
      <c r="H1929" s="6">
        <v>51.59</v>
      </c>
      <c r="I1929" s="9">
        <v>3.297136E7</v>
      </c>
      <c r="J1929" s="6">
        <v>1.697266747E9</v>
      </c>
    </row>
    <row r="1930">
      <c r="A1930" s="4" t="s">
        <v>10</v>
      </c>
      <c r="B1930" s="5">
        <v>44438.0</v>
      </c>
      <c r="C1930" s="6">
        <v>51.7</v>
      </c>
      <c r="D1930" s="13">
        <f>+0.11</f>
        <v>0.11</v>
      </c>
      <c r="E1930" s="14">
        <f>+0.21%</f>
        <v>0.0021</v>
      </c>
      <c r="F1930" s="6">
        <v>51.66</v>
      </c>
      <c r="G1930" s="6">
        <v>51.43</v>
      </c>
      <c r="H1930" s="6">
        <v>51.77</v>
      </c>
      <c r="I1930" s="9">
        <v>1.8519022E7</v>
      </c>
      <c r="J1930" s="6">
        <v>9.56417617E8</v>
      </c>
    </row>
    <row r="1931">
      <c r="A1931" s="4" t="s">
        <v>10</v>
      </c>
      <c r="B1931" s="5">
        <v>44439.0</v>
      </c>
      <c r="C1931" s="6">
        <v>52.41</v>
      </c>
      <c r="D1931" s="13">
        <f>+0.71</f>
        <v>0.71</v>
      </c>
      <c r="E1931" s="14">
        <f>+1.37%</f>
        <v>0.0137</v>
      </c>
      <c r="F1931" s="6">
        <v>52.47</v>
      </c>
      <c r="G1931" s="6">
        <v>52.33</v>
      </c>
      <c r="H1931" s="6">
        <v>52.52</v>
      </c>
      <c r="I1931" s="9">
        <v>4.3226797E7</v>
      </c>
      <c r="J1931" s="6">
        <v>2.266535241E9</v>
      </c>
    </row>
    <row r="1932">
      <c r="A1932" s="4" t="s">
        <v>10</v>
      </c>
      <c r="B1932" s="5">
        <v>44440.0</v>
      </c>
      <c r="C1932" s="6">
        <v>53.08</v>
      </c>
      <c r="D1932" s="13">
        <f>+0.67</f>
        <v>0.67</v>
      </c>
      <c r="E1932" s="14">
        <f>+1.28%</f>
        <v>0.0128</v>
      </c>
      <c r="F1932" s="6">
        <v>52.73</v>
      </c>
      <c r="G1932" s="6">
        <v>52.73</v>
      </c>
      <c r="H1932" s="6">
        <v>53.28</v>
      </c>
      <c r="I1932" s="9">
        <v>3.598048E7</v>
      </c>
      <c r="J1932" s="6">
        <v>1.909562708E9</v>
      </c>
    </row>
    <row r="1933">
      <c r="A1933" s="4" t="s">
        <v>10</v>
      </c>
      <c r="B1933" s="5">
        <v>44441.0</v>
      </c>
      <c r="C1933" s="6">
        <v>52.84</v>
      </c>
      <c r="D1933" s="11">
        <v>-0.24</v>
      </c>
      <c r="E1933" s="12">
        <v>-0.0045</v>
      </c>
      <c r="F1933" s="6">
        <v>53.02</v>
      </c>
      <c r="G1933" s="6">
        <v>52.76</v>
      </c>
      <c r="H1933" s="6">
        <v>53.13</v>
      </c>
      <c r="I1933" s="9">
        <v>2.4988569E7</v>
      </c>
      <c r="J1933" s="6">
        <v>1.322590416E9</v>
      </c>
    </row>
    <row r="1934">
      <c r="A1934" s="4" t="s">
        <v>10</v>
      </c>
      <c r="B1934" s="5">
        <v>44442.0</v>
      </c>
      <c r="C1934" s="6">
        <v>53.12</v>
      </c>
      <c r="D1934" s="13">
        <f>+0.28</f>
        <v>0.28</v>
      </c>
      <c r="E1934" s="14">
        <f>+0.53%</f>
        <v>0.0053</v>
      </c>
      <c r="F1934" s="6">
        <v>52.95</v>
      </c>
      <c r="G1934" s="6">
        <v>52.93</v>
      </c>
      <c r="H1934" s="6">
        <v>53.19</v>
      </c>
      <c r="I1934" s="9">
        <v>2.1313234E7</v>
      </c>
      <c r="J1934" s="6">
        <v>1.131805438E9</v>
      </c>
    </row>
    <row r="1935">
      <c r="A1935" s="4" t="s">
        <v>10</v>
      </c>
      <c r="B1935" s="5">
        <v>44446.0</v>
      </c>
      <c r="C1935" s="6">
        <v>53.43</v>
      </c>
      <c r="D1935" s="13">
        <f>+0.31</f>
        <v>0.31</v>
      </c>
      <c r="E1935" s="14">
        <f>+0.58%</f>
        <v>0.0058</v>
      </c>
      <c r="F1935" s="6">
        <v>53.29</v>
      </c>
      <c r="G1935" s="6">
        <v>53.25</v>
      </c>
      <c r="H1935" s="6">
        <v>53.58</v>
      </c>
      <c r="I1935" s="9">
        <v>3.3509834E7</v>
      </c>
      <c r="J1935" s="6">
        <v>1.791814335E9</v>
      </c>
    </row>
    <row r="1936">
      <c r="A1936" s="4" t="s">
        <v>10</v>
      </c>
      <c r="B1936" s="5">
        <v>44447.0</v>
      </c>
      <c r="C1936" s="6">
        <v>52.65</v>
      </c>
      <c r="D1936" s="11">
        <v>-0.78</v>
      </c>
      <c r="E1936" s="12">
        <v>-0.0146</v>
      </c>
      <c r="F1936" s="6">
        <v>53.11</v>
      </c>
      <c r="G1936" s="6">
        <v>52.53</v>
      </c>
      <c r="H1936" s="6">
        <v>53.12</v>
      </c>
      <c r="I1936" s="9">
        <v>5.339795E7</v>
      </c>
      <c r="J1936" s="6">
        <v>2.817218242E9</v>
      </c>
    </row>
    <row r="1937">
      <c r="A1937" s="4" t="s">
        <v>10</v>
      </c>
      <c r="B1937" s="5">
        <v>44448.0</v>
      </c>
      <c r="C1937" s="6">
        <v>52.55</v>
      </c>
      <c r="D1937" s="11">
        <v>-0.1</v>
      </c>
      <c r="E1937" s="12">
        <v>-0.0019</v>
      </c>
      <c r="F1937" s="6">
        <v>52.39</v>
      </c>
      <c r="G1937" s="6">
        <v>52.3</v>
      </c>
      <c r="H1937" s="6">
        <v>52.65</v>
      </c>
      <c r="I1937" s="9">
        <v>3.4707135E7</v>
      </c>
      <c r="J1937" s="6">
        <v>1.822759155E9</v>
      </c>
    </row>
    <row r="1938">
      <c r="A1938" s="4" t="s">
        <v>10</v>
      </c>
      <c r="B1938" s="5">
        <v>44449.0</v>
      </c>
      <c r="C1938" s="6">
        <v>52.49</v>
      </c>
      <c r="D1938" s="11">
        <v>-0.06</v>
      </c>
      <c r="E1938" s="12">
        <v>-0.0011</v>
      </c>
      <c r="F1938" s="6">
        <v>52.95</v>
      </c>
      <c r="G1938" s="6">
        <v>52.48</v>
      </c>
      <c r="H1938" s="6">
        <v>53.01</v>
      </c>
      <c r="I1938" s="9">
        <v>4.0329327E7</v>
      </c>
      <c r="J1938" s="6">
        <v>2.124641794E9</v>
      </c>
    </row>
    <row r="1939">
      <c r="A1939" s="4" t="s">
        <v>10</v>
      </c>
      <c r="B1939" s="5">
        <v>44452.0</v>
      </c>
      <c r="C1939" s="6">
        <v>52.63</v>
      </c>
      <c r="D1939" s="13">
        <f>+0.14</f>
        <v>0.14</v>
      </c>
      <c r="E1939" s="14">
        <f>+0.27%</f>
        <v>0.0027</v>
      </c>
      <c r="F1939" s="6">
        <v>52.56</v>
      </c>
      <c r="G1939" s="6">
        <v>52.36</v>
      </c>
      <c r="H1939" s="6">
        <v>52.77</v>
      </c>
      <c r="I1939" s="9">
        <v>3.5318353E7</v>
      </c>
      <c r="J1939" s="6">
        <v>1.85674743E9</v>
      </c>
    </row>
    <row r="1940">
      <c r="A1940" s="4" t="s">
        <v>10</v>
      </c>
      <c r="B1940" s="5">
        <v>44453.0</v>
      </c>
      <c r="C1940" s="6">
        <v>52.19</v>
      </c>
      <c r="D1940" s="11">
        <v>-0.44</v>
      </c>
      <c r="E1940" s="12">
        <v>-0.0084</v>
      </c>
      <c r="F1940" s="6">
        <v>52.49</v>
      </c>
      <c r="G1940" s="6">
        <v>52.09</v>
      </c>
      <c r="H1940" s="6">
        <v>52.52</v>
      </c>
      <c r="I1940" s="9">
        <v>3.5994376E7</v>
      </c>
      <c r="J1940" s="6">
        <v>1.880545175E9</v>
      </c>
    </row>
    <row r="1941">
      <c r="A1941" s="4" t="s">
        <v>10</v>
      </c>
      <c r="B1941" s="5">
        <v>44454.0</v>
      </c>
      <c r="C1941" s="6">
        <v>52.18</v>
      </c>
      <c r="D1941" s="11">
        <v>-0.01</v>
      </c>
      <c r="E1941" s="12">
        <v>-2.0E-4</v>
      </c>
      <c r="F1941" s="6">
        <v>52.01</v>
      </c>
      <c r="G1941" s="6">
        <v>51.8</v>
      </c>
      <c r="H1941" s="6">
        <v>52.18</v>
      </c>
      <c r="I1941" s="9">
        <v>3.8735127E7</v>
      </c>
      <c r="J1941" s="6">
        <v>2.013689754E9</v>
      </c>
    </row>
    <row r="1942">
      <c r="A1942" s="4" t="s">
        <v>10</v>
      </c>
      <c r="B1942" s="5">
        <v>44455.0</v>
      </c>
      <c r="C1942" s="6">
        <v>51.59</v>
      </c>
      <c r="D1942" s="11">
        <v>-0.59</v>
      </c>
      <c r="E1942" s="12">
        <v>-0.0113</v>
      </c>
      <c r="F1942" s="6">
        <v>51.43</v>
      </c>
      <c r="G1942" s="6">
        <v>51.25</v>
      </c>
      <c r="H1942" s="6">
        <v>51.63</v>
      </c>
      <c r="I1942" s="9">
        <v>4.3721342E7</v>
      </c>
      <c r="J1942" s="6">
        <v>2.250109464E9</v>
      </c>
    </row>
    <row r="1943">
      <c r="A1943" s="4" t="s">
        <v>10</v>
      </c>
      <c r="B1943" s="5">
        <v>44456.0</v>
      </c>
      <c r="C1943" s="6">
        <v>51.37</v>
      </c>
      <c r="D1943" s="11">
        <v>-0.22</v>
      </c>
      <c r="E1943" s="12">
        <v>-0.0043</v>
      </c>
      <c r="F1943" s="6">
        <v>51.61</v>
      </c>
      <c r="G1943" s="6">
        <v>51.27</v>
      </c>
      <c r="H1943" s="6">
        <v>51.67</v>
      </c>
      <c r="I1943" s="9">
        <v>4.5481415E7</v>
      </c>
      <c r="J1943" s="6">
        <v>2.338404375E9</v>
      </c>
    </row>
    <row r="1944">
      <c r="A1944" s="4" t="s">
        <v>10</v>
      </c>
      <c r="B1944" s="5">
        <v>44459.0</v>
      </c>
      <c r="C1944" s="6">
        <v>49.99</v>
      </c>
      <c r="D1944" s="11">
        <v>-1.38</v>
      </c>
      <c r="E1944" s="12">
        <v>-0.0269</v>
      </c>
      <c r="F1944" s="6">
        <v>50.15</v>
      </c>
      <c r="G1944" s="6">
        <v>49.57</v>
      </c>
      <c r="H1944" s="6">
        <v>50.42</v>
      </c>
      <c r="I1944" s="9">
        <v>5.2798161E7</v>
      </c>
      <c r="J1944" s="6">
        <v>2.640749103E9</v>
      </c>
    </row>
    <row r="1945">
      <c r="A1945" s="4" t="s">
        <v>10</v>
      </c>
      <c r="B1945" s="5">
        <v>44460.0</v>
      </c>
      <c r="C1945" s="6">
        <v>50.36</v>
      </c>
      <c r="D1945" s="13">
        <f>+0.37</f>
        <v>0.37</v>
      </c>
      <c r="E1945" s="14">
        <f>+0.74%</f>
        <v>0.0074</v>
      </c>
      <c r="F1945" s="6">
        <v>50.36</v>
      </c>
      <c r="G1945" s="6">
        <v>50.14</v>
      </c>
      <c r="H1945" s="6">
        <v>50.5</v>
      </c>
      <c r="I1945" s="9">
        <v>3.9347377E7</v>
      </c>
      <c r="J1945" s="6">
        <v>1.981338298E9</v>
      </c>
    </row>
    <row r="1946">
      <c r="A1946" s="4" t="s">
        <v>10</v>
      </c>
      <c r="B1946" s="5">
        <v>44461.0</v>
      </c>
      <c r="C1946" s="6">
        <v>50.99</v>
      </c>
      <c r="D1946" s="13">
        <f>+0.63</f>
        <v>0.63</v>
      </c>
      <c r="E1946" s="14">
        <f>+1.25%</f>
        <v>0.0125</v>
      </c>
      <c r="F1946" s="6">
        <v>50.83</v>
      </c>
      <c r="G1946" s="6">
        <v>50.82</v>
      </c>
      <c r="H1946" s="6">
        <v>51.34</v>
      </c>
      <c r="I1946" s="9">
        <v>4.6189176E7</v>
      </c>
      <c r="J1946" s="6">
        <v>2.359641114E9</v>
      </c>
    </row>
    <row r="1947">
      <c r="A1947" s="4" t="s">
        <v>10</v>
      </c>
      <c r="B1947" s="5">
        <v>44462.0</v>
      </c>
      <c r="C1947" s="6">
        <v>51.39</v>
      </c>
      <c r="D1947" s="13">
        <f>+0.4</f>
        <v>0.4</v>
      </c>
      <c r="E1947" s="14">
        <f>+0.78%</f>
        <v>0.0078</v>
      </c>
      <c r="F1947" s="6">
        <v>51.23</v>
      </c>
      <c r="G1947" s="6">
        <v>51.12</v>
      </c>
      <c r="H1947" s="6">
        <v>51.44</v>
      </c>
      <c r="I1947" s="9">
        <v>2.7138382E7</v>
      </c>
      <c r="J1947" s="6">
        <v>1.392553803E9</v>
      </c>
    </row>
    <row r="1948">
      <c r="A1948" s="4" t="s">
        <v>10</v>
      </c>
      <c r="B1948" s="5">
        <v>44463.0</v>
      </c>
      <c r="C1948" s="6">
        <v>50.78</v>
      </c>
      <c r="D1948" s="11">
        <v>-0.61</v>
      </c>
      <c r="E1948" s="12">
        <v>-0.0119</v>
      </c>
      <c r="F1948" s="6">
        <v>50.85</v>
      </c>
      <c r="G1948" s="6">
        <v>50.73</v>
      </c>
      <c r="H1948" s="6">
        <v>50.95</v>
      </c>
      <c r="I1948" s="9">
        <v>2.9743499E7</v>
      </c>
      <c r="J1948" s="6">
        <v>1.511395821E9</v>
      </c>
    </row>
    <row r="1949">
      <c r="A1949" s="4" t="s">
        <v>10</v>
      </c>
      <c r="B1949" s="5">
        <v>44466.0</v>
      </c>
      <c r="C1949" s="6">
        <v>51.11</v>
      </c>
      <c r="D1949" s="13">
        <f>+0.33</f>
        <v>0.33</v>
      </c>
      <c r="E1949" s="14">
        <f>+0.65%</f>
        <v>0.0065</v>
      </c>
      <c r="F1949" s="6">
        <v>50.83</v>
      </c>
      <c r="G1949" s="6">
        <v>50.67</v>
      </c>
      <c r="H1949" s="6">
        <v>51.23</v>
      </c>
      <c r="I1949" s="9">
        <v>3.118173E7</v>
      </c>
      <c r="J1949" s="6">
        <v>1.591964217E9</v>
      </c>
    </row>
    <row r="1950">
      <c r="A1950" s="4" t="s">
        <v>10</v>
      </c>
      <c r="B1950" s="5">
        <v>44467.0</v>
      </c>
      <c r="C1950" s="6">
        <v>50.45</v>
      </c>
      <c r="D1950" s="11">
        <v>-0.66</v>
      </c>
      <c r="E1950" s="12">
        <v>-0.0129</v>
      </c>
      <c r="F1950" s="6">
        <v>50.86</v>
      </c>
      <c r="G1950" s="6">
        <v>50.29</v>
      </c>
      <c r="H1950" s="6">
        <v>50.92</v>
      </c>
      <c r="I1950" s="9">
        <v>4.4156315E7</v>
      </c>
      <c r="J1950" s="6">
        <v>2.229329184E9</v>
      </c>
    </row>
    <row r="1951">
      <c r="A1951" s="4" t="s">
        <v>10</v>
      </c>
      <c r="B1951" s="5">
        <v>44468.0</v>
      </c>
      <c r="C1951" s="6">
        <v>49.98</v>
      </c>
      <c r="D1951" s="11">
        <v>-0.47</v>
      </c>
      <c r="E1951" s="12">
        <v>-0.0093</v>
      </c>
      <c r="F1951" s="6">
        <v>50.32</v>
      </c>
      <c r="G1951" s="6">
        <v>49.96</v>
      </c>
      <c r="H1951" s="6">
        <v>50.46</v>
      </c>
      <c r="I1951" s="9">
        <v>4.3140608E7</v>
      </c>
      <c r="J1951" s="6">
        <v>2.163857499E9</v>
      </c>
    </row>
    <row r="1952">
      <c r="A1952" s="4" t="s">
        <v>10</v>
      </c>
      <c r="B1952" s="5">
        <v>44469.0</v>
      </c>
      <c r="C1952" s="6">
        <v>50.38</v>
      </c>
      <c r="D1952" s="13">
        <f>+0.4</f>
        <v>0.4</v>
      </c>
      <c r="E1952" s="14">
        <f>+0.8%</f>
        <v>0.008</v>
      </c>
      <c r="F1952" s="6">
        <v>50.56</v>
      </c>
      <c r="G1952" s="6">
        <v>50.28</v>
      </c>
      <c r="H1952" s="6">
        <v>50.74</v>
      </c>
      <c r="I1952" s="9">
        <v>6.6460128E7</v>
      </c>
      <c r="J1952" s="6">
        <v>3.354517902E9</v>
      </c>
    </row>
    <row r="1953">
      <c r="A1953" s="4" t="s">
        <v>10</v>
      </c>
      <c r="B1953" s="5">
        <v>44470.0</v>
      </c>
      <c r="C1953" s="6">
        <v>50.33</v>
      </c>
      <c r="D1953" s="11">
        <v>-0.05</v>
      </c>
      <c r="E1953" s="12">
        <v>-0.001</v>
      </c>
      <c r="F1953" s="6">
        <v>50.37</v>
      </c>
      <c r="G1953" s="6">
        <v>49.88</v>
      </c>
      <c r="H1953" s="6">
        <v>50.51</v>
      </c>
      <c r="I1953" s="9">
        <v>4.5259227E7</v>
      </c>
      <c r="J1953" s="6">
        <v>2.272687408E9</v>
      </c>
    </row>
    <row r="1954">
      <c r="A1954" s="4" t="s">
        <v>10</v>
      </c>
      <c r="B1954" s="5">
        <v>44473.0</v>
      </c>
      <c r="C1954" s="6">
        <v>49.59</v>
      </c>
      <c r="D1954" s="11">
        <v>-0.74</v>
      </c>
      <c r="E1954" s="12">
        <v>-0.0147</v>
      </c>
      <c r="F1954" s="6">
        <v>49.91</v>
      </c>
      <c r="G1954" s="6">
        <v>49.28</v>
      </c>
      <c r="H1954" s="6">
        <v>49.95</v>
      </c>
      <c r="I1954" s="9">
        <v>4.3597127E7</v>
      </c>
      <c r="J1954" s="6">
        <v>2.160432427E9</v>
      </c>
    </row>
    <row r="1955">
      <c r="A1955" s="4" t="s">
        <v>10</v>
      </c>
      <c r="B1955" s="5">
        <v>44474.0</v>
      </c>
      <c r="C1955" s="6">
        <v>49.94</v>
      </c>
      <c r="D1955" s="13">
        <f>+0.35</f>
        <v>0.35</v>
      </c>
      <c r="E1955" s="14">
        <f>+0.71%</f>
        <v>0.0071</v>
      </c>
      <c r="F1955" s="6">
        <v>49.73</v>
      </c>
      <c r="G1955" s="6">
        <v>49.68</v>
      </c>
      <c r="H1955" s="6">
        <v>50.13</v>
      </c>
      <c r="I1955" s="9">
        <v>2.8762192E7</v>
      </c>
      <c r="J1955" s="6">
        <v>1.437009297E9</v>
      </c>
    </row>
    <row r="1956">
      <c r="A1956" s="4" t="s">
        <v>10</v>
      </c>
      <c r="B1956" s="5">
        <v>44475.0</v>
      </c>
      <c r="C1956" s="6">
        <v>49.66</v>
      </c>
      <c r="D1956" s="11">
        <v>-0.28</v>
      </c>
      <c r="E1956" s="12">
        <v>-0.0056</v>
      </c>
      <c r="F1956" s="6">
        <v>49.2</v>
      </c>
      <c r="G1956" s="6">
        <v>49.11</v>
      </c>
      <c r="H1956" s="6">
        <v>49.71</v>
      </c>
      <c r="I1956" s="9">
        <v>5.7466033E7</v>
      </c>
      <c r="J1956" s="6">
        <v>2.840758038E9</v>
      </c>
    </row>
    <row r="1957">
      <c r="A1957" s="4" t="s">
        <v>10</v>
      </c>
      <c r="B1957" s="5">
        <v>44476.0</v>
      </c>
      <c r="C1957" s="6">
        <v>50.63</v>
      </c>
      <c r="D1957" s="13">
        <f>+0.97</f>
        <v>0.97</v>
      </c>
      <c r="E1957" s="14">
        <f>+1.95%</f>
        <v>0.0195</v>
      </c>
      <c r="F1957" s="6">
        <v>50.37</v>
      </c>
      <c r="G1957" s="6">
        <v>50.33</v>
      </c>
      <c r="H1957" s="6">
        <v>50.87</v>
      </c>
      <c r="I1957" s="9">
        <v>6.034511E7</v>
      </c>
      <c r="J1957" s="6">
        <v>3.056527155E9</v>
      </c>
    </row>
    <row r="1958">
      <c r="A1958" s="4" t="s">
        <v>10</v>
      </c>
      <c r="B1958" s="5">
        <v>44477.0</v>
      </c>
      <c r="C1958" s="6">
        <v>50.82</v>
      </c>
      <c r="D1958" s="13">
        <f>+0.19</f>
        <v>0.19</v>
      </c>
      <c r="E1958" s="14">
        <f>+0.38%</f>
        <v>0.0038</v>
      </c>
      <c r="F1958" s="6">
        <v>50.76</v>
      </c>
      <c r="G1958" s="6">
        <v>50.64</v>
      </c>
      <c r="H1958" s="6">
        <v>50.91</v>
      </c>
      <c r="I1958" s="9">
        <v>2.4990622E7</v>
      </c>
      <c r="J1958" s="6">
        <v>1.268999492E9</v>
      </c>
    </row>
    <row r="1959">
      <c r="A1959" s="4" t="s">
        <v>10</v>
      </c>
      <c r="B1959" s="5">
        <v>44480.0</v>
      </c>
      <c r="C1959" s="6">
        <v>50.72</v>
      </c>
      <c r="D1959" s="11">
        <v>-0.1</v>
      </c>
      <c r="E1959" s="12">
        <v>-0.002</v>
      </c>
      <c r="F1959" s="6">
        <v>51.07</v>
      </c>
      <c r="G1959" s="6">
        <v>50.7</v>
      </c>
      <c r="H1959" s="6">
        <v>51.23</v>
      </c>
      <c r="I1959" s="9">
        <v>2.6808286E7</v>
      </c>
      <c r="J1959" s="6">
        <v>1.366569001E9</v>
      </c>
    </row>
    <row r="1960">
      <c r="A1960" s="4" t="s">
        <v>10</v>
      </c>
      <c r="B1960" s="5">
        <v>44481.0</v>
      </c>
      <c r="C1960" s="6">
        <v>50.46</v>
      </c>
      <c r="D1960" s="11">
        <v>-0.26</v>
      </c>
      <c r="E1960" s="12">
        <v>-0.0051</v>
      </c>
      <c r="F1960" s="6">
        <v>50.75</v>
      </c>
      <c r="G1960" s="6">
        <v>50.42</v>
      </c>
      <c r="H1960" s="6">
        <v>50.82</v>
      </c>
      <c r="I1960" s="9">
        <v>2.930941E7</v>
      </c>
      <c r="J1960" s="6">
        <v>1.482803473E9</v>
      </c>
    </row>
    <row r="1961">
      <c r="A1961" s="4" t="s">
        <v>10</v>
      </c>
      <c r="B1961" s="5">
        <v>44482.0</v>
      </c>
      <c r="C1961" s="6">
        <v>51.16</v>
      </c>
      <c r="D1961" s="13">
        <f>+0.7</f>
        <v>0.7</v>
      </c>
      <c r="E1961" s="14">
        <f>+1.39%</f>
        <v>0.0139</v>
      </c>
      <c r="F1961" s="6">
        <v>50.93</v>
      </c>
      <c r="G1961" s="6">
        <v>50.79</v>
      </c>
      <c r="H1961" s="6">
        <v>51.26</v>
      </c>
      <c r="I1961" s="9">
        <v>3.5305567E7</v>
      </c>
      <c r="J1961" s="6">
        <v>1.803736871E9</v>
      </c>
    </row>
    <row r="1962">
      <c r="A1962" s="4" t="s">
        <v>10</v>
      </c>
      <c r="B1962" s="5">
        <v>44483.0</v>
      </c>
      <c r="C1962" s="6">
        <v>51.32</v>
      </c>
      <c r="D1962" s="13">
        <f>+0.16</f>
        <v>0.16</v>
      </c>
      <c r="E1962" s="14">
        <f>+0.31%</f>
        <v>0.0031</v>
      </c>
      <c r="F1962" s="6">
        <v>51.43</v>
      </c>
      <c r="G1962" s="6">
        <v>51.14</v>
      </c>
      <c r="H1962" s="6">
        <v>51.48</v>
      </c>
      <c r="I1962" s="9">
        <v>2.3980893E7</v>
      </c>
      <c r="J1962" s="6">
        <v>1.22963736E9</v>
      </c>
    </row>
    <row r="1963">
      <c r="A1963" s="4" t="s">
        <v>10</v>
      </c>
      <c r="B1963" s="5">
        <v>44484.0</v>
      </c>
      <c r="C1963" s="6">
        <v>51.94</v>
      </c>
      <c r="D1963" s="13">
        <f>+0.62</f>
        <v>0.62</v>
      </c>
      <c r="E1963" s="14">
        <f>+1.21%</f>
        <v>0.0121</v>
      </c>
      <c r="F1963" s="6">
        <v>51.63</v>
      </c>
      <c r="G1963" s="6">
        <v>51.52</v>
      </c>
      <c r="H1963" s="6">
        <v>52.03</v>
      </c>
      <c r="I1963" s="9">
        <v>4.1223763E7</v>
      </c>
      <c r="J1963" s="6">
        <v>2.138660429E9</v>
      </c>
    </row>
    <row r="1964">
      <c r="A1964" s="4" t="s">
        <v>10</v>
      </c>
      <c r="B1964" s="5">
        <v>44487.0</v>
      </c>
      <c r="C1964" s="6">
        <v>51.81</v>
      </c>
      <c r="D1964" s="11">
        <v>-0.13</v>
      </c>
      <c r="E1964" s="12">
        <v>-0.0025</v>
      </c>
      <c r="F1964" s="6">
        <v>51.61</v>
      </c>
      <c r="G1964" s="6">
        <v>51.57</v>
      </c>
      <c r="H1964" s="6">
        <v>51.96</v>
      </c>
      <c r="I1964" s="9">
        <v>2.6239134E7</v>
      </c>
      <c r="J1964" s="6">
        <v>1.359580812E9</v>
      </c>
    </row>
    <row r="1965">
      <c r="A1965" s="4" t="s">
        <v>10</v>
      </c>
      <c r="B1965" s="5">
        <v>44488.0</v>
      </c>
      <c r="C1965" s="6">
        <v>52.5</v>
      </c>
      <c r="D1965" s="13">
        <f>+0.69</f>
        <v>0.69</v>
      </c>
      <c r="E1965" s="14">
        <f>+1.33%</f>
        <v>0.0133</v>
      </c>
      <c r="F1965" s="6">
        <v>52.21</v>
      </c>
      <c r="G1965" s="6">
        <v>52.13</v>
      </c>
      <c r="H1965" s="6">
        <v>52.56</v>
      </c>
      <c r="I1965" s="9">
        <v>4.0639867E7</v>
      </c>
      <c r="J1965" s="6">
        <v>2.129034215E9</v>
      </c>
    </row>
    <row r="1966">
      <c r="A1966" s="4" t="s">
        <v>10</v>
      </c>
      <c r="B1966" s="5">
        <v>44489.0</v>
      </c>
      <c r="C1966" s="6">
        <v>52.49</v>
      </c>
      <c r="D1966" s="11">
        <v>-0.01</v>
      </c>
      <c r="E1966" s="12">
        <v>-2.0E-4</v>
      </c>
      <c r="F1966" s="6">
        <v>52.62</v>
      </c>
      <c r="G1966" s="6">
        <v>52.37</v>
      </c>
      <c r="H1966" s="6">
        <v>52.62</v>
      </c>
      <c r="I1966" s="9">
        <v>2.7540285E7</v>
      </c>
      <c r="J1966" s="6">
        <v>1.446469042E9</v>
      </c>
    </row>
    <row r="1967">
      <c r="A1967" s="4" t="s">
        <v>10</v>
      </c>
      <c r="B1967" s="5">
        <v>44490.0</v>
      </c>
      <c r="C1967" s="6">
        <v>52.15</v>
      </c>
      <c r="D1967" s="11">
        <v>-0.34</v>
      </c>
      <c r="E1967" s="12">
        <v>-0.0065</v>
      </c>
      <c r="F1967" s="6">
        <v>52.09</v>
      </c>
      <c r="G1967" s="6">
        <v>51.99</v>
      </c>
      <c r="H1967" s="6">
        <v>52.22</v>
      </c>
      <c r="I1967" s="9">
        <v>3.540397E7</v>
      </c>
      <c r="J1967" s="6">
        <v>1.844921084E9</v>
      </c>
    </row>
    <row r="1968">
      <c r="A1968" s="4" t="s">
        <v>10</v>
      </c>
      <c r="B1968" s="5">
        <v>44491.0</v>
      </c>
      <c r="C1968" s="6">
        <v>52.04</v>
      </c>
      <c r="D1968" s="11">
        <v>-0.11</v>
      </c>
      <c r="E1968" s="12">
        <v>-0.0021</v>
      </c>
      <c r="F1968" s="6">
        <v>52.21</v>
      </c>
      <c r="G1968" s="6">
        <v>51.85</v>
      </c>
      <c r="H1968" s="6">
        <v>52.42</v>
      </c>
      <c r="I1968" s="9">
        <v>5.1230954E7</v>
      </c>
      <c r="J1968" s="6">
        <v>2.667884361E9</v>
      </c>
    </row>
    <row r="1969">
      <c r="A1969" s="4" t="s">
        <v>10</v>
      </c>
      <c r="B1969" s="5">
        <v>44494.0</v>
      </c>
      <c r="C1969" s="6">
        <v>52.31</v>
      </c>
      <c r="D1969" s="13">
        <f>+0.27</f>
        <v>0.27</v>
      </c>
      <c r="E1969" s="14">
        <f>+0.52%</f>
        <v>0.0052</v>
      </c>
      <c r="F1969" s="6">
        <v>52.28</v>
      </c>
      <c r="G1969" s="6">
        <v>52.02</v>
      </c>
      <c r="H1969" s="6">
        <v>52.39</v>
      </c>
      <c r="I1969" s="9">
        <v>3.2479912E7</v>
      </c>
      <c r="J1969" s="6">
        <v>1.698217455E9</v>
      </c>
    </row>
    <row r="1970">
      <c r="A1970" s="4" t="s">
        <v>10</v>
      </c>
      <c r="B1970" s="5">
        <v>44495.0</v>
      </c>
      <c r="C1970" s="6">
        <v>52.04</v>
      </c>
      <c r="D1970" s="11">
        <v>-0.27</v>
      </c>
      <c r="E1970" s="12">
        <v>-0.0052</v>
      </c>
      <c r="F1970" s="6">
        <v>52.44</v>
      </c>
      <c r="G1970" s="6">
        <v>51.95</v>
      </c>
      <c r="H1970" s="6">
        <v>52.5</v>
      </c>
      <c r="I1970" s="9">
        <v>3.2195245E7</v>
      </c>
      <c r="J1970" s="6">
        <v>1.680622226E9</v>
      </c>
    </row>
    <row r="1971">
      <c r="A1971" s="4" t="s">
        <v>10</v>
      </c>
      <c r="B1971" s="5">
        <v>44496.0</v>
      </c>
      <c r="C1971" s="6">
        <v>51.62</v>
      </c>
      <c r="D1971" s="11">
        <v>-0.42</v>
      </c>
      <c r="E1971" s="12">
        <v>-0.0081</v>
      </c>
      <c r="F1971" s="6">
        <v>51.72</v>
      </c>
      <c r="G1971" s="6">
        <v>51.57</v>
      </c>
      <c r="H1971" s="6">
        <v>51.97</v>
      </c>
      <c r="I1971" s="9">
        <v>3.2422138E7</v>
      </c>
      <c r="J1971" s="6">
        <v>1.677451321E9</v>
      </c>
    </row>
    <row r="1972">
      <c r="A1972" s="4" t="s">
        <v>10</v>
      </c>
      <c r="B1972" s="5">
        <v>44497.0</v>
      </c>
      <c r="C1972" s="6">
        <v>51.67</v>
      </c>
      <c r="D1972" s="13">
        <f>+0.05</f>
        <v>0.05</v>
      </c>
      <c r="E1972" s="14">
        <f>+0.1%</f>
        <v>0.001</v>
      </c>
      <c r="F1972" s="6">
        <v>51.39</v>
      </c>
      <c r="G1972" s="6">
        <v>51.25</v>
      </c>
      <c r="H1972" s="6">
        <v>51.67</v>
      </c>
      <c r="I1972" s="9">
        <v>2.7363496E7</v>
      </c>
      <c r="J1972" s="6">
        <v>1.410043096E9</v>
      </c>
    </row>
    <row r="1973">
      <c r="A1973" s="4" t="s">
        <v>10</v>
      </c>
      <c r="B1973" s="5">
        <v>44498.0</v>
      </c>
      <c r="C1973" s="6">
        <v>50.92</v>
      </c>
      <c r="D1973" s="11">
        <v>-0.75</v>
      </c>
      <c r="E1973" s="12">
        <v>-0.0145</v>
      </c>
      <c r="F1973" s="6">
        <v>50.99</v>
      </c>
      <c r="G1973" s="6">
        <v>50.65</v>
      </c>
      <c r="H1973" s="6">
        <v>51.07</v>
      </c>
      <c r="I1973" s="9">
        <v>5.1488872E7</v>
      </c>
      <c r="J1973" s="6">
        <v>2.619032894E9</v>
      </c>
    </row>
    <row r="1974">
      <c r="A1974" s="4" t="s">
        <v>10</v>
      </c>
      <c r="B1974" s="5">
        <v>44501.0</v>
      </c>
      <c r="C1974" s="6">
        <v>51.32</v>
      </c>
      <c r="D1974" s="13">
        <f>+0.4</f>
        <v>0.4</v>
      </c>
      <c r="E1974" s="14">
        <f>+0.79%</f>
        <v>0.0079</v>
      </c>
      <c r="F1974" s="6">
        <v>50.89</v>
      </c>
      <c r="G1974" s="6">
        <v>50.85</v>
      </c>
      <c r="H1974" s="6">
        <v>51.34</v>
      </c>
      <c r="I1974" s="9">
        <v>3.119744E7</v>
      </c>
      <c r="J1974" s="6">
        <v>1.597622561E9</v>
      </c>
    </row>
    <row r="1975">
      <c r="A1975" s="4" t="s">
        <v>10</v>
      </c>
      <c r="B1975" s="5">
        <v>44502.0</v>
      </c>
      <c r="C1975" s="6">
        <v>50.86</v>
      </c>
      <c r="D1975" s="11">
        <v>-0.46</v>
      </c>
      <c r="E1975" s="12">
        <v>-0.009</v>
      </c>
      <c r="F1975" s="6">
        <v>50.95</v>
      </c>
      <c r="G1975" s="6">
        <v>50.78</v>
      </c>
      <c r="H1975" s="6">
        <v>50.98</v>
      </c>
      <c r="I1975" s="9">
        <v>3.4098046E7</v>
      </c>
      <c r="J1975" s="6">
        <v>1.734775999E9</v>
      </c>
    </row>
    <row r="1976">
      <c r="A1976" s="4" t="s">
        <v>10</v>
      </c>
      <c r="B1976" s="5">
        <v>44503.0</v>
      </c>
      <c r="C1976" s="6">
        <v>51.1</v>
      </c>
      <c r="D1976" s="13">
        <f>+0.24</f>
        <v>0.24</v>
      </c>
      <c r="E1976" s="14">
        <f>+0.47%</f>
        <v>0.0047</v>
      </c>
      <c r="F1976" s="6">
        <v>50.8</v>
      </c>
      <c r="G1976" s="6">
        <v>50.62</v>
      </c>
      <c r="H1976" s="6">
        <v>51.18</v>
      </c>
      <c r="I1976" s="9">
        <v>4.9350822E7</v>
      </c>
      <c r="J1976" s="6">
        <v>2.513758763E9</v>
      </c>
    </row>
    <row r="1977">
      <c r="A1977" s="4" t="s">
        <v>10</v>
      </c>
      <c r="B1977" s="5">
        <v>44504.0</v>
      </c>
      <c r="C1977" s="6">
        <v>50.98</v>
      </c>
      <c r="D1977" s="11">
        <v>-0.12</v>
      </c>
      <c r="E1977" s="12">
        <v>-0.0023</v>
      </c>
      <c r="F1977" s="6">
        <v>51.21</v>
      </c>
      <c r="G1977" s="6">
        <v>50.8</v>
      </c>
      <c r="H1977" s="6">
        <v>51.24</v>
      </c>
      <c r="I1977" s="9">
        <v>2.3722435E7</v>
      </c>
      <c r="J1977" s="6">
        <v>1.209601046E9</v>
      </c>
    </row>
    <row r="1978">
      <c r="A1978" s="4" t="s">
        <v>10</v>
      </c>
      <c r="B1978" s="5">
        <v>44505.0</v>
      </c>
      <c r="C1978" s="6">
        <v>50.92</v>
      </c>
      <c r="D1978" s="11">
        <v>-0.06</v>
      </c>
      <c r="E1978" s="12">
        <v>-0.0012</v>
      </c>
      <c r="F1978" s="6">
        <v>51.16</v>
      </c>
      <c r="G1978" s="6">
        <v>50.75</v>
      </c>
      <c r="H1978" s="6">
        <v>51.18</v>
      </c>
      <c r="I1978" s="9">
        <v>2.3969881E7</v>
      </c>
      <c r="J1978" s="6">
        <v>1.221046991E9</v>
      </c>
    </row>
    <row r="1979">
      <c r="A1979" s="4" t="s">
        <v>10</v>
      </c>
      <c r="B1979" s="5">
        <v>44508.0</v>
      </c>
      <c r="C1979" s="6">
        <v>51.39</v>
      </c>
      <c r="D1979" s="13">
        <f>+0.47</f>
        <v>0.47</v>
      </c>
      <c r="E1979" s="14">
        <f>+0.92%</f>
        <v>0.0092</v>
      </c>
      <c r="F1979" s="6">
        <v>51.28</v>
      </c>
      <c r="G1979" s="6">
        <v>51.22</v>
      </c>
      <c r="H1979" s="6">
        <v>51.45</v>
      </c>
      <c r="I1979" s="9">
        <v>2.3735312E7</v>
      </c>
      <c r="J1979" s="6">
        <v>1.218981958E9</v>
      </c>
    </row>
    <row r="1980">
      <c r="A1980" s="4" t="s">
        <v>10</v>
      </c>
      <c r="B1980" s="5">
        <v>44509.0</v>
      </c>
      <c r="C1980" s="6">
        <v>51.19</v>
      </c>
      <c r="D1980" s="11">
        <v>-0.2</v>
      </c>
      <c r="E1980" s="12">
        <v>-0.0039</v>
      </c>
      <c r="F1980" s="6">
        <v>51.42</v>
      </c>
      <c r="G1980" s="6">
        <v>51.1</v>
      </c>
      <c r="H1980" s="6">
        <v>51.58</v>
      </c>
      <c r="I1980" s="9">
        <v>2.8482154E7</v>
      </c>
      <c r="J1980" s="6">
        <v>1.459173347E9</v>
      </c>
    </row>
    <row r="1981">
      <c r="A1981" s="4" t="s">
        <v>10</v>
      </c>
      <c r="B1981" s="5">
        <v>44510.0</v>
      </c>
      <c r="C1981" s="6">
        <v>50.98</v>
      </c>
      <c r="D1981" s="11">
        <v>-0.21</v>
      </c>
      <c r="E1981" s="12">
        <v>-0.0041</v>
      </c>
      <c r="F1981" s="6">
        <v>51.31</v>
      </c>
      <c r="G1981" s="6">
        <v>50.86</v>
      </c>
      <c r="H1981" s="6">
        <v>51.53</v>
      </c>
      <c r="I1981" s="9">
        <v>3.6032563E7</v>
      </c>
      <c r="J1981" s="6">
        <v>1.844452787E9</v>
      </c>
    </row>
    <row r="1982">
      <c r="A1982" s="4" t="s">
        <v>10</v>
      </c>
      <c r="B1982" s="5">
        <v>44511.0</v>
      </c>
      <c r="C1982" s="6">
        <v>51.86</v>
      </c>
      <c r="D1982" s="13">
        <f>+0.88</f>
        <v>0.88</v>
      </c>
      <c r="E1982" s="14">
        <f>+1.73%</f>
        <v>0.0173</v>
      </c>
      <c r="F1982" s="6">
        <v>51.65</v>
      </c>
      <c r="G1982" s="6">
        <v>51.64</v>
      </c>
      <c r="H1982" s="6">
        <v>52.0</v>
      </c>
      <c r="I1982" s="9">
        <v>5.5636791E7</v>
      </c>
      <c r="J1982" s="6">
        <v>2.886157638E9</v>
      </c>
    </row>
    <row r="1983">
      <c r="A1983" s="4" t="s">
        <v>10</v>
      </c>
      <c r="B1983" s="5">
        <v>44512.0</v>
      </c>
      <c r="C1983" s="6">
        <v>52.0</v>
      </c>
      <c r="D1983" s="13">
        <f>+0.14</f>
        <v>0.14</v>
      </c>
      <c r="E1983" s="14">
        <f>+0.27%</f>
        <v>0.0027</v>
      </c>
      <c r="F1983" s="6">
        <v>51.85</v>
      </c>
      <c r="G1983" s="6">
        <v>51.78</v>
      </c>
      <c r="H1983" s="6">
        <v>52.06</v>
      </c>
      <c r="I1983" s="9">
        <v>3.195619E7</v>
      </c>
      <c r="J1983" s="6">
        <v>1.660449816E9</v>
      </c>
    </row>
    <row r="1984">
      <c r="A1984" s="4" t="s">
        <v>10</v>
      </c>
      <c r="B1984" s="5">
        <v>44515.0</v>
      </c>
      <c r="C1984" s="6">
        <v>51.83</v>
      </c>
      <c r="D1984" s="11">
        <v>-0.17</v>
      </c>
      <c r="E1984" s="12">
        <v>-0.0033</v>
      </c>
      <c r="F1984" s="6">
        <v>52.12</v>
      </c>
      <c r="G1984" s="6">
        <v>51.78</v>
      </c>
      <c r="H1984" s="6">
        <v>52.14</v>
      </c>
      <c r="I1984" s="9">
        <v>3.161066E7</v>
      </c>
      <c r="J1984" s="6">
        <v>1.63964326E9</v>
      </c>
    </row>
    <row r="1985">
      <c r="A1985" s="4" t="s">
        <v>10</v>
      </c>
      <c r="B1985" s="5">
        <v>44516.0</v>
      </c>
      <c r="C1985" s="6">
        <v>51.9</v>
      </c>
      <c r="D1985" s="13">
        <f>+0.07</f>
        <v>0.07</v>
      </c>
      <c r="E1985" s="14">
        <f>+0.14%</f>
        <v>0.0014</v>
      </c>
      <c r="F1985" s="6">
        <v>51.91</v>
      </c>
      <c r="G1985" s="6">
        <v>51.71</v>
      </c>
      <c r="H1985" s="6">
        <v>52.01</v>
      </c>
      <c r="I1985" s="9">
        <v>3.2899225E7</v>
      </c>
      <c r="J1985" s="6">
        <v>1.707071889E9</v>
      </c>
    </row>
    <row r="1986">
      <c r="A1986" s="4" t="s">
        <v>10</v>
      </c>
      <c r="B1986" s="5">
        <v>44517.0</v>
      </c>
      <c r="C1986" s="6">
        <v>51.63</v>
      </c>
      <c r="D1986" s="11">
        <v>-0.27</v>
      </c>
      <c r="E1986" s="12">
        <v>-0.0052</v>
      </c>
      <c r="F1986" s="6">
        <v>51.96</v>
      </c>
      <c r="G1986" s="6">
        <v>51.48</v>
      </c>
      <c r="H1986" s="6">
        <v>51.98</v>
      </c>
      <c r="I1986" s="9">
        <v>2.2601919E7</v>
      </c>
      <c r="J1986" s="6">
        <v>1.167044955E9</v>
      </c>
    </row>
    <row r="1987">
      <c r="A1987" s="4" t="s">
        <v>10</v>
      </c>
      <c r="B1987" s="5">
        <v>44518.0</v>
      </c>
      <c r="C1987" s="6">
        <v>51.0</v>
      </c>
      <c r="D1987" s="11">
        <v>-0.63</v>
      </c>
      <c r="E1987" s="12">
        <v>-0.0122</v>
      </c>
      <c r="F1987" s="6">
        <v>51.12</v>
      </c>
      <c r="G1987" s="6">
        <v>50.75</v>
      </c>
      <c r="H1987" s="6">
        <v>51.14</v>
      </c>
      <c r="I1987" s="9">
        <v>3.671987E7</v>
      </c>
      <c r="J1987" s="6">
        <v>1.871937622E9</v>
      </c>
    </row>
    <row r="1988">
      <c r="A1988" s="4" t="s">
        <v>10</v>
      </c>
      <c r="B1988" s="5">
        <v>44519.0</v>
      </c>
      <c r="C1988" s="6">
        <v>50.92</v>
      </c>
      <c r="D1988" s="11">
        <v>-0.08</v>
      </c>
      <c r="E1988" s="12">
        <v>-0.0016</v>
      </c>
      <c r="F1988" s="6">
        <v>51.06</v>
      </c>
      <c r="G1988" s="6">
        <v>50.89</v>
      </c>
      <c r="H1988" s="6">
        <v>51.23</v>
      </c>
      <c r="I1988" s="9">
        <v>3.6975739E7</v>
      </c>
      <c r="J1988" s="6">
        <v>1.885995327E9</v>
      </c>
    </row>
    <row r="1989">
      <c r="A1989" s="4" t="s">
        <v>10</v>
      </c>
      <c r="B1989" s="5">
        <v>44522.0</v>
      </c>
      <c r="C1989" s="6">
        <v>50.51</v>
      </c>
      <c r="D1989" s="11">
        <v>-0.41</v>
      </c>
      <c r="E1989" s="12">
        <v>-0.0081</v>
      </c>
      <c r="F1989" s="6">
        <v>50.85</v>
      </c>
      <c r="G1989" s="6">
        <v>50.49</v>
      </c>
      <c r="H1989" s="6">
        <v>50.99</v>
      </c>
      <c r="I1989" s="9">
        <v>3.7116192E7</v>
      </c>
      <c r="J1989" s="6">
        <v>1.882705947E9</v>
      </c>
    </row>
    <row r="1990">
      <c r="A1990" s="4" t="s">
        <v>10</v>
      </c>
      <c r="B1990" s="5">
        <v>44523.0</v>
      </c>
      <c r="C1990" s="6">
        <v>50.46</v>
      </c>
      <c r="D1990" s="11">
        <v>-0.05</v>
      </c>
      <c r="E1990" s="12">
        <v>-0.001</v>
      </c>
      <c r="F1990" s="6">
        <v>50.52</v>
      </c>
      <c r="G1990" s="6">
        <v>50.24</v>
      </c>
      <c r="H1990" s="6">
        <v>50.71</v>
      </c>
      <c r="I1990" s="9">
        <v>3.8638436E7</v>
      </c>
      <c r="J1990" s="6">
        <v>1.949259196E9</v>
      </c>
    </row>
    <row r="1991">
      <c r="A1991" s="4" t="s">
        <v>10</v>
      </c>
      <c r="B1991" s="5">
        <v>44524.0</v>
      </c>
      <c r="C1991" s="6">
        <v>50.39</v>
      </c>
      <c r="D1991" s="11">
        <v>-0.07</v>
      </c>
      <c r="E1991" s="12">
        <v>-0.0014</v>
      </c>
      <c r="F1991" s="6">
        <v>50.14</v>
      </c>
      <c r="G1991" s="6">
        <v>50.02</v>
      </c>
      <c r="H1991" s="6">
        <v>50.4</v>
      </c>
      <c r="I1991" s="9">
        <v>3.2810646E7</v>
      </c>
      <c r="J1991" s="6">
        <v>1.649140131E9</v>
      </c>
    </row>
    <row r="1992">
      <c r="A1992" s="4" t="s">
        <v>10</v>
      </c>
      <c r="B1992" s="5">
        <v>44526.0</v>
      </c>
      <c r="C1992" s="6">
        <v>48.7</v>
      </c>
      <c r="D1992" s="11">
        <v>-1.69</v>
      </c>
      <c r="E1992" s="12">
        <v>-0.0335</v>
      </c>
      <c r="F1992" s="6">
        <v>49.07</v>
      </c>
      <c r="G1992" s="6">
        <v>48.51</v>
      </c>
      <c r="H1992" s="6">
        <v>49.11</v>
      </c>
      <c r="I1992" s="9">
        <v>5.802326E7</v>
      </c>
      <c r="J1992" s="6">
        <v>2.827979699E9</v>
      </c>
    </row>
    <row r="1993">
      <c r="A1993" s="4" t="s">
        <v>10</v>
      </c>
      <c r="B1993" s="5">
        <v>44529.0</v>
      </c>
      <c r="C1993" s="6">
        <v>48.89</v>
      </c>
      <c r="D1993" s="13">
        <f>+0.19</f>
        <v>0.19</v>
      </c>
      <c r="E1993" s="14">
        <f>+0.39%</f>
        <v>0.0039</v>
      </c>
      <c r="F1993" s="6">
        <v>49.21</v>
      </c>
      <c r="G1993" s="6">
        <v>48.73</v>
      </c>
      <c r="H1993" s="6">
        <v>49.22</v>
      </c>
      <c r="I1993" s="9">
        <v>4.4405045E7</v>
      </c>
      <c r="J1993" s="6">
        <v>2.172608784E9</v>
      </c>
    </row>
    <row r="1994">
      <c r="A1994" s="4" t="s">
        <v>10</v>
      </c>
      <c r="B1994" s="5">
        <v>44530.0</v>
      </c>
      <c r="C1994" s="6">
        <v>48.84</v>
      </c>
      <c r="D1994" s="11">
        <v>-0.05</v>
      </c>
      <c r="E1994" s="12">
        <v>-0.001</v>
      </c>
      <c r="F1994" s="6">
        <v>48.89</v>
      </c>
      <c r="G1994" s="6">
        <v>48.35</v>
      </c>
      <c r="H1994" s="6">
        <v>49.17</v>
      </c>
      <c r="I1994" s="9">
        <v>8.1647456E7</v>
      </c>
      <c r="J1994" s="6">
        <v>3.983094899E9</v>
      </c>
    </row>
    <row r="1995">
      <c r="A1995" s="4" t="s">
        <v>10</v>
      </c>
      <c r="B1995" s="5">
        <v>44531.0</v>
      </c>
      <c r="C1995" s="6">
        <v>49.02</v>
      </c>
      <c r="D1995" s="13">
        <f>+0.18</f>
        <v>0.18</v>
      </c>
      <c r="E1995" s="14">
        <f>+0.37%</f>
        <v>0.0037</v>
      </c>
      <c r="F1995" s="6">
        <v>49.61</v>
      </c>
      <c r="G1995" s="6">
        <v>48.99</v>
      </c>
      <c r="H1995" s="6">
        <v>49.98</v>
      </c>
      <c r="I1995" s="9">
        <v>5.2674807E7</v>
      </c>
      <c r="J1995" s="6">
        <v>2.6064948E9</v>
      </c>
    </row>
    <row r="1996">
      <c r="A1996" s="4" t="s">
        <v>10</v>
      </c>
      <c r="B1996" s="5">
        <v>44532.0</v>
      </c>
      <c r="C1996" s="6">
        <v>49.62</v>
      </c>
      <c r="D1996" s="13">
        <f>+0.6</f>
        <v>0.6</v>
      </c>
      <c r="E1996" s="14">
        <f>+1.22%</f>
        <v>0.0122</v>
      </c>
      <c r="F1996" s="6">
        <v>49.61</v>
      </c>
      <c r="G1996" s="6">
        <v>49.35</v>
      </c>
      <c r="H1996" s="6">
        <v>49.97</v>
      </c>
      <c r="I1996" s="9">
        <v>7.3971372E7</v>
      </c>
      <c r="J1996" s="6">
        <v>3.676250818E9</v>
      </c>
    </row>
    <row r="1997">
      <c r="A1997" s="4" t="s">
        <v>10</v>
      </c>
      <c r="B1997" s="5">
        <v>44533.0</v>
      </c>
      <c r="C1997" s="6">
        <v>48.92</v>
      </c>
      <c r="D1997" s="11">
        <v>-0.7</v>
      </c>
      <c r="E1997" s="12">
        <v>-0.0141</v>
      </c>
      <c r="F1997" s="6">
        <v>49.56</v>
      </c>
      <c r="G1997" s="6">
        <v>48.71</v>
      </c>
      <c r="H1997" s="6">
        <v>49.65</v>
      </c>
      <c r="I1997" s="9">
        <v>7.9115063E7</v>
      </c>
      <c r="J1997" s="6">
        <v>3.875442219E9</v>
      </c>
    </row>
    <row r="1998">
      <c r="A1998" s="4" t="s">
        <v>10</v>
      </c>
      <c r="B1998" s="5">
        <v>44536.0</v>
      </c>
      <c r="C1998" s="6">
        <v>49.3</v>
      </c>
      <c r="D1998" s="13">
        <f>+0.38</f>
        <v>0.38</v>
      </c>
      <c r="E1998" s="14">
        <f>+0.78%</f>
        <v>0.0078</v>
      </c>
      <c r="F1998" s="6">
        <v>48.88</v>
      </c>
      <c r="G1998" s="6">
        <v>48.67</v>
      </c>
      <c r="H1998" s="6">
        <v>49.33</v>
      </c>
      <c r="I1998" s="9">
        <v>5.4871289E7</v>
      </c>
      <c r="J1998" s="6">
        <v>2.69506529E9</v>
      </c>
    </row>
    <row r="1999">
      <c r="A1999" s="4" t="s">
        <v>10</v>
      </c>
      <c r="B1999" s="5">
        <v>44537.0</v>
      </c>
      <c r="C1999" s="6">
        <v>50.08</v>
      </c>
      <c r="D1999" s="13">
        <f>+0.78</f>
        <v>0.78</v>
      </c>
      <c r="E1999" s="14">
        <f>+1.58%</f>
        <v>0.0158</v>
      </c>
      <c r="F1999" s="6">
        <v>49.91</v>
      </c>
      <c r="G1999" s="6">
        <v>49.87</v>
      </c>
      <c r="H1999" s="6">
        <v>50.11</v>
      </c>
      <c r="I1999" s="9">
        <v>5.1825037E7</v>
      </c>
      <c r="J1999" s="6">
        <v>2.592309085E9</v>
      </c>
    </row>
    <row r="2000">
      <c r="A2000" s="4" t="s">
        <v>10</v>
      </c>
      <c r="B2000" s="5">
        <v>44538.0</v>
      </c>
      <c r="C2000" s="6">
        <v>50.28</v>
      </c>
      <c r="D2000" s="13">
        <f>+0.2</f>
        <v>0.2</v>
      </c>
      <c r="E2000" s="14">
        <f>+0.4%</f>
        <v>0.004</v>
      </c>
      <c r="F2000" s="6">
        <v>50.1</v>
      </c>
      <c r="G2000" s="6">
        <v>49.97</v>
      </c>
      <c r="H2000" s="6">
        <v>50.42</v>
      </c>
      <c r="I2000" s="9">
        <v>3.8176506E7</v>
      </c>
      <c r="J2000" s="6">
        <v>1.918917022E9</v>
      </c>
    </row>
    <row r="2001">
      <c r="A2001" s="4" t="s">
        <v>10</v>
      </c>
      <c r="B2001" s="5">
        <v>44539.0</v>
      </c>
      <c r="C2001" s="6">
        <v>50.04</v>
      </c>
      <c r="D2001" s="11">
        <v>-0.24</v>
      </c>
      <c r="E2001" s="12">
        <v>-0.0048</v>
      </c>
      <c r="F2001" s="6">
        <v>50.12</v>
      </c>
      <c r="G2001" s="6">
        <v>49.98</v>
      </c>
      <c r="H2001" s="6">
        <v>50.31</v>
      </c>
      <c r="I2001" s="9">
        <v>3.6476036E7</v>
      </c>
      <c r="J2001" s="6">
        <v>1.828487189E9</v>
      </c>
    </row>
    <row r="2002">
      <c r="A2002" s="4" t="s">
        <v>10</v>
      </c>
      <c r="B2002" s="5">
        <v>44540.0</v>
      </c>
      <c r="C2002" s="6">
        <v>50.08</v>
      </c>
      <c r="D2002" s="13">
        <f>+0.04</f>
        <v>0.04</v>
      </c>
      <c r="E2002" s="14">
        <f>+0.08%</f>
        <v>0.0008</v>
      </c>
      <c r="F2002" s="6">
        <v>50.03</v>
      </c>
      <c r="G2002" s="6">
        <v>49.9</v>
      </c>
      <c r="H2002" s="6">
        <v>50.15</v>
      </c>
      <c r="I2002" s="9">
        <v>4.2011276E7</v>
      </c>
      <c r="J2002" s="6">
        <v>2.101461502E9</v>
      </c>
    </row>
    <row r="2003">
      <c r="A2003" s="4" t="s">
        <v>10</v>
      </c>
      <c r="B2003" s="5">
        <v>44543.0</v>
      </c>
      <c r="C2003" s="6">
        <v>48.59</v>
      </c>
      <c r="D2003" s="11">
        <v>-1.49</v>
      </c>
      <c r="E2003" s="12">
        <v>-0.0298</v>
      </c>
      <c r="F2003" s="6">
        <v>48.98</v>
      </c>
      <c r="G2003" s="6">
        <v>48.47</v>
      </c>
      <c r="H2003" s="6">
        <v>49.03</v>
      </c>
      <c r="I2003" s="9">
        <v>5.0773405E7</v>
      </c>
      <c r="J2003" s="6">
        <v>2.469716974E9</v>
      </c>
    </row>
    <row r="2004">
      <c r="A2004" s="4" t="s">
        <v>10</v>
      </c>
      <c r="B2004" s="5">
        <v>44544.0</v>
      </c>
      <c r="C2004" s="6">
        <v>48.48</v>
      </c>
      <c r="D2004" s="11">
        <v>-0.11</v>
      </c>
      <c r="E2004" s="12">
        <v>-0.0023</v>
      </c>
      <c r="F2004" s="6">
        <v>48.31</v>
      </c>
      <c r="G2004" s="6">
        <v>48.27</v>
      </c>
      <c r="H2004" s="6">
        <v>48.61</v>
      </c>
      <c r="I2004" s="9">
        <v>4.2023896E7</v>
      </c>
      <c r="J2004" s="6">
        <v>2.03529263E9</v>
      </c>
    </row>
    <row r="2005">
      <c r="A2005" s="4" t="s">
        <v>10</v>
      </c>
      <c r="B2005" s="5">
        <v>44545.0</v>
      </c>
      <c r="C2005" s="6">
        <v>48.34</v>
      </c>
      <c r="D2005" s="11">
        <v>-0.14</v>
      </c>
      <c r="E2005" s="12">
        <v>-0.0029</v>
      </c>
      <c r="F2005" s="6">
        <v>48.16</v>
      </c>
      <c r="G2005" s="6">
        <v>47.65</v>
      </c>
      <c r="H2005" s="6">
        <v>48.38</v>
      </c>
      <c r="I2005" s="9">
        <v>5.7129094E7</v>
      </c>
      <c r="J2005" s="6">
        <v>2.742786202E9</v>
      </c>
    </row>
    <row r="2006">
      <c r="A2006" s="4" t="s">
        <v>10</v>
      </c>
      <c r="B2006" s="5">
        <v>44546.0</v>
      </c>
      <c r="C2006" s="6">
        <v>48.4</v>
      </c>
      <c r="D2006" s="13">
        <f>+0.06</f>
        <v>0.06</v>
      </c>
      <c r="E2006" s="14">
        <f>+0.12%</f>
        <v>0.0012</v>
      </c>
      <c r="F2006" s="6">
        <v>48.72</v>
      </c>
      <c r="G2006" s="6">
        <v>48.31</v>
      </c>
      <c r="H2006" s="6">
        <v>48.91</v>
      </c>
      <c r="I2006" s="9">
        <v>6.0401128E7</v>
      </c>
      <c r="J2006" s="6">
        <v>2.931722208E9</v>
      </c>
    </row>
    <row r="2007">
      <c r="A2007" s="4" t="s">
        <v>10</v>
      </c>
      <c r="B2007" s="5">
        <v>44547.0</v>
      </c>
      <c r="C2007" s="6">
        <v>48.16</v>
      </c>
      <c r="D2007" s="11">
        <v>-0.24</v>
      </c>
      <c r="E2007" s="12">
        <v>-0.005</v>
      </c>
      <c r="F2007" s="6">
        <v>48.04</v>
      </c>
      <c r="G2007" s="6">
        <v>47.94</v>
      </c>
      <c r="H2007" s="6">
        <v>48.35</v>
      </c>
      <c r="I2007" s="9">
        <v>5.5498587E7</v>
      </c>
      <c r="J2007" s="6">
        <v>2.673386414E9</v>
      </c>
    </row>
    <row r="2008">
      <c r="A2008" s="4" t="s">
        <v>10</v>
      </c>
      <c r="B2008" s="5">
        <v>44550.0</v>
      </c>
      <c r="C2008" s="6">
        <v>47.44</v>
      </c>
      <c r="D2008" s="11">
        <v>-0.72</v>
      </c>
      <c r="E2008" s="12">
        <v>-0.015</v>
      </c>
      <c r="F2008" s="6">
        <v>47.49</v>
      </c>
      <c r="G2008" s="6">
        <v>47.15</v>
      </c>
      <c r="H2008" s="6">
        <v>47.49</v>
      </c>
      <c r="I2008" s="9">
        <v>4.0091657E7</v>
      </c>
      <c r="J2008" s="6">
        <v>1.898387736E9</v>
      </c>
    </row>
    <row r="2009">
      <c r="A2009" s="4" t="s">
        <v>10</v>
      </c>
      <c r="B2009" s="5">
        <v>44551.0</v>
      </c>
      <c r="C2009" s="6">
        <v>48.24</v>
      </c>
      <c r="D2009" s="13">
        <f>+0.8</f>
        <v>0.8</v>
      </c>
      <c r="E2009" s="14">
        <f>+1.69%</f>
        <v>0.0169</v>
      </c>
      <c r="F2009" s="6">
        <v>47.83</v>
      </c>
      <c r="G2009" s="6">
        <v>47.8</v>
      </c>
      <c r="H2009" s="6">
        <v>48.25</v>
      </c>
      <c r="I2009" s="9">
        <v>3.1786877E7</v>
      </c>
      <c r="J2009" s="6">
        <v>1.528301033E9</v>
      </c>
    </row>
    <row r="2010">
      <c r="A2010" s="4" t="s">
        <v>10</v>
      </c>
      <c r="B2010" s="5">
        <v>44552.0</v>
      </c>
      <c r="C2010" s="6">
        <v>48.47</v>
      </c>
      <c r="D2010" s="13">
        <f>+0.23</f>
        <v>0.23</v>
      </c>
      <c r="E2010" s="14">
        <f>+0.48%</f>
        <v>0.0048</v>
      </c>
      <c r="F2010" s="6">
        <v>48.1</v>
      </c>
      <c r="G2010" s="6">
        <v>48.0</v>
      </c>
      <c r="H2010" s="6">
        <v>48.49</v>
      </c>
      <c r="I2010" s="9">
        <v>2.7630845E7</v>
      </c>
      <c r="J2010" s="6">
        <v>1.335572528E9</v>
      </c>
    </row>
    <row r="2011">
      <c r="A2011" s="4" t="s">
        <v>10</v>
      </c>
      <c r="B2011" s="5">
        <v>44553.0</v>
      </c>
      <c r="C2011" s="6">
        <v>48.72</v>
      </c>
      <c r="D2011" s="13">
        <f>+0.25</f>
        <v>0.25</v>
      </c>
      <c r="E2011" s="14">
        <f>+0.52%</f>
        <v>0.0052</v>
      </c>
      <c r="F2011" s="6">
        <v>48.54</v>
      </c>
      <c r="G2011" s="6">
        <v>48.4</v>
      </c>
      <c r="H2011" s="6">
        <v>48.81</v>
      </c>
      <c r="I2011" s="9">
        <v>2.2174437E7</v>
      </c>
      <c r="J2011" s="6">
        <v>1.078845124E9</v>
      </c>
    </row>
    <row r="2012">
      <c r="A2012" s="4" t="s">
        <v>10</v>
      </c>
      <c r="B2012" s="5">
        <v>44557.0</v>
      </c>
      <c r="C2012" s="6">
        <v>48.94</v>
      </c>
      <c r="D2012" s="13">
        <f>+0.22</f>
        <v>0.22</v>
      </c>
      <c r="E2012" s="14">
        <f>+0.45%</f>
        <v>0.0045</v>
      </c>
      <c r="F2012" s="6">
        <v>48.73</v>
      </c>
      <c r="G2012" s="6">
        <v>48.73</v>
      </c>
      <c r="H2012" s="6">
        <v>49.01</v>
      </c>
      <c r="I2012" s="9">
        <v>2.7012674E7</v>
      </c>
      <c r="J2012" s="6">
        <v>1.321483239E9</v>
      </c>
    </row>
    <row r="2013">
      <c r="A2013" s="4" t="s">
        <v>10</v>
      </c>
      <c r="B2013" s="5">
        <v>44558.0</v>
      </c>
      <c r="C2013" s="6">
        <v>48.78</v>
      </c>
      <c r="D2013" s="11">
        <v>-0.16</v>
      </c>
      <c r="E2013" s="12">
        <v>-0.0033</v>
      </c>
      <c r="F2013" s="6">
        <v>48.96</v>
      </c>
      <c r="G2013" s="6">
        <v>48.76</v>
      </c>
      <c r="H2013" s="6">
        <v>49.0</v>
      </c>
      <c r="I2013" s="9">
        <v>2.452984E7</v>
      </c>
      <c r="J2013" s="6">
        <v>1.198154122E9</v>
      </c>
    </row>
    <row r="2014">
      <c r="A2014" s="4" t="s">
        <v>10</v>
      </c>
      <c r="B2014" s="5">
        <v>44559.0</v>
      </c>
      <c r="C2014" s="6">
        <v>48.56</v>
      </c>
      <c r="D2014" s="11">
        <v>-0.22</v>
      </c>
      <c r="E2014" s="12">
        <v>-0.0045</v>
      </c>
      <c r="F2014" s="6">
        <v>48.69</v>
      </c>
      <c r="G2014" s="6">
        <v>48.34</v>
      </c>
      <c r="H2014" s="6">
        <v>48.71</v>
      </c>
      <c r="I2014" s="9">
        <v>2.7939159E7</v>
      </c>
      <c r="J2014" s="6">
        <v>1.355829565E9</v>
      </c>
    </row>
    <row r="2015">
      <c r="A2015" s="4" t="s">
        <v>10</v>
      </c>
      <c r="B2015" s="5">
        <v>44560.0</v>
      </c>
      <c r="C2015" s="6">
        <v>49.09</v>
      </c>
      <c r="D2015" s="13">
        <f>+0.53</f>
        <v>0.53</v>
      </c>
      <c r="E2015" s="14">
        <f>+1.09%</f>
        <v>0.0109</v>
      </c>
      <c r="F2015" s="6">
        <v>48.5</v>
      </c>
      <c r="G2015" s="6">
        <v>48.5</v>
      </c>
      <c r="H2015" s="6">
        <v>49.22</v>
      </c>
      <c r="I2015" s="9">
        <v>3.490027E7</v>
      </c>
      <c r="J2015" s="6">
        <v>1.710713327E9</v>
      </c>
    </row>
    <row r="2016">
      <c r="A2016" s="15" t="s">
        <v>10</v>
      </c>
      <c r="B2016" s="5">
        <v>44561.0</v>
      </c>
      <c r="C2016" s="6">
        <v>48.85</v>
      </c>
      <c r="D2016" s="11">
        <v>-0.24</v>
      </c>
      <c r="E2016" s="12">
        <v>-0.0049</v>
      </c>
      <c r="F2016" s="6">
        <v>48.98</v>
      </c>
      <c r="G2016" s="6">
        <v>48.84</v>
      </c>
      <c r="H2016" s="6">
        <v>49.35</v>
      </c>
      <c r="I2016" s="9">
        <v>3.043906E7</v>
      </c>
      <c r="J2016" s="6">
        <v>1.492436909E9</v>
      </c>
    </row>
    <row r="2017">
      <c r="A2017" s="15" t="s">
        <v>10</v>
      </c>
      <c r="B2017" s="5">
        <v>44564.0</v>
      </c>
      <c r="C2017" s="6">
        <v>49.2</v>
      </c>
      <c r="D2017" s="13">
        <f>+0.35</f>
        <v>0.35</v>
      </c>
      <c r="E2017" s="14">
        <f>+0.72%</f>
        <v>0.0072</v>
      </c>
      <c r="F2017" s="6">
        <v>49.08</v>
      </c>
      <c r="G2017" s="6">
        <v>48.78</v>
      </c>
      <c r="H2017" s="6">
        <v>49.26</v>
      </c>
      <c r="I2017" s="9">
        <v>2.7572713E7</v>
      </c>
      <c r="J2017" s="6">
        <v>1.354375513E9</v>
      </c>
    </row>
    <row r="2018">
      <c r="A2018" s="15" t="s">
        <v>10</v>
      </c>
      <c r="B2018" s="5">
        <v>44565.0</v>
      </c>
      <c r="C2018" s="6">
        <v>49.03</v>
      </c>
      <c r="D2018" s="11">
        <v>-0.17</v>
      </c>
      <c r="E2018" s="12">
        <v>-0.0035</v>
      </c>
      <c r="F2018" s="6">
        <v>49.26</v>
      </c>
      <c r="G2018" s="6">
        <v>48.93</v>
      </c>
      <c r="H2018" s="6">
        <v>49.26</v>
      </c>
      <c r="I2018" s="9">
        <v>2.4579515E7</v>
      </c>
      <c r="J2018" s="6">
        <v>1.206057789E9</v>
      </c>
    </row>
    <row r="2019">
      <c r="A2019" s="15" t="s">
        <v>10</v>
      </c>
      <c r="B2019" s="5">
        <v>44566.0</v>
      </c>
      <c r="C2019" s="6">
        <v>48.23</v>
      </c>
      <c r="D2019" s="11">
        <v>-0.8</v>
      </c>
      <c r="E2019" s="12">
        <v>-0.0163</v>
      </c>
      <c r="F2019" s="6">
        <v>48.8</v>
      </c>
      <c r="G2019" s="6">
        <v>48.22</v>
      </c>
      <c r="H2019" s="6">
        <v>49.15</v>
      </c>
      <c r="I2019" s="9">
        <v>4.6425132E7</v>
      </c>
      <c r="J2019" s="6">
        <v>2.259777747E9</v>
      </c>
    </row>
    <row r="2020">
      <c r="A2020" s="15" t="s">
        <v>10</v>
      </c>
      <c r="B2020" s="5">
        <v>44567.0</v>
      </c>
      <c r="C2020" s="6">
        <v>48.45</v>
      </c>
      <c r="D2020" s="13">
        <f>+0.22</f>
        <v>0.22</v>
      </c>
      <c r="E2020" s="14">
        <f>+0.46%</f>
        <v>0.0046</v>
      </c>
      <c r="F2020" s="6">
        <v>48.36</v>
      </c>
      <c r="G2020" s="6">
        <v>48.16</v>
      </c>
      <c r="H2020" s="6">
        <v>48.68</v>
      </c>
      <c r="I2020" s="9">
        <v>3.4288708E7</v>
      </c>
      <c r="J2020" s="6">
        <v>1.66243489E9</v>
      </c>
    </row>
    <row r="2021">
      <c r="A2021" s="15" t="s">
        <v>10</v>
      </c>
      <c r="B2021" s="5">
        <v>44568.0</v>
      </c>
      <c r="C2021" s="6">
        <v>48.89</v>
      </c>
      <c r="D2021" s="13">
        <f>+0.44</f>
        <v>0.44</v>
      </c>
      <c r="E2021" s="14">
        <f>+0.91%</f>
        <v>0.0091</v>
      </c>
      <c r="F2021" s="6">
        <v>48.69</v>
      </c>
      <c r="G2021" s="6">
        <v>48.5</v>
      </c>
      <c r="H2021" s="6">
        <v>48.98</v>
      </c>
      <c r="I2021" s="9">
        <v>3.2640999E7</v>
      </c>
      <c r="J2021" s="6">
        <v>1.593417144E9</v>
      </c>
    </row>
    <row r="2022">
      <c r="A2022" s="15" t="s">
        <v>10</v>
      </c>
      <c r="B2022" s="5">
        <v>44571.0</v>
      </c>
      <c r="C2022" s="6">
        <v>48.89</v>
      </c>
      <c r="D2022" s="11">
        <v>0.0</v>
      </c>
      <c r="E2022" s="12">
        <v>0.0</v>
      </c>
      <c r="F2022" s="6">
        <v>48.94</v>
      </c>
      <c r="G2022" s="6">
        <v>48.56</v>
      </c>
      <c r="H2022" s="6">
        <v>49.08</v>
      </c>
      <c r="I2022" s="9">
        <v>4.3581753E7</v>
      </c>
      <c r="J2022" s="6">
        <v>2.125911114E9</v>
      </c>
    </row>
    <row r="2023">
      <c r="A2023" s="15" t="s">
        <v>10</v>
      </c>
      <c r="B2023" s="5">
        <v>44572.0</v>
      </c>
      <c r="C2023" s="6">
        <v>50.02</v>
      </c>
      <c r="D2023" s="13">
        <f>+1.13</f>
        <v>1.13</v>
      </c>
      <c r="E2023" s="14">
        <f>+2.31%</f>
        <v>0.0231</v>
      </c>
      <c r="F2023" s="6">
        <v>49.31</v>
      </c>
      <c r="G2023" s="6">
        <v>49.16</v>
      </c>
      <c r="H2023" s="6">
        <v>50.04</v>
      </c>
      <c r="I2023" s="9">
        <v>5.7536372E7</v>
      </c>
      <c r="J2023" s="6">
        <v>2.865772294E9</v>
      </c>
    </row>
    <row r="2024">
      <c r="A2024" s="15" t="s">
        <v>10</v>
      </c>
      <c r="B2024" s="5">
        <v>44573.0</v>
      </c>
      <c r="C2024" s="6">
        <v>50.85</v>
      </c>
      <c r="D2024" s="13">
        <f>+0.83</f>
        <v>0.83</v>
      </c>
      <c r="E2024" s="14">
        <f>+1.66%</f>
        <v>0.0166</v>
      </c>
      <c r="F2024" s="6">
        <v>50.64</v>
      </c>
      <c r="G2024" s="6">
        <v>50.46</v>
      </c>
      <c r="H2024" s="6">
        <v>50.89</v>
      </c>
      <c r="I2024" s="9">
        <v>5.6499124E7</v>
      </c>
      <c r="J2024" s="6">
        <v>2.865675177E9</v>
      </c>
    </row>
    <row r="2025">
      <c r="A2025" s="15" t="s">
        <v>10</v>
      </c>
      <c r="B2025" s="5">
        <v>44574.0</v>
      </c>
      <c r="C2025" s="6">
        <v>50.13</v>
      </c>
      <c r="D2025" s="11">
        <v>-0.72</v>
      </c>
      <c r="E2025" s="12">
        <v>-0.0142</v>
      </c>
      <c r="F2025" s="6">
        <v>50.64</v>
      </c>
      <c r="G2025" s="6">
        <v>50.09</v>
      </c>
      <c r="H2025" s="6">
        <v>50.68</v>
      </c>
      <c r="I2025" s="9">
        <v>3.3229013E7</v>
      </c>
      <c r="J2025" s="6">
        <v>1.673849227E9</v>
      </c>
    </row>
    <row r="2026">
      <c r="A2026" s="15" t="s">
        <v>10</v>
      </c>
      <c r="B2026" s="5">
        <v>44575.0</v>
      </c>
      <c r="C2026" s="6">
        <v>50.11</v>
      </c>
      <c r="D2026" s="11">
        <v>-0.02</v>
      </c>
      <c r="E2026" s="12">
        <v>-4.0E-4</v>
      </c>
      <c r="F2026" s="6">
        <v>49.99</v>
      </c>
      <c r="G2026" s="6">
        <v>49.82</v>
      </c>
      <c r="H2026" s="6">
        <v>50.2</v>
      </c>
      <c r="I2026" s="9">
        <v>4.0642296E7</v>
      </c>
      <c r="J2026" s="6">
        <v>2.033522584E9</v>
      </c>
    </row>
    <row r="2027">
      <c r="A2027" s="15" t="s">
        <v>10</v>
      </c>
      <c r="B2027" s="5">
        <v>44579.0</v>
      </c>
      <c r="C2027" s="6">
        <v>49.22</v>
      </c>
      <c r="D2027" s="11">
        <v>-0.89</v>
      </c>
      <c r="E2027" s="12">
        <v>-0.0178</v>
      </c>
      <c r="F2027" s="6">
        <v>49.21</v>
      </c>
      <c r="G2027" s="6">
        <v>49.15</v>
      </c>
      <c r="H2027" s="6">
        <v>49.5</v>
      </c>
      <c r="I2027" s="9">
        <v>4.5012852E7</v>
      </c>
      <c r="J2027" s="6">
        <v>2.21936586E9</v>
      </c>
    </row>
    <row r="2028">
      <c r="A2028" s="15" t="s">
        <v>10</v>
      </c>
      <c r="B2028" s="5">
        <v>44580.0</v>
      </c>
      <c r="C2028" s="6">
        <v>49.43</v>
      </c>
      <c r="D2028" s="13">
        <f>+0.21</f>
        <v>0.21</v>
      </c>
      <c r="E2028" s="14">
        <f>+0.43%</f>
        <v>0.0043</v>
      </c>
      <c r="F2028" s="6">
        <v>49.59</v>
      </c>
      <c r="G2028" s="6">
        <v>49.39</v>
      </c>
      <c r="H2028" s="6">
        <v>49.7</v>
      </c>
      <c r="I2028" s="9">
        <v>4.3998144E7</v>
      </c>
      <c r="J2028" s="6">
        <v>2.180748226E9</v>
      </c>
    </row>
    <row r="2029">
      <c r="A2029" s="15" t="s">
        <v>10</v>
      </c>
      <c r="B2029" s="5">
        <v>44581.0</v>
      </c>
      <c r="C2029" s="6">
        <v>49.72</v>
      </c>
      <c r="D2029" s="13">
        <f>+0.29</f>
        <v>0.29</v>
      </c>
      <c r="E2029" s="14">
        <f>+0.59%</f>
        <v>0.0059</v>
      </c>
      <c r="F2029" s="6">
        <v>50.26</v>
      </c>
      <c r="G2029" s="6">
        <v>49.67</v>
      </c>
      <c r="H2029" s="6">
        <v>50.54</v>
      </c>
      <c r="I2029" s="9">
        <v>5.8279461E7</v>
      </c>
      <c r="J2029" s="6">
        <v>2.924060868E9</v>
      </c>
    </row>
    <row r="2030">
      <c r="A2030" s="15" t="s">
        <v>10</v>
      </c>
      <c r="B2030" s="5">
        <v>44582.0</v>
      </c>
      <c r="C2030" s="6">
        <v>49.0</v>
      </c>
      <c r="D2030" s="11">
        <v>-0.72</v>
      </c>
      <c r="E2030" s="12">
        <v>-0.0145</v>
      </c>
      <c r="F2030" s="6">
        <v>49.62</v>
      </c>
      <c r="G2030" s="6">
        <v>48.95</v>
      </c>
      <c r="H2030" s="6">
        <v>49.69</v>
      </c>
      <c r="I2030" s="9">
        <v>5.9673805E7</v>
      </c>
      <c r="J2030" s="6">
        <v>2.938329548E9</v>
      </c>
    </row>
    <row r="2031">
      <c r="A2031" s="15" t="s">
        <v>10</v>
      </c>
      <c r="B2031" s="5">
        <v>44585.0</v>
      </c>
      <c r="C2031" s="6">
        <v>48.31</v>
      </c>
      <c r="D2031" s="11">
        <v>-0.69</v>
      </c>
      <c r="E2031" s="12">
        <v>-0.0141</v>
      </c>
      <c r="F2031" s="6">
        <v>48.23</v>
      </c>
      <c r="G2031" s="6">
        <v>47.19</v>
      </c>
      <c r="H2031" s="6">
        <v>48.32</v>
      </c>
      <c r="I2031" s="9">
        <v>8.7788425E7</v>
      </c>
      <c r="J2031" s="6">
        <v>4.198689472E9</v>
      </c>
    </row>
    <row r="2032">
      <c r="A2032" s="15" t="s">
        <v>10</v>
      </c>
      <c r="B2032" s="5">
        <v>44586.0</v>
      </c>
      <c r="C2032" s="6">
        <v>48.22</v>
      </c>
      <c r="D2032" s="11">
        <v>-0.09</v>
      </c>
      <c r="E2032" s="12">
        <v>-0.0019</v>
      </c>
      <c r="F2032" s="6">
        <v>48.03</v>
      </c>
      <c r="G2032" s="6">
        <v>47.72</v>
      </c>
      <c r="H2032" s="6">
        <v>48.48</v>
      </c>
      <c r="I2032" s="9">
        <v>5.4804125E7</v>
      </c>
      <c r="J2032" s="6">
        <v>2.63541064E9</v>
      </c>
    </row>
    <row r="2033">
      <c r="A2033" s="15" t="s">
        <v>10</v>
      </c>
      <c r="B2033" s="5">
        <v>44587.0</v>
      </c>
      <c r="C2033" s="6">
        <v>47.61</v>
      </c>
      <c r="D2033" s="11">
        <v>-0.61</v>
      </c>
      <c r="E2033" s="12">
        <v>-0.0127</v>
      </c>
      <c r="F2033" s="6">
        <v>48.49</v>
      </c>
      <c r="G2033" s="6">
        <v>47.51</v>
      </c>
      <c r="H2033" s="6">
        <v>48.58</v>
      </c>
      <c r="I2033" s="9">
        <v>5.5516742E7</v>
      </c>
      <c r="J2033" s="6">
        <v>2.668033581E9</v>
      </c>
    </row>
    <row r="2034">
      <c r="A2034" s="15" t="s">
        <v>10</v>
      </c>
      <c r="B2034" s="5">
        <v>44588.0</v>
      </c>
      <c r="C2034" s="6">
        <v>47.06</v>
      </c>
      <c r="D2034" s="11">
        <v>-0.55</v>
      </c>
      <c r="E2034" s="12">
        <v>-0.0116</v>
      </c>
      <c r="F2034" s="6">
        <v>47.6</v>
      </c>
      <c r="G2034" s="6">
        <v>47.04</v>
      </c>
      <c r="H2034" s="6">
        <v>47.68</v>
      </c>
      <c r="I2034" s="9">
        <v>6.1064012E7</v>
      </c>
      <c r="J2034" s="6">
        <v>2.888137118E9</v>
      </c>
    </row>
    <row r="2035">
      <c r="A2035" s="15" t="s">
        <v>10</v>
      </c>
      <c r="B2035" s="5">
        <v>44589.0</v>
      </c>
      <c r="C2035" s="6">
        <v>47.29</v>
      </c>
      <c r="D2035" s="13">
        <f>+0.23</f>
        <v>0.23</v>
      </c>
      <c r="E2035" s="14">
        <f>+0.49%</f>
        <v>0.0049</v>
      </c>
      <c r="F2035" s="6">
        <v>47.16</v>
      </c>
      <c r="G2035" s="6">
        <v>46.66</v>
      </c>
      <c r="H2035" s="6">
        <v>47.32</v>
      </c>
      <c r="I2035" s="9">
        <v>4.8799306E7</v>
      </c>
      <c r="J2035" s="6">
        <v>2.294124682E9</v>
      </c>
    </row>
    <row r="2036">
      <c r="A2036" s="15" t="s">
        <v>10</v>
      </c>
      <c r="B2036" s="5">
        <v>44592.0</v>
      </c>
      <c r="C2036" s="6">
        <v>48.84</v>
      </c>
      <c r="D2036" s="13">
        <f>+1.55</f>
        <v>1.55</v>
      </c>
      <c r="E2036" s="14">
        <f>+3.28%</f>
        <v>0.0328</v>
      </c>
      <c r="F2036" s="6">
        <v>47.89</v>
      </c>
      <c r="G2036" s="6">
        <v>47.84</v>
      </c>
      <c r="H2036" s="6">
        <v>48.9</v>
      </c>
      <c r="I2036" s="9">
        <v>6.5614892E7</v>
      </c>
      <c r="J2036" s="6">
        <v>3.185884628E9</v>
      </c>
    </row>
    <row r="2037">
      <c r="A2037" s="15" t="s">
        <v>10</v>
      </c>
      <c r="B2037" s="5">
        <v>44593.0</v>
      </c>
      <c r="C2037" s="6">
        <v>49.14</v>
      </c>
      <c r="D2037" s="13">
        <f>+0.3</f>
        <v>0.3</v>
      </c>
      <c r="E2037" s="14">
        <f>+0.61%</f>
        <v>0.0061</v>
      </c>
      <c r="F2037" s="6">
        <v>49.02</v>
      </c>
      <c r="G2037" s="6">
        <v>48.6</v>
      </c>
      <c r="H2037" s="6">
        <v>49.14</v>
      </c>
      <c r="I2037" s="9">
        <v>5.0158023E7</v>
      </c>
      <c r="J2037" s="6">
        <v>2.452448115E9</v>
      </c>
    </row>
    <row r="2038">
      <c r="A2038" s="15" t="s">
        <v>10</v>
      </c>
      <c r="B2038" s="5">
        <v>44594.0</v>
      </c>
      <c r="C2038" s="6">
        <v>49.06</v>
      </c>
      <c r="D2038" s="11">
        <v>-0.08</v>
      </c>
      <c r="E2038" s="12">
        <v>-0.0016</v>
      </c>
      <c r="F2038" s="6">
        <v>49.33</v>
      </c>
      <c r="G2038" s="6">
        <v>48.73</v>
      </c>
      <c r="H2038" s="6">
        <v>49.36</v>
      </c>
      <c r="I2038" s="9">
        <v>3.5128102E7</v>
      </c>
      <c r="J2038" s="6">
        <v>1.721616918E9</v>
      </c>
    </row>
    <row r="2039">
      <c r="A2039" s="15" t="s">
        <v>10</v>
      </c>
      <c r="B2039" s="5">
        <v>44595.0</v>
      </c>
      <c r="C2039" s="6">
        <v>48.54</v>
      </c>
      <c r="D2039" s="11">
        <v>-0.52</v>
      </c>
      <c r="E2039" s="12">
        <v>-0.0106</v>
      </c>
      <c r="F2039" s="6">
        <v>48.45</v>
      </c>
      <c r="G2039" s="6">
        <v>48.37</v>
      </c>
      <c r="H2039" s="6">
        <v>48.78</v>
      </c>
      <c r="I2039" s="9">
        <v>3.8246759E7</v>
      </c>
      <c r="J2039" s="6">
        <v>1.857641155E9</v>
      </c>
    </row>
    <row r="2040">
      <c r="A2040" s="15" t="s">
        <v>10</v>
      </c>
      <c r="B2040" s="5">
        <v>44596.0</v>
      </c>
      <c r="C2040" s="6">
        <v>48.66</v>
      </c>
      <c r="D2040" s="13">
        <f>+0.12</f>
        <v>0.12</v>
      </c>
      <c r="E2040" s="14">
        <f>+0.25%</f>
        <v>0.0025</v>
      </c>
      <c r="F2040" s="6">
        <v>48.32</v>
      </c>
      <c r="G2040" s="6">
        <v>48.22</v>
      </c>
      <c r="H2040" s="6">
        <v>48.89</v>
      </c>
      <c r="I2040" s="9">
        <v>3.6644187E7</v>
      </c>
      <c r="J2040" s="6">
        <v>1.781373448E9</v>
      </c>
    </row>
    <row r="2041">
      <c r="A2041" s="15" t="s">
        <v>10</v>
      </c>
      <c r="B2041" s="5">
        <v>44599.0</v>
      </c>
      <c r="C2041" s="6">
        <v>48.56</v>
      </c>
      <c r="D2041" s="11">
        <v>-0.1</v>
      </c>
      <c r="E2041" s="12">
        <v>-0.0021</v>
      </c>
      <c r="F2041" s="6">
        <v>48.45</v>
      </c>
      <c r="G2041" s="6">
        <v>48.41</v>
      </c>
      <c r="H2041" s="6">
        <v>48.84</v>
      </c>
      <c r="I2041" s="9">
        <v>3.191711E7</v>
      </c>
      <c r="J2041" s="6">
        <v>1.551094767E9</v>
      </c>
    </row>
    <row r="2042">
      <c r="A2042" s="15" t="s">
        <v>10</v>
      </c>
      <c r="B2042" s="5">
        <v>44600.0</v>
      </c>
      <c r="C2042" s="6">
        <v>49.03</v>
      </c>
      <c r="D2042" s="13">
        <f>+0.47</f>
        <v>0.47</v>
      </c>
      <c r="E2042" s="14">
        <f>+0.97%</f>
        <v>0.0097</v>
      </c>
      <c r="F2042" s="6">
        <v>48.48</v>
      </c>
      <c r="G2042" s="6">
        <v>48.46</v>
      </c>
      <c r="H2042" s="6">
        <v>49.04</v>
      </c>
      <c r="I2042" s="9">
        <v>2.5562307E7</v>
      </c>
      <c r="J2042" s="6">
        <v>1.249555985E9</v>
      </c>
    </row>
    <row r="2043">
      <c r="A2043" s="15" t="s">
        <v>10</v>
      </c>
      <c r="B2043" s="5">
        <v>44601.0</v>
      </c>
      <c r="C2043" s="6">
        <v>49.8</v>
      </c>
      <c r="D2043" s="13">
        <f>+0.77</f>
        <v>0.77</v>
      </c>
      <c r="E2043" s="14">
        <f>+1.57%</f>
        <v>0.0157</v>
      </c>
      <c r="F2043" s="6">
        <v>49.44</v>
      </c>
      <c r="G2043" s="6">
        <v>49.38</v>
      </c>
      <c r="H2043" s="6">
        <v>49.83</v>
      </c>
      <c r="I2043" s="9">
        <v>4.0082912E7</v>
      </c>
      <c r="J2043" s="6">
        <v>1.991135262E9</v>
      </c>
    </row>
    <row r="2044">
      <c r="A2044" s="15" t="s">
        <v>10</v>
      </c>
      <c r="B2044" s="5">
        <v>44602.0</v>
      </c>
      <c r="C2044" s="6">
        <v>49.47</v>
      </c>
      <c r="D2044" s="11">
        <v>-0.33</v>
      </c>
      <c r="E2044" s="12">
        <v>-0.0066</v>
      </c>
      <c r="F2044" s="6">
        <v>49.39</v>
      </c>
      <c r="G2044" s="6">
        <v>49.38</v>
      </c>
      <c r="H2044" s="6">
        <v>50.11</v>
      </c>
      <c r="I2044" s="9">
        <v>5.5440723E7</v>
      </c>
      <c r="J2044" s="6">
        <v>2.758563143E9</v>
      </c>
    </row>
    <row r="2045">
      <c r="A2045" s="15" t="s">
        <v>10</v>
      </c>
      <c r="B2045" s="5">
        <v>44603.0</v>
      </c>
      <c r="C2045" s="6">
        <v>48.72</v>
      </c>
      <c r="D2045" s="11">
        <v>-0.75</v>
      </c>
      <c r="E2045" s="12">
        <v>-0.0152</v>
      </c>
      <c r="F2045" s="6">
        <v>49.49</v>
      </c>
      <c r="G2045" s="6">
        <v>48.64</v>
      </c>
      <c r="H2045" s="6">
        <v>49.7</v>
      </c>
      <c r="I2045" s="9">
        <v>5.38383E7</v>
      </c>
      <c r="J2045" s="6">
        <v>2.646916222E9</v>
      </c>
    </row>
    <row r="2046">
      <c r="A2046" s="15" t="s">
        <v>10</v>
      </c>
      <c r="B2046" s="5">
        <v>44606.0</v>
      </c>
      <c r="C2046" s="6">
        <v>48.38</v>
      </c>
      <c r="D2046" s="11">
        <v>-0.34</v>
      </c>
      <c r="E2046" s="12">
        <v>-0.007</v>
      </c>
      <c r="F2046" s="6">
        <v>48.51</v>
      </c>
      <c r="G2046" s="6">
        <v>48.12</v>
      </c>
      <c r="H2046" s="6">
        <v>48.62</v>
      </c>
      <c r="I2046" s="9">
        <v>5.9439822E7</v>
      </c>
      <c r="J2046" s="6">
        <v>2.878767201E9</v>
      </c>
    </row>
    <row r="2047">
      <c r="A2047" s="15" t="s">
        <v>10</v>
      </c>
      <c r="B2047" s="5">
        <v>44607.0</v>
      </c>
      <c r="C2047" s="6">
        <v>49.43</v>
      </c>
      <c r="D2047" s="13">
        <f>+1.05</f>
        <v>1.05</v>
      </c>
      <c r="E2047" s="14">
        <f>+2.17%</f>
        <v>0.0217</v>
      </c>
      <c r="F2047" s="6">
        <v>49.03</v>
      </c>
      <c r="G2047" s="6">
        <v>48.99</v>
      </c>
      <c r="H2047" s="6">
        <v>49.47</v>
      </c>
      <c r="I2047" s="9">
        <v>3.2939335E7</v>
      </c>
      <c r="J2047" s="6">
        <v>1.622723947E9</v>
      </c>
    </row>
    <row r="2048">
      <c r="A2048" s="15" t="s">
        <v>10</v>
      </c>
      <c r="B2048" s="5">
        <v>44608.0</v>
      </c>
      <c r="C2048" s="6">
        <v>49.79</v>
      </c>
      <c r="D2048" s="13">
        <f>+0.36</f>
        <v>0.36</v>
      </c>
      <c r="E2048" s="14">
        <f>+0.73%</f>
        <v>0.0073</v>
      </c>
      <c r="F2048" s="6">
        <v>49.37</v>
      </c>
      <c r="G2048" s="6">
        <v>49.33</v>
      </c>
      <c r="H2048" s="6">
        <v>49.99</v>
      </c>
      <c r="I2048" s="9">
        <v>4.7236827E7</v>
      </c>
      <c r="J2048" s="6">
        <v>2.34554975E9</v>
      </c>
    </row>
    <row r="2049">
      <c r="A2049" s="15" t="s">
        <v>10</v>
      </c>
      <c r="B2049" s="5">
        <v>44609.0</v>
      </c>
      <c r="C2049" s="6">
        <v>49.21</v>
      </c>
      <c r="D2049" s="11">
        <v>-0.58</v>
      </c>
      <c r="E2049" s="12">
        <v>-0.0116</v>
      </c>
      <c r="F2049" s="6">
        <v>49.56</v>
      </c>
      <c r="G2049" s="6">
        <v>49.11</v>
      </c>
      <c r="H2049" s="6">
        <v>49.66</v>
      </c>
      <c r="I2049" s="9">
        <v>4.1245306E7</v>
      </c>
      <c r="J2049" s="6">
        <v>2.038073506E9</v>
      </c>
    </row>
    <row r="2050">
      <c r="A2050" s="15" t="s">
        <v>10</v>
      </c>
      <c r="B2050" s="5">
        <v>44610.0</v>
      </c>
      <c r="C2050" s="6">
        <v>48.72</v>
      </c>
      <c r="D2050" s="11">
        <v>-0.49</v>
      </c>
      <c r="E2050" s="12">
        <v>-0.01</v>
      </c>
      <c r="F2050" s="6">
        <v>49.03</v>
      </c>
      <c r="G2050" s="6">
        <v>48.62</v>
      </c>
      <c r="H2050" s="6">
        <v>49.06</v>
      </c>
      <c r="I2050" s="9">
        <v>4.1312339E7</v>
      </c>
      <c r="J2050" s="6">
        <v>2.016266569E9</v>
      </c>
    </row>
    <row r="2051">
      <c r="A2051" s="15" t="s">
        <v>10</v>
      </c>
      <c r="B2051" s="5">
        <v>44614.0</v>
      </c>
      <c r="C2051" s="6">
        <v>48.03</v>
      </c>
      <c r="D2051" s="11">
        <v>-0.69</v>
      </c>
      <c r="E2051" s="12">
        <v>-0.0142</v>
      </c>
      <c r="F2051" s="6">
        <v>48.02</v>
      </c>
      <c r="G2051" s="6">
        <v>47.72</v>
      </c>
      <c r="H2051" s="6">
        <v>48.37</v>
      </c>
      <c r="I2051" s="9">
        <v>6.0704499E7</v>
      </c>
      <c r="J2051" s="6">
        <v>2.917984014E9</v>
      </c>
    </row>
    <row r="2052">
      <c r="A2052" s="15" t="s">
        <v>10</v>
      </c>
      <c r="B2052" s="5">
        <v>44615.0</v>
      </c>
      <c r="C2052" s="6">
        <v>47.47</v>
      </c>
      <c r="D2052" s="11">
        <v>-0.56</v>
      </c>
      <c r="E2052" s="12">
        <v>-0.0117</v>
      </c>
      <c r="F2052" s="6">
        <v>48.24</v>
      </c>
      <c r="G2052" s="6">
        <v>47.38</v>
      </c>
      <c r="H2052" s="6">
        <v>48.27</v>
      </c>
      <c r="I2052" s="9">
        <v>3.8873698E7</v>
      </c>
      <c r="J2052" s="6">
        <v>1.854372783E9</v>
      </c>
    </row>
    <row r="2053">
      <c r="A2053" s="15" t="s">
        <v>10</v>
      </c>
      <c r="B2053" s="5">
        <v>44616.0</v>
      </c>
      <c r="C2053" s="6">
        <v>46.49</v>
      </c>
      <c r="D2053" s="11">
        <v>-0.98</v>
      </c>
      <c r="E2053" s="12">
        <v>-0.0206</v>
      </c>
      <c r="F2053" s="6">
        <v>45.04</v>
      </c>
      <c r="G2053" s="6">
        <v>45.01</v>
      </c>
      <c r="H2053" s="6">
        <v>46.52</v>
      </c>
      <c r="I2053" s="9">
        <v>9.5679505E7</v>
      </c>
      <c r="J2053" s="6">
        <v>4.367084694E9</v>
      </c>
    </row>
    <row r="2054">
      <c r="A2054" s="15" t="s">
        <v>10</v>
      </c>
      <c r="B2054" s="5">
        <v>44617.0</v>
      </c>
      <c r="C2054" s="6">
        <v>47.35</v>
      </c>
      <c r="D2054" s="13">
        <f>+0.86</f>
        <v>0.86</v>
      </c>
      <c r="E2054" s="14">
        <f>+1.85%</f>
        <v>0.0185</v>
      </c>
      <c r="F2054" s="6">
        <v>46.69</v>
      </c>
      <c r="G2054" s="6">
        <v>46.46</v>
      </c>
      <c r="H2054" s="6">
        <v>47.4</v>
      </c>
      <c r="I2054" s="9">
        <v>5.8887868E7</v>
      </c>
      <c r="J2054" s="6">
        <v>2.764800075E9</v>
      </c>
    </row>
    <row r="2055">
      <c r="A2055" s="15" t="s">
        <v>10</v>
      </c>
      <c r="B2055" s="5">
        <v>44620.0</v>
      </c>
      <c r="C2055" s="6">
        <v>46.73</v>
      </c>
      <c r="D2055" s="11">
        <v>-0.62</v>
      </c>
      <c r="E2055" s="12">
        <v>-0.0131</v>
      </c>
      <c r="F2055" s="6">
        <v>46.25</v>
      </c>
      <c r="G2055" s="6">
        <v>46.18</v>
      </c>
      <c r="H2055" s="6">
        <v>46.85</v>
      </c>
      <c r="I2055" s="9">
        <v>7.936659E7</v>
      </c>
      <c r="J2055" s="6">
        <v>3.691814688E9</v>
      </c>
    </row>
    <row r="2056">
      <c r="A2056" s="15" t="s">
        <v>10</v>
      </c>
      <c r="B2056" s="5">
        <v>44621.0</v>
      </c>
      <c r="C2056" s="6">
        <v>46.11</v>
      </c>
      <c r="D2056" s="11">
        <v>-0.62</v>
      </c>
      <c r="E2056" s="12">
        <v>-0.0133</v>
      </c>
      <c r="F2056" s="6">
        <v>46.5</v>
      </c>
      <c r="G2056" s="6">
        <v>45.84</v>
      </c>
      <c r="H2056" s="6">
        <v>46.86</v>
      </c>
      <c r="I2056" s="9">
        <v>7.2297336E7</v>
      </c>
      <c r="J2056" s="6">
        <v>3.343056157E9</v>
      </c>
    </row>
    <row r="2057">
      <c r="A2057" s="15" t="s">
        <v>10</v>
      </c>
      <c r="B2057" s="5">
        <v>44622.0</v>
      </c>
      <c r="C2057" s="6">
        <v>46.19</v>
      </c>
      <c r="D2057" s="13">
        <f>+0.08</f>
        <v>0.08</v>
      </c>
      <c r="E2057" s="14">
        <f>+0.17%</f>
        <v>0.0017</v>
      </c>
      <c r="F2057" s="6">
        <v>46.15</v>
      </c>
      <c r="G2057" s="6">
        <v>45.71</v>
      </c>
      <c r="H2057" s="6">
        <v>46.39</v>
      </c>
      <c r="I2057" s="9">
        <v>6.1858699E7</v>
      </c>
      <c r="J2057" s="6">
        <v>2.849775254E9</v>
      </c>
    </row>
    <row r="2058">
      <c r="A2058" s="15" t="s">
        <v>10</v>
      </c>
      <c r="B2058" s="5">
        <v>44623.0</v>
      </c>
      <c r="C2058" s="6">
        <v>45.54</v>
      </c>
      <c r="D2058" s="11">
        <v>-0.65</v>
      </c>
      <c r="E2058" s="12">
        <v>-0.0141</v>
      </c>
      <c r="F2058" s="6">
        <v>46.01</v>
      </c>
      <c r="G2058" s="6">
        <v>45.45</v>
      </c>
      <c r="H2058" s="6">
        <v>46.1</v>
      </c>
      <c r="I2058" s="9">
        <v>5.7514131E7</v>
      </c>
      <c r="J2058" s="6">
        <v>2.626693265E9</v>
      </c>
    </row>
    <row r="2059">
      <c r="A2059" s="15" t="s">
        <v>10</v>
      </c>
      <c r="B2059" s="5">
        <v>44624.0</v>
      </c>
      <c r="C2059" s="6">
        <v>44.62</v>
      </c>
      <c r="D2059" s="11">
        <v>-0.92</v>
      </c>
      <c r="E2059" s="12">
        <v>-0.0202</v>
      </c>
      <c r="F2059" s="6">
        <v>44.64</v>
      </c>
      <c r="G2059" s="6">
        <v>44.37</v>
      </c>
      <c r="H2059" s="6">
        <v>44.91</v>
      </c>
      <c r="I2059" s="9">
        <v>6.8351792E7</v>
      </c>
      <c r="J2059" s="6">
        <v>3.046955534E9</v>
      </c>
    </row>
    <row r="2060">
      <c r="A2060" s="15" t="s">
        <v>10</v>
      </c>
      <c r="B2060" s="5">
        <v>44627.0</v>
      </c>
      <c r="C2060" s="6">
        <v>42.95</v>
      </c>
      <c r="D2060" s="11">
        <v>-1.67</v>
      </c>
      <c r="E2060" s="12">
        <v>-0.0374</v>
      </c>
      <c r="F2060" s="6">
        <v>43.86</v>
      </c>
      <c r="G2060" s="6">
        <v>42.91</v>
      </c>
      <c r="H2060" s="6">
        <v>44.02</v>
      </c>
      <c r="I2060" s="9">
        <v>7.7557695E7</v>
      </c>
      <c r="J2060" s="6">
        <v>3.361045251E9</v>
      </c>
    </row>
    <row r="2061">
      <c r="A2061" s="15" t="s">
        <v>10</v>
      </c>
      <c r="B2061" s="5">
        <v>44628.0</v>
      </c>
      <c r="C2061" s="6">
        <v>43.09</v>
      </c>
      <c r="D2061" s="13">
        <f>+0.14</f>
        <v>0.14</v>
      </c>
      <c r="E2061" s="14">
        <f>+0.33%</f>
        <v>0.0033</v>
      </c>
      <c r="F2061" s="6">
        <v>43.17</v>
      </c>
      <c r="G2061" s="6">
        <v>42.73</v>
      </c>
      <c r="H2061" s="6">
        <v>43.63</v>
      </c>
      <c r="I2061" s="9">
        <v>9.0831466E7</v>
      </c>
      <c r="J2061" s="6">
        <v>3.916660761E9</v>
      </c>
    </row>
    <row r="2062">
      <c r="A2062" s="15" t="s">
        <v>10</v>
      </c>
      <c r="B2062" s="5">
        <v>44629.0</v>
      </c>
      <c r="C2062" s="6">
        <v>44.31</v>
      </c>
      <c r="D2062" s="13">
        <f>+1.22</f>
        <v>1.22</v>
      </c>
      <c r="E2062" s="14">
        <f>+2.83%</f>
        <v>0.0283</v>
      </c>
      <c r="F2062" s="6">
        <v>43.77</v>
      </c>
      <c r="G2062" s="6">
        <v>43.61</v>
      </c>
      <c r="H2062" s="6">
        <v>44.42</v>
      </c>
      <c r="I2062" s="9">
        <v>5.9840921E7</v>
      </c>
      <c r="J2062" s="6">
        <v>2.642784353E9</v>
      </c>
    </row>
    <row r="2063">
      <c r="A2063" s="15" t="s">
        <v>10</v>
      </c>
      <c r="B2063" s="5">
        <v>44630.0</v>
      </c>
      <c r="C2063" s="6">
        <v>43.48</v>
      </c>
      <c r="D2063" s="11">
        <v>-0.83</v>
      </c>
      <c r="E2063" s="12">
        <v>-0.0187</v>
      </c>
      <c r="F2063" s="6">
        <v>43.62</v>
      </c>
      <c r="G2063" s="6">
        <v>43.21</v>
      </c>
      <c r="H2063" s="6">
        <v>43.69</v>
      </c>
      <c r="I2063" s="9">
        <v>5.9158298E7</v>
      </c>
      <c r="J2063" s="6">
        <v>2.570608688E9</v>
      </c>
    </row>
    <row r="2064">
      <c r="A2064" s="15" t="s">
        <v>10</v>
      </c>
      <c r="B2064" s="5">
        <v>44631.0</v>
      </c>
      <c r="C2064" s="6">
        <v>42.57</v>
      </c>
      <c r="D2064" s="11">
        <v>-0.91</v>
      </c>
      <c r="E2064" s="12">
        <v>-0.0209</v>
      </c>
      <c r="F2064" s="6">
        <v>43.73</v>
      </c>
      <c r="G2064" s="6">
        <v>42.56</v>
      </c>
      <c r="H2064" s="6">
        <v>43.78</v>
      </c>
      <c r="I2064" s="9">
        <v>7.2846776E7</v>
      </c>
      <c r="J2064" s="6">
        <v>3.124731691E9</v>
      </c>
    </row>
    <row r="2065">
      <c r="A2065" s="15" t="s">
        <v>10</v>
      </c>
      <c r="B2065" s="5">
        <v>44634.0</v>
      </c>
      <c r="C2065" s="6">
        <v>41.54</v>
      </c>
      <c r="D2065" s="11">
        <v>-1.03</v>
      </c>
      <c r="E2065" s="12">
        <v>-0.0242</v>
      </c>
      <c r="F2065" s="6">
        <v>42.07</v>
      </c>
      <c r="G2065" s="6">
        <v>41.42</v>
      </c>
      <c r="H2065" s="6">
        <v>42.37</v>
      </c>
      <c r="I2065" s="9">
        <v>8.5650997E7</v>
      </c>
      <c r="J2065" s="6">
        <v>3.583795996E9</v>
      </c>
    </row>
    <row r="2066">
      <c r="A2066" s="15" t="s">
        <v>10</v>
      </c>
      <c r="B2066" s="5">
        <v>44635.0</v>
      </c>
      <c r="C2066" s="6">
        <v>41.6</v>
      </c>
      <c r="D2066" s="13">
        <f>+0.06</f>
        <v>0.06</v>
      </c>
      <c r="E2066" s="14">
        <f>+0.14%</f>
        <v>0.0014</v>
      </c>
      <c r="F2066" s="6">
        <v>40.96</v>
      </c>
      <c r="G2066" s="6">
        <v>40.8</v>
      </c>
      <c r="H2066" s="6">
        <v>41.67</v>
      </c>
      <c r="I2066" s="9">
        <v>8.5987473E7</v>
      </c>
      <c r="J2066" s="6">
        <v>3.557655543E9</v>
      </c>
    </row>
    <row r="2067">
      <c r="A2067" s="15" t="s">
        <v>10</v>
      </c>
      <c r="B2067" s="5">
        <v>44636.0</v>
      </c>
      <c r="C2067" s="6">
        <v>44.95</v>
      </c>
      <c r="D2067" s="13">
        <f>+3.35</f>
        <v>3.35</v>
      </c>
      <c r="E2067" s="14">
        <f>+8.05%</f>
        <v>0.0805</v>
      </c>
      <c r="F2067" s="6">
        <v>43.53</v>
      </c>
      <c r="G2067" s="6">
        <v>43.32</v>
      </c>
      <c r="H2067" s="6">
        <v>45.04</v>
      </c>
      <c r="I2067" s="9">
        <v>1.34225676E8</v>
      </c>
      <c r="J2067" s="6">
        <v>5.937589057E9</v>
      </c>
    </row>
    <row r="2068">
      <c r="A2068" s="15" t="s">
        <v>10</v>
      </c>
      <c r="B2068" s="5">
        <v>44637.0</v>
      </c>
      <c r="C2068" s="6">
        <v>44.72</v>
      </c>
      <c r="D2068" s="11">
        <v>-0.23</v>
      </c>
      <c r="E2068" s="12">
        <v>-0.0051</v>
      </c>
      <c r="F2068" s="6">
        <v>44.56</v>
      </c>
      <c r="G2068" s="6">
        <v>44.15</v>
      </c>
      <c r="H2068" s="6">
        <v>44.8</v>
      </c>
      <c r="I2068" s="9">
        <v>8.0743564E7</v>
      </c>
      <c r="J2068" s="6">
        <v>3.597710415E9</v>
      </c>
    </row>
    <row r="2069">
      <c r="A2069" s="15" t="s">
        <v>10</v>
      </c>
      <c r="B2069" s="5">
        <v>44638.0</v>
      </c>
      <c r="C2069" s="6">
        <v>45.36</v>
      </c>
      <c r="D2069" s="13">
        <f>+0.64</f>
        <v>0.64</v>
      </c>
      <c r="E2069" s="14">
        <f>+1.43%</f>
        <v>0.0143</v>
      </c>
      <c r="F2069" s="6">
        <v>44.35</v>
      </c>
      <c r="G2069" s="6">
        <v>44.24</v>
      </c>
      <c r="H2069" s="6">
        <v>45.45</v>
      </c>
      <c r="I2069" s="9">
        <v>7.7755144E7</v>
      </c>
      <c r="J2069" s="6">
        <v>3.509913695E9</v>
      </c>
    </row>
    <row r="2070">
      <c r="A2070" s="15" t="s">
        <v>10</v>
      </c>
      <c r="B2070" s="5">
        <v>44641.0</v>
      </c>
      <c r="C2070" s="6">
        <v>44.66</v>
      </c>
      <c r="D2070" s="11">
        <v>-0.7</v>
      </c>
      <c r="E2070" s="12">
        <v>-0.0154</v>
      </c>
      <c r="F2070" s="6">
        <v>44.7</v>
      </c>
      <c r="G2070" s="6">
        <v>44.32</v>
      </c>
      <c r="H2070" s="6">
        <v>44.85</v>
      </c>
      <c r="I2070" s="9">
        <v>5.8558709E7</v>
      </c>
      <c r="J2070" s="6">
        <v>2.611161143E9</v>
      </c>
    </row>
    <row r="2071">
      <c r="A2071" s="15" t="s">
        <v>10</v>
      </c>
      <c r="B2071" s="5">
        <v>44642.0</v>
      </c>
      <c r="C2071" s="6">
        <v>45.47</v>
      </c>
      <c r="D2071" s="13">
        <f>+0.81</f>
        <v>0.81</v>
      </c>
      <c r="E2071" s="14">
        <f>+1.81%</f>
        <v>0.0181</v>
      </c>
      <c r="F2071" s="6">
        <v>45.28</v>
      </c>
      <c r="G2071" s="6">
        <v>45.25</v>
      </c>
      <c r="H2071" s="6">
        <v>45.62</v>
      </c>
      <c r="I2071" s="9">
        <v>6.1380892E7</v>
      </c>
      <c r="J2071" s="6">
        <v>2.789368857E9</v>
      </c>
    </row>
    <row r="2072">
      <c r="A2072" s="15" t="s">
        <v>10</v>
      </c>
      <c r="B2072" s="5">
        <v>44643.0</v>
      </c>
      <c r="C2072" s="6">
        <v>45.17</v>
      </c>
      <c r="D2072" s="11">
        <v>-0.3</v>
      </c>
      <c r="E2072" s="12">
        <v>-0.0066</v>
      </c>
      <c r="F2072" s="6">
        <v>45.03</v>
      </c>
      <c r="G2072" s="6">
        <v>44.92</v>
      </c>
      <c r="H2072" s="6">
        <v>45.67</v>
      </c>
      <c r="I2072" s="9">
        <v>7.6986656E7</v>
      </c>
      <c r="J2072" s="6">
        <v>3.489500313E9</v>
      </c>
    </row>
    <row r="2073">
      <c r="A2073" s="15" t="s">
        <v>10</v>
      </c>
      <c r="B2073" s="5">
        <v>44644.0</v>
      </c>
      <c r="C2073" s="6">
        <v>45.41</v>
      </c>
      <c r="D2073" s="13">
        <f>+0.24</f>
        <v>0.24</v>
      </c>
      <c r="E2073" s="14">
        <f>+0.53%</f>
        <v>0.0053</v>
      </c>
      <c r="F2073" s="6">
        <v>45.2</v>
      </c>
      <c r="G2073" s="6">
        <v>45.05</v>
      </c>
      <c r="H2073" s="6">
        <v>45.45</v>
      </c>
      <c r="I2073" s="9">
        <v>5.2016599E7</v>
      </c>
      <c r="J2073" s="6">
        <v>2.355519213E9</v>
      </c>
    </row>
    <row r="2074">
      <c r="A2074" s="15" t="s">
        <v>10</v>
      </c>
      <c r="B2074" s="5">
        <v>44645.0</v>
      </c>
      <c r="C2074" s="6">
        <v>45.05</v>
      </c>
      <c r="D2074" s="11">
        <v>-0.36</v>
      </c>
      <c r="E2074" s="12">
        <v>-0.0079</v>
      </c>
      <c r="F2074" s="6">
        <v>45.0</v>
      </c>
      <c r="G2074" s="6">
        <v>44.75</v>
      </c>
      <c r="H2074" s="6">
        <v>45.07</v>
      </c>
      <c r="I2074" s="9">
        <v>3.9294483E7</v>
      </c>
      <c r="J2074" s="6">
        <v>1.766340134E9</v>
      </c>
    </row>
    <row r="2075">
      <c r="A2075" s="15" t="s">
        <v>10</v>
      </c>
      <c r="B2075" s="5">
        <v>44648.0</v>
      </c>
      <c r="C2075" s="6">
        <v>45.2</v>
      </c>
      <c r="D2075" s="13">
        <f>+0.15</f>
        <v>0.15</v>
      </c>
      <c r="E2075" s="14">
        <f>+0.33%</f>
        <v>0.0033</v>
      </c>
      <c r="F2075" s="6">
        <v>45.09</v>
      </c>
      <c r="G2075" s="6">
        <v>44.81</v>
      </c>
      <c r="H2075" s="6">
        <v>45.22</v>
      </c>
      <c r="I2075" s="9">
        <v>4.975695E7</v>
      </c>
      <c r="J2075" s="6">
        <v>2.241351447E9</v>
      </c>
    </row>
    <row r="2076">
      <c r="A2076" s="15" t="s">
        <v>10</v>
      </c>
      <c r="B2076" s="5">
        <v>44649.0</v>
      </c>
      <c r="C2076" s="6">
        <v>45.97</v>
      </c>
      <c r="D2076" s="13">
        <f>+0.77</f>
        <v>0.77</v>
      </c>
      <c r="E2076" s="14">
        <f>+1.7%</f>
        <v>0.017</v>
      </c>
      <c r="F2076" s="6">
        <v>45.98</v>
      </c>
      <c r="G2076" s="6">
        <v>45.73</v>
      </c>
      <c r="H2076" s="6">
        <v>46.1</v>
      </c>
      <c r="I2076" s="9">
        <v>5.408818E7</v>
      </c>
      <c r="J2076" s="6">
        <v>2.484085155E9</v>
      </c>
    </row>
    <row r="2077">
      <c r="A2077" s="15" t="s">
        <v>10</v>
      </c>
      <c r="B2077" s="5">
        <v>44650.0</v>
      </c>
      <c r="C2077" s="6">
        <v>45.84</v>
      </c>
      <c r="D2077" s="11">
        <v>-0.13</v>
      </c>
      <c r="E2077" s="12">
        <v>-0.0028</v>
      </c>
      <c r="F2077" s="6">
        <v>45.89</v>
      </c>
      <c r="G2077" s="6">
        <v>45.74</v>
      </c>
      <c r="H2077" s="6">
        <v>46.23</v>
      </c>
      <c r="I2077" s="9">
        <v>5.7717399E7</v>
      </c>
      <c r="J2077" s="6">
        <v>2.654157161E9</v>
      </c>
    </row>
    <row r="2078">
      <c r="A2078" s="15" t="s">
        <v>10</v>
      </c>
      <c r="B2078" s="5">
        <v>44651.0</v>
      </c>
      <c r="C2078" s="6">
        <v>45.15</v>
      </c>
      <c r="D2078" s="11">
        <v>-0.69</v>
      </c>
      <c r="E2078" s="12">
        <v>-0.0151</v>
      </c>
      <c r="F2078" s="6">
        <v>45.63</v>
      </c>
      <c r="G2078" s="6">
        <v>45.12</v>
      </c>
      <c r="H2078" s="6">
        <v>45.66</v>
      </c>
      <c r="I2078" s="9">
        <v>7.4448369E7</v>
      </c>
      <c r="J2078" s="6">
        <v>3.379780527E9</v>
      </c>
    </row>
    <row r="2079">
      <c r="A2079" s="15" t="s">
        <v>10</v>
      </c>
      <c r="B2079" s="5">
        <v>44652.0</v>
      </c>
      <c r="C2079" s="6">
        <v>45.9</v>
      </c>
      <c r="D2079" s="13">
        <f>+0.75</f>
        <v>0.75</v>
      </c>
      <c r="E2079" s="14">
        <f>+1.66%</f>
        <v>0.0166</v>
      </c>
      <c r="F2079" s="6">
        <v>46.01</v>
      </c>
      <c r="G2079" s="6">
        <v>45.62</v>
      </c>
      <c r="H2079" s="6">
        <v>46.15</v>
      </c>
      <c r="I2079" s="9">
        <v>5.4193647E7</v>
      </c>
      <c r="J2079" s="6">
        <v>2.485065305E9</v>
      </c>
    </row>
    <row r="2080">
      <c r="A2080" s="15" t="s">
        <v>10</v>
      </c>
      <c r="B2080" s="5">
        <v>44655.0</v>
      </c>
      <c r="C2080" s="6">
        <v>46.71</v>
      </c>
      <c r="D2080" s="13">
        <f>+0.81</f>
        <v>0.81</v>
      </c>
      <c r="E2080" s="14">
        <f>+1.76%</f>
        <v>0.0176</v>
      </c>
      <c r="F2080" s="6">
        <v>46.5</v>
      </c>
      <c r="G2080" s="6">
        <v>46.34</v>
      </c>
      <c r="H2080" s="6">
        <v>46.78</v>
      </c>
      <c r="I2080" s="9">
        <v>4.8057674E7</v>
      </c>
      <c r="J2080" s="6">
        <v>2.241432192E9</v>
      </c>
    </row>
    <row r="2081">
      <c r="A2081" s="15" t="s">
        <v>10</v>
      </c>
      <c r="B2081" s="5">
        <v>44656.0</v>
      </c>
      <c r="C2081" s="6">
        <v>45.85</v>
      </c>
      <c r="D2081" s="11">
        <v>-0.86</v>
      </c>
      <c r="E2081" s="12">
        <v>-0.0184</v>
      </c>
      <c r="F2081" s="6">
        <v>46.52</v>
      </c>
      <c r="G2081" s="6">
        <v>45.77</v>
      </c>
      <c r="H2081" s="6">
        <v>46.52</v>
      </c>
      <c r="I2081" s="9">
        <v>4.5058142E7</v>
      </c>
      <c r="J2081" s="6">
        <v>2.072184627E9</v>
      </c>
    </row>
    <row r="2082">
      <c r="A2082" s="15" t="s">
        <v>10</v>
      </c>
      <c r="B2082" s="5">
        <v>44657.0</v>
      </c>
      <c r="C2082" s="6">
        <v>45.25</v>
      </c>
      <c r="D2082" s="11">
        <v>-0.6</v>
      </c>
      <c r="E2082" s="12">
        <v>-0.0131</v>
      </c>
      <c r="F2082" s="6">
        <v>45.55</v>
      </c>
      <c r="G2082" s="6">
        <v>45.03</v>
      </c>
      <c r="H2082" s="6">
        <v>45.61</v>
      </c>
      <c r="I2082" s="9">
        <v>5.6877144E7</v>
      </c>
      <c r="J2082" s="6">
        <v>2.577030277E9</v>
      </c>
    </row>
    <row r="2083">
      <c r="A2083" s="15" t="s">
        <v>10</v>
      </c>
      <c r="B2083" s="5">
        <v>44658.0</v>
      </c>
      <c r="C2083" s="6">
        <v>44.89</v>
      </c>
      <c r="D2083" s="11">
        <v>-0.36</v>
      </c>
      <c r="E2083" s="12">
        <v>-0.008</v>
      </c>
      <c r="F2083" s="6">
        <v>44.99</v>
      </c>
      <c r="G2083" s="6">
        <v>44.67</v>
      </c>
      <c r="H2083" s="6">
        <v>45.1</v>
      </c>
      <c r="I2083" s="9">
        <v>3.8954957E7</v>
      </c>
      <c r="J2083" s="6">
        <v>1.749226796E9</v>
      </c>
    </row>
    <row r="2084">
      <c r="A2084" s="15" t="s">
        <v>10</v>
      </c>
      <c r="B2084" s="5">
        <v>44659.0</v>
      </c>
      <c r="C2084" s="6">
        <v>44.93</v>
      </c>
      <c r="D2084" s="13">
        <f>+0.04</f>
        <v>0.04</v>
      </c>
      <c r="E2084" s="14">
        <f>+0.09%</f>
        <v>0.0009</v>
      </c>
      <c r="F2084" s="6">
        <v>45.02</v>
      </c>
      <c r="G2084" s="6">
        <v>44.88</v>
      </c>
      <c r="H2084" s="6">
        <v>45.17</v>
      </c>
      <c r="I2084" s="9">
        <v>4.1263435E7</v>
      </c>
      <c r="J2084" s="6">
        <v>1.857622887E9</v>
      </c>
    </row>
    <row r="2085">
      <c r="A2085" s="15" t="s">
        <v>10</v>
      </c>
      <c r="B2085" s="5">
        <v>44662.0</v>
      </c>
      <c r="C2085" s="6">
        <v>44.37</v>
      </c>
      <c r="D2085" s="11">
        <v>-0.56</v>
      </c>
      <c r="E2085" s="12">
        <v>-0.0125</v>
      </c>
      <c r="F2085" s="6">
        <v>44.54</v>
      </c>
      <c r="G2085" s="6">
        <v>44.35</v>
      </c>
      <c r="H2085" s="6">
        <v>44.73</v>
      </c>
      <c r="I2085" s="9">
        <v>4.7878166E7</v>
      </c>
      <c r="J2085" s="6">
        <v>2.130151844E9</v>
      </c>
    </row>
    <row r="2086">
      <c r="A2086" s="15" t="s">
        <v>10</v>
      </c>
      <c r="B2086" s="5">
        <v>44663.0</v>
      </c>
      <c r="C2086" s="6">
        <v>44.23</v>
      </c>
      <c r="D2086" s="11">
        <v>-0.14</v>
      </c>
      <c r="E2086" s="12">
        <v>-0.0032</v>
      </c>
      <c r="F2086" s="6">
        <v>44.73</v>
      </c>
      <c r="G2086" s="6">
        <v>44.19</v>
      </c>
      <c r="H2086" s="6">
        <v>44.77</v>
      </c>
      <c r="I2086" s="9">
        <v>4.1815159E7</v>
      </c>
      <c r="J2086" s="6">
        <v>1.860889773E9</v>
      </c>
    </row>
    <row r="2087">
      <c r="A2087" s="15" t="s">
        <v>10</v>
      </c>
      <c r="B2087" s="5">
        <v>44664.0</v>
      </c>
      <c r="C2087" s="6">
        <v>44.81</v>
      </c>
      <c r="D2087" s="13">
        <f>+0.58</f>
        <v>0.58</v>
      </c>
      <c r="E2087" s="14">
        <f>+1.31%</f>
        <v>0.0131</v>
      </c>
      <c r="F2087" s="6">
        <v>44.47</v>
      </c>
      <c r="G2087" s="6">
        <v>44.44</v>
      </c>
      <c r="H2087" s="6">
        <v>44.88</v>
      </c>
      <c r="I2087" s="9">
        <v>3.3529439E7</v>
      </c>
      <c r="J2087" s="6">
        <v>1.500431345E9</v>
      </c>
    </row>
    <row r="2088">
      <c r="A2088" s="15" t="s">
        <v>10</v>
      </c>
      <c r="B2088" s="5">
        <v>44665.0</v>
      </c>
      <c r="C2088" s="6">
        <v>44.23</v>
      </c>
      <c r="D2088" s="11">
        <v>-0.58</v>
      </c>
      <c r="E2088" s="12">
        <v>-0.0129</v>
      </c>
      <c r="F2088" s="6">
        <v>44.57</v>
      </c>
      <c r="G2088" s="6">
        <v>44.2</v>
      </c>
      <c r="H2088" s="6">
        <v>44.59</v>
      </c>
      <c r="I2088" s="9">
        <v>3.8915067E7</v>
      </c>
      <c r="J2088" s="6">
        <v>1.724905222E9</v>
      </c>
    </row>
    <row r="2089">
      <c r="A2089" s="15" t="s">
        <v>10</v>
      </c>
      <c r="B2089" s="5">
        <v>44669.0</v>
      </c>
      <c r="C2089" s="6">
        <v>44.08</v>
      </c>
      <c r="D2089" s="11">
        <v>-0.15</v>
      </c>
      <c r="E2089" s="12">
        <v>-0.0034</v>
      </c>
      <c r="F2089" s="6">
        <v>44.0</v>
      </c>
      <c r="G2089" s="6">
        <v>43.86</v>
      </c>
      <c r="H2089" s="6">
        <v>44.29</v>
      </c>
      <c r="I2089" s="9">
        <v>2.9106458E7</v>
      </c>
      <c r="J2089" s="6">
        <v>1.283123627E9</v>
      </c>
    </row>
    <row r="2090">
      <c r="A2090" s="15" t="s">
        <v>10</v>
      </c>
      <c r="B2090" s="5">
        <v>44670.0</v>
      </c>
      <c r="C2090" s="6">
        <v>43.86</v>
      </c>
      <c r="D2090" s="11">
        <v>-0.22</v>
      </c>
      <c r="E2090" s="12">
        <v>-0.005</v>
      </c>
      <c r="F2090" s="6">
        <v>43.62</v>
      </c>
      <c r="G2090" s="6">
        <v>43.43</v>
      </c>
      <c r="H2090" s="6">
        <v>43.89</v>
      </c>
      <c r="I2090" s="9">
        <v>4.006644E7</v>
      </c>
      <c r="J2090" s="6">
        <v>1.752118303E9</v>
      </c>
    </row>
    <row r="2091">
      <c r="A2091" s="15" t="s">
        <v>10</v>
      </c>
      <c r="B2091" s="5">
        <v>44671.0</v>
      </c>
      <c r="C2091" s="6">
        <v>43.6</v>
      </c>
      <c r="D2091" s="11">
        <v>-0.26</v>
      </c>
      <c r="E2091" s="12">
        <v>-0.0059</v>
      </c>
      <c r="F2091" s="6">
        <v>43.91</v>
      </c>
      <c r="G2091" s="6">
        <v>43.52</v>
      </c>
      <c r="H2091" s="6">
        <v>43.92</v>
      </c>
      <c r="I2091" s="9">
        <v>3.6373467E7</v>
      </c>
      <c r="J2091" s="6">
        <v>1.587960801E9</v>
      </c>
    </row>
    <row r="2092">
      <c r="A2092" s="15" t="s">
        <v>10</v>
      </c>
      <c r="B2092" s="5">
        <v>44672.0</v>
      </c>
      <c r="C2092" s="6">
        <v>42.76</v>
      </c>
      <c r="D2092" s="11">
        <v>-0.84</v>
      </c>
      <c r="E2092" s="12">
        <v>-0.0193</v>
      </c>
      <c r="F2092" s="6">
        <v>43.61</v>
      </c>
      <c r="G2092" s="6">
        <v>42.67</v>
      </c>
      <c r="H2092" s="6">
        <v>43.69</v>
      </c>
      <c r="I2092" s="9">
        <v>4.4857422E7</v>
      </c>
      <c r="J2092" s="6">
        <v>1.927722199E9</v>
      </c>
    </row>
    <row r="2093">
      <c r="A2093" s="15" t="s">
        <v>10</v>
      </c>
      <c r="B2093" s="5">
        <v>44673.0</v>
      </c>
      <c r="C2093" s="6">
        <v>42.38</v>
      </c>
      <c r="D2093" s="11">
        <v>-0.38</v>
      </c>
      <c r="E2093" s="12">
        <v>-0.0089</v>
      </c>
      <c r="F2093" s="6">
        <v>42.84</v>
      </c>
      <c r="G2093" s="6">
        <v>42.37</v>
      </c>
      <c r="H2093" s="6">
        <v>43.12</v>
      </c>
      <c r="I2093" s="9">
        <v>6.8371929E7</v>
      </c>
      <c r="J2093" s="6">
        <v>2.916030892E9</v>
      </c>
    </row>
    <row r="2094">
      <c r="A2094" s="15" t="s">
        <v>10</v>
      </c>
      <c r="B2094" s="5">
        <v>44676.0</v>
      </c>
      <c r="C2094" s="6">
        <v>42.07</v>
      </c>
      <c r="D2094" s="11">
        <v>-0.31</v>
      </c>
      <c r="E2094" s="12">
        <v>-0.0073</v>
      </c>
      <c r="F2094" s="6">
        <v>41.68</v>
      </c>
      <c r="G2094" s="6">
        <v>41.59</v>
      </c>
      <c r="H2094" s="6">
        <v>42.13</v>
      </c>
      <c r="I2094" s="9">
        <v>6.7643841E7</v>
      </c>
      <c r="J2094" s="6">
        <v>2.831651654E9</v>
      </c>
    </row>
    <row r="2095">
      <c r="A2095" s="15" t="s">
        <v>10</v>
      </c>
      <c r="B2095" s="5">
        <v>44677.0</v>
      </c>
      <c r="C2095" s="6">
        <v>41.15</v>
      </c>
      <c r="D2095" s="11">
        <v>-0.92</v>
      </c>
      <c r="E2095" s="12">
        <v>-0.0219</v>
      </c>
      <c r="F2095" s="6">
        <v>41.8</v>
      </c>
      <c r="G2095" s="6">
        <v>41.15</v>
      </c>
      <c r="H2095" s="6">
        <v>41.85</v>
      </c>
      <c r="I2095" s="9">
        <v>7.0774625E7</v>
      </c>
      <c r="J2095" s="6">
        <v>2.929825228E9</v>
      </c>
    </row>
    <row r="2096">
      <c r="A2096" s="15" t="s">
        <v>10</v>
      </c>
      <c r="B2096" s="5">
        <v>44678.0</v>
      </c>
      <c r="C2096" s="6">
        <v>41.63</v>
      </c>
      <c r="D2096" s="13">
        <f>+0.48</f>
        <v>0.48</v>
      </c>
      <c r="E2096" s="14">
        <f>+1.17%</f>
        <v>0.0117</v>
      </c>
      <c r="F2096" s="6">
        <v>41.46</v>
      </c>
      <c r="G2096" s="6">
        <v>41.4</v>
      </c>
      <c r="H2096" s="6">
        <v>41.89</v>
      </c>
      <c r="I2096" s="9">
        <v>6.1593961E7</v>
      </c>
      <c r="J2096" s="6">
        <v>2.565683525E9</v>
      </c>
    </row>
    <row r="2097">
      <c r="A2097" s="15" t="s">
        <v>10</v>
      </c>
      <c r="B2097" s="5">
        <v>44679.0</v>
      </c>
      <c r="C2097" s="6">
        <v>42.23</v>
      </c>
      <c r="D2097" s="13">
        <f>+0.6</f>
        <v>0.6</v>
      </c>
      <c r="E2097" s="14">
        <f>+1.44%</f>
        <v>0.0144</v>
      </c>
      <c r="F2097" s="6">
        <v>41.97</v>
      </c>
      <c r="G2097" s="6">
        <v>41.54</v>
      </c>
      <c r="H2097" s="6">
        <v>42.29</v>
      </c>
      <c r="I2097" s="9">
        <v>4.3769874E7</v>
      </c>
      <c r="J2097" s="6">
        <v>1.835792547E9</v>
      </c>
    </row>
    <row r="2098">
      <c r="A2098" s="15" t="s">
        <v>10</v>
      </c>
      <c r="B2098" s="5">
        <v>44680.0</v>
      </c>
      <c r="C2098" s="6">
        <v>42.38</v>
      </c>
      <c r="D2098" s="13">
        <f>+0.15</f>
        <v>0.15</v>
      </c>
      <c r="E2098" s="14">
        <f>+0.36%</f>
        <v>0.0036</v>
      </c>
      <c r="F2098" s="6">
        <v>43.03</v>
      </c>
      <c r="G2098" s="6">
        <v>42.35</v>
      </c>
      <c r="H2098" s="6">
        <v>43.22</v>
      </c>
      <c r="I2098" s="9">
        <v>6.1703926E7</v>
      </c>
      <c r="J2098" s="6">
        <v>2.640333152E9</v>
      </c>
    </row>
    <row r="2099">
      <c r="A2099" s="15" t="s">
        <v>10</v>
      </c>
      <c r="B2099" s="5">
        <v>44683.0</v>
      </c>
      <c r="C2099" s="6">
        <v>42.32</v>
      </c>
      <c r="D2099" s="11">
        <v>-0.06</v>
      </c>
      <c r="E2099" s="12">
        <v>-0.0014</v>
      </c>
      <c r="F2099" s="6">
        <v>42.26</v>
      </c>
      <c r="G2099" s="6">
        <v>41.81</v>
      </c>
      <c r="H2099" s="6">
        <v>42.48</v>
      </c>
      <c r="I2099" s="9">
        <v>5.5015808E7</v>
      </c>
      <c r="J2099" s="6">
        <v>2.320931967E9</v>
      </c>
    </row>
    <row r="2100">
      <c r="A2100" s="15" t="s">
        <v>10</v>
      </c>
      <c r="B2100" s="5">
        <v>44684.0</v>
      </c>
      <c r="C2100" s="6">
        <v>42.63</v>
      </c>
      <c r="D2100" s="13">
        <f>+0.31</f>
        <v>0.31</v>
      </c>
      <c r="E2100" s="14">
        <f>+0.73%</f>
        <v>0.0073</v>
      </c>
      <c r="F2100" s="6">
        <v>42.59</v>
      </c>
      <c r="G2100" s="6">
        <v>42.43</v>
      </c>
      <c r="H2100" s="6">
        <v>42.69</v>
      </c>
      <c r="I2100" s="9">
        <v>4.5593119E7</v>
      </c>
      <c r="J2100" s="6">
        <v>1.941238835E9</v>
      </c>
    </row>
    <row r="2101">
      <c r="A2101" s="15" t="s">
        <v>10</v>
      </c>
      <c r="B2101" s="5">
        <v>44685.0</v>
      </c>
      <c r="C2101" s="6">
        <v>43.09</v>
      </c>
      <c r="D2101" s="13">
        <f>+0.46</f>
        <v>0.46</v>
      </c>
      <c r="E2101" s="14">
        <f>+1.08%</f>
        <v>0.0108</v>
      </c>
      <c r="F2101" s="6">
        <v>42.2</v>
      </c>
      <c r="G2101" s="6">
        <v>41.94</v>
      </c>
      <c r="H2101" s="6">
        <v>43.17</v>
      </c>
      <c r="I2101" s="9">
        <v>5.7175252E7</v>
      </c>
      <c r="J2101" s="6">
        <v>2.432347772E9</v>
      </c>
    </row>
    <row r="2102">
      <c r="A2102" s="15" t="s">
        <v>10</v>
      </c>
      <c r="B2102" s="5">
        <v>44686.0</v>
      </c>
      <c r="C2102" s="6">
        <v>41.5</v>
      </c>
      <c r="D2102" s="11">
        <v>-1.59</v>
      </c>
      <c r="E2102" s="12">
        <v>-0.0369</v>
      </c>
      <c r="F2102" s="6">
        <v>42.2</v>
      </c>
      <c r="G2102" s="6">
        <v>41.12</v>
      </c>
      <c r="H2102" s="6">
        <v>42.27</v>
      </c>
      <c r="I2102" s="9">
        <v>6.326888E7</v>
      </c>
      <c r="J2102" s="6">
        <v>2.625225428E9</v>
      </c>
    </row>
    <row r="2103">
      <c r="A2103" s="15" t="s">
        <v>10</v>
      </c>
      <c r="B2103" s="5">
        <v>44687.0</v>
      </c>
      <c r="C2103" s="6">
        <v>40.93</v>
      </c>
      <c r="D2103" s="11">
        <v>-0.57</v>
      </c>
      <c r="E2103" s="12">
        <v>-0.0137</v>
      </c>
      <c r="F2103" s="6">
        <v>41.11</v>
      </c>
      <c r="G2103" s="6">
        <v>40.69</v>
      </c>
      <c r="H2103" s="6">
        <v>41.24</v>
      </c>
      <c r="I2103" s="9">
        <v>6.7425784E7</v>
      </c>
      <c r="J2103" s="6">
        <v>2.762796064E9</v>
      </c>
    </row>
    <row r="2104">
      <c r="A2104" s="15" t="s">
        <v>10</v>
      </c>
      <c r="B2104" s="5">
        <v>44690.0</v>
      </c>
      <c r="C2104" s="6">
        <v>39.75</v>
      </c>
      <c r="D2104" s="11">
        <v>-1.18</v>
      </c>
      <c r="E2104" s="12">
        <v>-0.0288</v>
      </c>
      <c r="F2104" s="6">
        <v>40.19</v>
      </c>
      <c r="G2104" s="6">
        <v>39.72</v>
      </c>
      <c r="H2104" s="6">
        <v>40.41</v>
      </c>
      <c r="I2104" s="9">
        <v>8.325155E7</v>
      </c>
      <c r="J2104" s="6">
        <v>3.330318188E9</v>
      </c>
    </row>
    <row r="2105">
      <c r="A2105" s="15" t="s">
        <v>10</v>
      </c>
      <c r="B2105" s="5">
        <v>44691.0</v>
      </c>
      <c r="C2105" s="6">
        <v>39.94</v>
      </c>
      <c r="D2105" s="13">
        <f>+0.19</f>
        <v>0.19</v>
      </c>
      <c r="E2105" s="14">
        <f>+0.48%</f>
        <v>0.0048</v>
      </c>
      <c r="F2105" s="6">
        <v>40.35</v>
      </c>
      <c r="G2105" s="6">
        <v>39.59</v>
      </c>
      <c r="H2105" s="6">
        <v>40.4</v>
      </c>
      <c r="I2105" s="9">
        <v>6.9865069E7</v>
      </c>
      <c r="J2105" s="6">
        <v>2.79089381E9</v>
      </c>
    </row>
    <row r="2106">
      <c r="A2106" s="15" t="s">
        <v>10</v>
      </c>
      <c r="B2106" s="5">
        <v>44692.0</v>
      </c>
      <c r="C2106" s="6">
        <v>39.66</v>
      </c>
      <c r="D2106" s="11">
        <v>-0.28</v>
      </c>
      <c r="E2106" s="12">
        <v>-0.007</v>
      </c>
      <c r="F2106" s="6">
        <v>40.21</v>
      </c>
      <c r="G2106" s="6">
        <v>39.63</v>
      </c>
      <c r="H2106" s="6">
        <v>40.52</v>
      </c>
      <c r="I2106" s="9">
        <v>7.5198469E7</v>
      </c>
      <c r="J2106" s="6">
        <v>3.012298263E9</v>
      </c>
    </row>
    <row r="2107">
      <c r="A2107" s="15" t="s">
        <v>10</v>
      </c>
      <c r="B2107" s="5">
        <v>44693.0</v>
      </c>
      <c r="C2107" s="6">
        <v>39.4</v>
      </c>
      <c r="D2107" s="11">
        <v>-0.26</v>
      </c>
      <c r="E2107" s="12">
        <v>-0.0066</v>
      </c>
      <c r="F2107" s="6">
        <v>39.25</v>
      </c>
      <c r="G2107" s="6">
        <v>38.95</v>
      </c>
      <c r="H2107" s="6">
        <v>39.75</v>
      </c>
      <c r="I2107" s="9">
        <v>7.3481269E7</v>
      </c>
      <c r="J2107" s="6">
        <v>2.892239552E9</v>
      </c>
    </row>
    <row r="2108">
      <c r="A2108" s="15" t="s">
        <v>10</v>
      </c>
      <c r="B2108" s="5">
        <v>44694.0</v>
      </c>
      <c r="C2108" s="6">
        <v>40.49</v>
      </c>
      <c r="D2108" s="13">
        <f>+1.09</f>
        <v>1.09</v>
      </c>
      <c r="E2108" s="14">
        <f>+2.77%</f>
        <v>0.0277</v>
      </c>
      <c r="F2108" s="6">
        <v>39.84</v>
      </c>
      <c r="G2108" s="6">
        <v>39.81</v>
      </c>
      <c r="H2108" s="6">
        <v>40.5</v>
      </c>
      <c r="I2108" s="9">
        <v>4.9196095E7</v>
      </c>
      <c r="J2108" s="6">
        <v>1.983707912E9</v>
      </c>
    </row>
    <row r="2109">
      <c r="A2109" s="15" t="s">
        <v>10</v>
      </c>
      <c r="B2109" s="5">
        <v>44697.0</v>
      </c>
      <c r="C2109" s="6">
        <v>40.33</v>
      </c>
      <c r="D2109" s="11">
        <v>-0.16</v>
      </c>
      <c r="E2109" s="12">
        <v>-0.004</v>
      </c>
      <c r="F2109" s="6">
        <v>40.19</v>
      </c>
      <c r="G2109" s="6">
        <v>40.1</v>
      </c>
      <c r="H2109" s="6">
        <v>40.5</v>
      </c>
      <c r="I2109" s="9">
        <v>3.2424976E7</v>
      </c>
      <c r="J2109" s="6">
        <v>1.306988821E9</v>
      </c>
    </row>
    <row r="2110">
      <c r="A2110" s="15" t="s">
        <v>10</v>
      </c>
      <c r="B2110" s="5">
        <v>44698.0</v>
      </c>
      <c r="C2110" s="6">
        <v>41.32</v>
      </c>
      <c r="D2110" s="13">
        <f>+0.99</f>
        <v>0.99</v>
      </c>
      <c r="E2110" s="14">
        <f>+2.45%</f>
        <v>0.0245</v>
      </c>
      <c r="F2110" s="6">
        <v>41.4</v>
      </c>
      <c r="G2110" s="6">
        <v>40.99</v>
      </c>
      <c r="H2110" s="6">
        <v>41.45</v>
      </c>
      <c r="I2110" s="9">
        <v>4.9516433E7</v>
      </c>
      <c r="J2110" s="6">
        <v>2.042429446E9</v>
      </c>
    </row>
    <row r="2111">
      <c r="A2111" s="15" t="s">
        <v>10</v>
      </c>
      <c r="B2111" s="5">
        <v>44699.0</v>
      </c>
      <c r="C2111" s="6">
        <v>40.33</v>
      </c>
      <c r="D2111" s="11">
        <v>-0.99</v>
      </c>
      <c r="E2111" s="12">
        <v>-0.024</v>
      </c>
      <c r="F2111" s="6">
        <v>41.03</v>
      </c>
      <c r="G2111" s="6">
        <v>40.27</v>
      </c>
      <c r="H2111" s="6">
        <v>41.2</v>
      </c>
      <c r="I2111" s="9">
        <v>5.3296348E7</v>
      </c>
      <c r="J2111" s="6">
        <v>2.165159601E9</v>
      </c>
    </row>
    <row r="2112">
      <c r="A2112" s="15" t="s">
        <v>10</v>
      </c>
      <c r="B2112" s="5">
        <v>44700.0</v>
      </c>
      <c r="C2112" s="6">
        <v>40.97</v>
      </c>
      <c r="D2112" s="13">
        <f>+0.64</f>
        <v>0.64</v>
      </c>
      <c r="E2112" s="14">
        <f>+1.59%</f>
        <v>0.0159</v>
      </c>
      <c r="F2112" s="6">
        <v>40.49</v>
      </c>
      <c r="G2112" s="6">
        <v>40.49</v>
      </c>
      <c r="H2112" s="6">
        <v>41.15</v>
      </c>
      <c r="I2112" s="9">
        <v>5.5163654E7</v>
      </c>
      <c r="J2112" s="6">
        <v>2.256833144E9</v>
      </c>
    </row>
    <row r="2113">
      <c r="A2113" s="15" t="s">
        <v>10</v>
      </c>
      <c r="B2113" s="5">
        <v>44701.0</v>
      </c>
      <c r="C2113" s="6">
        <v>41.14</v>
      </c>
      <c r="D2113" s="13">
        <f>+0.17</f>
        <v>0.17</v>
      </c>
      <c r="E2113" s="14">
        <f>+0.41%</f>
        <v>0.0041</v>
      </c>
      <c r="F2113" s="6">
        <v>41.41</v>
      </c>
      <c r="G2113" s="6">
        <v>40.59</v>
      </c>
      <c r="H2113" s="6">
        <v>41.56</v>
      </c>
      <c r="I2113" s="9">
        <v>5.9025369E7</v>
      </c>
      <c r="J2113" s="6">
        <v>2.420339755E9</v>
      </c>
    </row>
    <row r="2114">
      <c r="A2114" s="15" t="s">
        <v>10</v>
      </c>
      <c r="B2114" s="5">
        <v>44704.0</v>
      </c>
      <c r="C2114" s="6">
        <v>41.45</v>
      </c>
      <c r="D2114" s="13">
        <f>+0.31</f>
        <v>0.31</v>
      </c>
      <c r="E2114" s="14">
        <f>+0.75%</f>
        <v>0.0075</v>
      </c>
      <c r="F2114" s="6">
        <v>41.39</v>
      </c>
      <c r="G2114" s="6">
        <v>41.18</v>
      </c>
      <c r="H2114" s="6">
        <v>41.57</v>
      </c>
      <c r="I2114" s="9">
        <v>3.6619406E7</v>
      </c>
      <c r="J2114" s="6">
        <v>1.517163299E9</v>
      </c>
    </row>
    <row r="2115">
      <c r="A2115" s="15" t="s">
        <v>10</v>
      </c>
      <c r="B2115" s="5">
        <v>44705.0</v>
      </c>
      <c r="C2115" s="6">
        <v>40.73</v>
      </c>
      <c r="D2115" s="11">
        <v>-0.72</v>
      </c>
      <c r="E2115" s="12">
        <v>-0.0174</v>
      </c>
      <c r="F2115" s="6">
        <v>40.81</v>
      </c>
      <c r="G2115" s="6">
        <v>40.35</v>
      </c>
      <c r="H2115" s="6">
        <v>40.84</v>
      </c>
      <c r="I2115" s="9">
        <v>4.6400467E7</v>
      </c>
      <c r="J2115" s="6">
        <v>1.885405946E9</v>
      </c>
    </row>
    <row r="2116">
      <c r="A2116" s="15" t="s">
        <v>10</v>
      </c>
      <c r="B2116" s="5">
        <v>44706.0</v>
      </c>
      <c r="C2116" s="6">
        <v>40.93</v>
      </c>
      <c r="D2116" s="13">
        <f>+0.2</f>
        <v>0.2</v>
      </c>
      <c r="E2116" s="14">
        <f>+0.49%</f>
        <v>0.0049</v>
      </c>
      <c r="F2116" s="6">
        <v>40.62</v>
      </c>
      <c r="G2116" s="6">
        <v>40.55</v>
      </c>
      <c r="H2116" s="6">
        <v>41.03</v>
      </c>
      <c r="I2116" s="9">
        <v>3.7863216E7</v>
      </c>
      <c r="J2116" s="6">
        <v>1.544440747E9</v>
      </c>
    </row>
    <row r="2117">
      <c r="A2117" s="15" t="s">
        <v>10</v>
      </c>
      <c r="B2117" s="5">
        <v>44707.0</v>
      </c>
      <c r="C2117" s="6">
        <v>41.57</v>
      </c>
      <c r="D2117" s="13">
        <f>+0.64</f>
        <v>0.64</v>
      </c>
      <c r="E2117" s="14">
        <f>+1.56%</f>
        <v>0.0156</v>
      </c>
      <c r="F2117" s="6">
        <v>40.86</v>
      </c>
      <c r="G2117" s="6">
        <v>40.86</v>
      </c>
      <c r="H2117" s="6">
        <v>41.67</v>
      </c>
      <c r="I2117" s="9">
        <v>5.1355768E7</v>
      </c>
      <c r="J2117" s="6">
        <v>2.131530677E9</v>
      </c>
    </row>
    <row r="2118">
      <c r="A2118" s="15" t="s">
        <v>10</v>
      </c>
      <c r="B2118" s="5">
        <v>44708.0</v>
      </c>
      <c r="C2118" s="6">
        <v>42.05</v>
      </c>
      <c r="D2118" s="13">
        <f>+0.48</f>
        <v>0.48</v>
      </c>
      <c r="E2118" s="14">
        <f>+1.15%</f>
        <v>0.0115</v>
      </c>
      <c r="F2118" s="6">
        <v>41.86</v>
      </c>
      <c r="G2118" s="6">
        <v>41.73</v>
      </c>
      <c r="H2118" s="6">
        <v>42.07</v>
      </c>
      <c r="I2118" s="9">
        <v>3.1262934E7</v>
      </c>
      <c r="J2118" s="6">
        <v>1.311248892E9</v>
      </c>
    </row>
    <row r="2119">
      <c r="A2119" s="15" t="s">
        <v>10</v>
      </c>
      <c r="B2119" s="5">
        <v>44712.0</v>
      </c>
      <c r="C2119" s="6">
        <v>42.64</v>
      </c>
      <c r="D2119" s="13">
        <f>+0.59</f>
        <v>0.59</v>
      </c>
      <c r="E2119" s="14">
        <f>+1.4%</f>
        <v>0.014</v>
      </c>
      <c r="F2119" s="6">
        <v>43.13</v>
      </c>
      <c r="G2119" s="6">
        <v>42.64</v>
      </c>
      <c r="H2119" s="6">
        <v>43.14</v>
      </c>
      <c r="I2119" s="9">
        <v>7.2069005E7</v>
      </c>
      <c r="J2119" s="6">
        <v>3.089533933E9</v>
      </c>
    </row>
    <row r="2120">
      <c r="A2120" s="15" t="s">
        <v>10</v>
      </c>
      <c r="B2120" s="5">
        <v>44713.0</v>
      </c>
      <c r="C2120" s="6">
        <v>42.34</v>
      </c>
      <c r="D2120" s="11">
        <v>-0.3</v>
      </c>
      <c r="E2120" s="12">
        <v>-0.007</v>
      </c>
      <c r="F2120" s="6">
        <v>42.91</v>
      </c>
      <c r="G2120" s="6">
        <v>42.16</v>
      </c>
      <c r="H2120" s="6">
        <v>42.96</v>
      </c>
      <c r="I2120" s="9">
        <v>4.0495649E7</v>
      </c>
      <c r="J2120" s="6">
        <v>1.720179591E9</v>
      </c>
    </row>
    <row r="2121">
      <c r="A2121" s="15" t="s">
        <v>10</v>
      </c>
      <c r="B2121" s="5">
        <v>44714.0</v>
      </c>
      <c r="C2121" s="6">
        <v>43.07</v>
      </c>
      <c r="D2121" s="13">
        <f>+0.73</f>
        <v>0.73</v>
      </c>
      <c r="E2121" s="14">
        <f>+1.72%</f>
        <v>0.0172</v>
      </c>
      <c r="F2121" s="6">
        <v>42.51</v>
      </c>
      <c r="G2121" s="6">
        <v>42.4</v>
      </c>
      <c r="H2121" s="6">
        <v>43.09</v>
      </c>
      <c r="I2121" s="9">
        <v>4.432232E7</v>
      </c>
      <c r="J2121" s="6">
        <v>1.899245332E9</v>
      </c>
    </row>
    <row r="2122">
      <c r="A2122" s="15" t="s">
        <v>10</v>
      </c>
      <c r="B2122" s="5">
        <v>44715.0</v>
      </c>
      <c r="C2122" s="6">
        <v>42.37</v>
      </c>
      <c r="D2122" s="11">
        <v>-0.7</v>
      </c>
      <c r="E2122" s="12">
        <v>-0.0163</v>
      </c>
      <c r="F2122" s="6">
        <v>42.66</v>
      </c>
      <c r="G2122" s="6">
        <v>42.27</v>
      </c>
      <c r="H2122" s="6">
        <v>42.67</v>
      </c>
      <c r="I2122" s="9">
        <v>3.9337078E7</v>
      </c>
      <c r="J2122" s="6">
        <v>1.667283745E9</v>
      </c>
    </row>
    <row r="2123">
      <c r="A2123" s="15" t="s">
        <v>10</v>
      </c>
      <c r="B2123" s="5">
        <v>44718.0</v>
      </c>
      <c r="C2123" s="6">
        <v>42.6</v>
      </c>
      <c r="D2123" s="13">
        <f>+0.23</f>
        <v>0.23</v>
      </c>
      <c r="E2123" s="14">
        <f>+0.54%</f>
        <v>0.0054</v>
      </c>
      <c r="F2123" s="6">
        <v>43.13</v>
      </c>
      <c r="G2123" s="6">
        <v>42.49</v>
      </c>
      <c r="H2123" s="6">
        <v>43.23</v>
      </c>
      <c r="I2123" s="9">
        <v>4.3126061E7</v>
      </c>
      <c r="J2123" s="6">
        <v>1.845669935E9</v>
      </c>
    </row>
    <row r="2124">
      <c r="A2124" s="15" t="s">
        <v>10</v>
      </c>
      <c r="B2124" s="5">
        <v>44719.0</v>
      </c>
      <c r="C2124" s="6">
        <v>42.73</v>
      </c>
      <c r="D2124" s="13">
        <f>+0.13</f>
        <v>0.13</v>
      </c>
      <c r="E2124" s="14">
        <f>+0.31%</f>
        <v>0.0031</v>
      </c>
      <c r="F2124" s="6">
        <v>42.34</v>
      </c>
      <c r="G2124" s="6">
        <v>42.27</v>
      </c>
      <c r="H2124" s="6">
        <v>42.77</v>
      </c>
      <c r="I2124" s="9">
        <v>5.7455308E7</v>
      </c>
      <c r="J2124" s="6">
        <v>2.448067842E9</v>
      </c>
    </row>
    <row r="2125">
      <c r="A2125" s="15" t="s">
        <v>10</v>
      </c>
      <c r="B2125" s="5">
        <v>44720.0</v>
      </c>
      <c r="C2125" s="6">
        <v>42.96</v>
      </c>
      <c r="D2125" s="13">
        <f>+0.23</f>
        <v>0.23</v>
      </c>
      <c r="E2125" s="14">
        <f>+0.54%</f>
        <v>0.0054</v>
      </c>
      <c r="F2125" s="6">
        <v>42.94</v>
      </c>
      <c r="G2125" s="6">
        <v>42.78</v>
      </c>
      <c r="H2125" s="6">
        <v>43.13</v>
      </c>
      <c r="I2125" s="9">
        <v>4.3591826E7</v>
      </c>
      <c r="J2125" s="6">
        <v>1.872558071E9</v>
      </c>
    </row>
    <row r="2126">
      <c r="A2126" s="15" t="s">
        <v>10</v>
      </c>
      <c r="B2126" s="5">
        <v>44721.0</v>
      </c>
      <c r="C2126" s="6">
        <v>41.59</v>
      </c>
      <c r="D2126" s="11">
        <v>-1.37</v>
      </c>
      <c r="E2126" s="12">
        <v>-0.0319</v>
      </c>
      <c r="F2126" s="6">
        <v>42.22</v>
      </c>
      <c r="G2126" s="6">
        <v>41.56</v>
      </c>
      <c r="H2126" s="6">
        <v>42.31</v>
      </c>
      <c r="I2126" s="9">
        <v>5.3115977E7</v>
      </c>
      <c r="J2126" s="6">
        <v>2.225986777E9</v>
      </c>
    </row>
    <row r="2127">
      <c r="A2127" s="15" t="s">
        <v>10</v>
      </c>
      <c r="B2127" s="5">
        <v>44722.0</v>
      </c>
      <c r="C2127" s="6">
        <v>41.13</v>
      </c>
      <c r="D2127" s="11">
        <v>-0.46</v>
      </c>
      <c r="E2127" s="12">
        <v>-0.0111</v>
      </c>
      <c r="F2127" s="6">
        <v>41.5</v>
      </c>
      <c r="G2127" s="6">
        <v>41.03</v>
      </c>
      <c r="H2127" s="6">
        <v>41.58</v>
      </c>
      <c r="I2127" s="9">
        <v>4.4176784E7</v>
      </c>
      <c r="J2127" s="6">
        <v>1.820963657E9</v>
      </c>
    </row>
    <row r="2128">
      <c r="A2128" s="15" t="s">
        <v>10</v>
      </c>
      <c r="B2128" s="5">
        <v>44725.0</v>
      </c>
      <c r="C2128" s="6">
        <v>39.69</v>
      </c>
      <c r="D2128" s="11">
        <v>-1.44</v>
      </c>
      <c r="E2128" s="12">
        <v>-0.035</v>
      </c>
      <c r="F2128" s="6">
        <v>40.06</v>
      </c>
      <c r="G2128" s="6">
        <v>39.53</v>
      </c>
      <c r="H2128" s="6">
        <v>40.31</v>
      </c>
      <c r="I2128" s="9">
        <v>6.7647031E7</v>
      </c>
      <c r="J2128" s="6">
        <v>2.690422344E9</v>
      </c>
    </row>
    <row r="2129">
      <c r="A2129" s="15" t="s">
        <v>10</v>
      </c>
      <c r="B2129" s="5">
        <v>44726.0</v>
      </c>
      <c r="C2129" s="6">
        <v>40.24</v>
      </c>
      <c r="D2129" s="13">
        <f>+0.55</f>
        <v>0.55</v>
      </c>
      <c r="E2129" s="14">
        <f>+1.39%</f>
        <v>0.0139</v>
      </c>
      <c r="F2129" s="6">
        <v>40.1</v>
      </c>
      <c r="G2129" s="6">
        <v>40.0</v>
      </c>
      <c r="H2129" s="6">
        <v>40.41</v>
      </c>
      <c r="I2129" s="9">
        <v>5.886844E7</v>
      </c>
      <c r="J2129" s="6">
        <v>2.366692337E9</v>
      </c>
    </row>
    <row r="2130">
      <c r="A2130" s="15" t="s">
        <v>10</v>
      </c>
      <c r="B2130" s="5">
        <v>44727.0</v>
      </c>
      <c r="C2130" s="6">
        <v>40.77</v>
      </c>
      <c r="D2130" s="13">
        <f>+0.53</f>
        <v>0.53</v>
      </c>
      <c r="E2130" s="14">
        <f>+1.32%</f>
        <v>0.0132</v>
      </c>
      <c r="F2130" s="6">
        <v>40.38</v>
      </c>
      <c r="G2130" s="6">
        <v>40.16</v>
      </c>
      <c r="H2130" s="6">
        <v>41.05</v>
      </c>
      <c r="I2130" s="9">
        <v>6.7577892E7</v>
      </c>
      <c r="J2130" s="6">
        <v>2.743853506E9</v>
      </c>
    </row>
    <row r="2131">
      <c r="A2131" s="15" t="s">
        <v>10</v>
      </c>
      <c r="B2131" s="5">
        <v>44728.0</v>
      </c>
      <c r="C2131" s="6">
        <v>39.52</v>
      </c>
      <c r="D2131" s="11">
        <v>-1.25</v>
      </c>
      <c r="E2131" s="12">
        <v>-0.0307</v>
      </c>
      <c r="F2131" s="6">
        <v>39.55</v>
      </c>
      <c r="G2131" s="6">
        <v>39.26</v>
      </c>
      <c r="H2131" s="6">
        <v>39.72</v>
      </c>
      <c r="I2131" s="9">
        <v>6.8035843E7</v>
      </c>
      <c r="J2131" s="6">
        <v>2.68991844E9</v>
      </c>
    </row>
    <row r="2132">
      <c r="A2132" s="15" t="s">
        <v>10</v>
      </c>
      <c r="B2132" s="5">
        <v>44729.0</v>
      </c>
      <c r="C2132" s="6">
        <v>39.67</v>
      </c>
      <c r="D2132" s="13">
        <f>+0.15</f>
        <v>0.15</v>
      </c>
      <c r="E2132" s="14">
        <f>+0.38%</f>
        <v>0.0038</v>
      </c>
      <c r="F2132" s="6">
        <v>39.95</v>
      </c>
      <c r="G2132" s="6">
        <v>39.42</v>
      </c>
      <c r="H2132" s="6">
        <v>40.05</v>
      </c>
      <c r="I2132" s="9">
        <v>6.3646277E7</v>
      </c>
      <c r="J2132" s="6">
        <v>2.527912898E9</v>
      </c>
    </row>
    <row r="2133">
      <c r="A2133" s="15" t="s">
        <v>10</v>
      </c>
      <c r="B2133" s="5">
        <v>44733.0</v>
      </c>
      <c r="C2133" s="6">
        <v>40.31</v>
      </c>
      <c r="D2133" s="13">
        <f>+0.64</f>
        <v>0.64</v>
      </c>
      <c r="E2133" s="14">
        <f>+1.61%</f>
        <v>0.0161</v>
      </c>
      <c r="F2133" s="6">
        <v>40.24</v>
      </c>
      <c r="G2133" s="6">
        <v>40.18</v>
      </c>
      <c r="H2133" s="6">
        <v>40.48</v>
      </c>
      <c r="I2133" s="9">
        <v>3.5943853E7</v>
      </c>
      <c r="J2133" s="6">
        <v>1.450226524E9</v>
      </c>
    </row>
    <row r="2134">
      <c r="A2134" s="15" t="s">
        <v>10</v>
      </c>
      <c r="B2134" s="5">
        <v>44734.0</v>
      </c>
      <c r="C2134" s="6">
        <v>39.59</v>
      </c>
      <c r="D2134" s="11">
        <v>-0.72</v>
      </c>
      <c r="E2134" s="12">
        <v>-0.0179</v>
      </c>
      <c r="F2134" s="6">
        <v>39.48</v>
      </c>
      <c r="G2134" s="6">
        <v>39.41</v>
      </c>
      <c r="H2134" s="6">
        <v>39.86</v>
      </c>
      <c r="I2134" s="9">
        <v>4.1337935E7</v>
      </c>
      <c r="J2134" s="6">
        <v>1.638997102E9</v>
      </c>
    </row>
    <row r="2135">
      <c r="A2135" s="15" t="s">
        <v>10</v>
      </c>
      <c r="B2135" s="5">
        <v>44735.0</v>
      </c>
      <c r="C2135" s="6">
        <v>39.71</v>
      </c>
      <c r="D2135" s="13">
        <f>+0.12</f>
        <v>0.12</v>
      </c>
      <c r="E2135" s="14">
        <f>+0.3%</f>
        <v>0.003</v>
      </c>
      <c r="F2135" s="6">
        <v>39.71</v>
      </c>
      <c r="G2135" s="6">
        <v>39.36</v>
      </c>
      <c r="H2135" s="6">
        <v>39.92</v>
      </c>
      <c r="I2135" s="9">
        <v>4.4261632E7</v>
      </c>
      <c r="J2135" s="6">
        <v>1.755237253E9</v>
      </c>
    </row>
    <row r="2136">
      <c r="A2136" s="15" t="s">
        <v>10</v>
      </c>
      <c r="B2136" s="5">
        <v>44736.0</v>
      </c>
      <c r="C2136" s="6">
        <v>40.65</v>
      </c>
      <c r="D2136" s="13">
        <f>+0.94</f>
        <v>0.94</v>
      </c>
      <c r="E2136" s="14">
        <f>+2.37%</f>
        <v>0.0237</v>
      </c>
      <c r="F2136" s="6">
        <v>40.17</v>
      </c>
      <c r="G2136" s="6">
        <v>40.1</v>
      </c>
      <c r="H2136" s="6">
        <v>40.68</v>
      </c>
      <c r="I2136" s="9">
        <v>4.117634E7</v>
      </c>
      <c r="J2136" s="6">
        <v>1.667208307E9</v>
      </c>
    </row>
    <row r="2137">
      <c r="A2137" s="15" t="s">
        <v>10</v>
      </c>
      <c r="B2137" s="5">
        <v>44739.0</v>
      </c>
      <c r="C2137" s="6">
        <v>40.7</v>
      </c>
      <c r="D2137" s="13">
        <f>+0.05</f>
        <v>0.05</v>
      </c>
      <c r="E2137" s="14">
        <f>+0.12%</f>
        <v>0.0012</v>
      </c>
      <c r="F2137" s="6">
        <v>40.92</v>
      </c>
      <c r="G2137" s="6">
        <v>40.63</v>
      </c>
      <c r="H2137" s="6">
        <v>40.94</v>
      </c>
      <c r="I2137" s="9">
        <v>2.7076383E7</v>
      </c>
      <c r="J2137" s="6">
        <v>1.103139561E9</v>
      </c>
    </row>
    <row r="2138">
      <c r="A2138" s="15" t="s">
        <v>10</v>
      </c>
      <c r="B2138" s="5">
        <v>44740.0</v>
      </c>
      <c r="C2138" s="6">
        <v>40.45</v>
      </c>
      <c r="D2138" s="11">
        <v>-0.25</v>
      </c>
      <c r="E2138" s="12">
        <v>-0.0061</v>
      </c>
      <c r="F2138" s="6">
        <v>41.03</v>
      </c>
      <c r="G2138" s="6">
        <v>40.42</v>
      </c>
      <c r="H2138" s="6">
        <v>41.19</v>
      </c>
      <c r="I2138" s="9">
        <v>3.1095696E7</v>
      </c>
      <c r="J2138" s="6">
        <v>1.265639672E9</v>
      </c>
    </row>
    <row r="2139">
      <c r="A2139" s="15" t="s">
        <v>10</v>
      </c>
      <c r="B2139" s="5">
        <v>44741.0</v>
      </c>
      <c r="C2139" s="6">
        <v>40.29</v>
      </c>
      <c r="D2139" s="11">
        <v>-0.16</v>
      </c>
      <c r="E2139" s="12">
        <v>-0.004</v>
      </c>
      <c r="F2139" s="6">
        <v>40.36</v>
      </c>
      <c r="G2139" s="6">
        <v>40.16</v>
      </c>
      <c r="H2139" s="6">
        <v>40.45</v>
      </c>
      <c r="I2139" s="9">
        <v>3.3969157E7</v>
      </c>
      <c r="J2139" s="6">
        <v>1.36838756E9</v>
      </c>
    </row>
    <row r="2140">
      <c r="A2140" s="15" t="s">
        <v>10</v>
      </c>
      <c r="B2140" s="5">
        <v>44742.0</v>
      </c>
      <c r="C2140" s="6">
        <v>40.1</v>
      </c>
      <c r="D2140" s="11">
        <v>-0.19</v>
      </c>
      <c r="E2140" s="12">
        <v>-0.0047</v>
      </c>
      <c r="F2140" s="6">
        <v>39.75</v>
      </c>
      <c r="G2140" s="6">
        <v>39.51</v>
      </c>
      <c r="H2140" s="6">
        <v>40.19</v>
      </c>
      <c r="I2140" s="9">
        <v>5.2233183E7</v>
      </c>
      <c r="J2140" s="6">
        <v>2.084648832E9</v>
      </c>
    </row>
    <row r="2141">
      <c r="A2141" s="15" t="s">
        <v>10</v>
      </c>
      <c r="B2141" s="5">
        <v>44743.0</v>
      </c>
      <c r="C2141" s="6">
        <v>39.85</v>
      </c>
      <c r="D2141" s="11">
        <v>-0.25</v>
      </c>
      <c r="E2141" s="12">
        <v>-0.0062</v>
      </c>
      <c r="F2141" s="6">
        <v>39.62</v>
      </c>
      <c r="G2141" s="6">
        <v>39.37</v>
      </c>
      <c r="H2141" s="6">
        <v>39.86</v>
      </c>
      <c r="I2141" s="9">
        <v>4.4010619E7</v>
      </c>
      <c r="J2141" s="6">
        <v>1.745394529E9</v>
      </c>
    </row>
    <row r="2142">
      <c r="A2142" s="15" t="s">
        <v>10</v>
      </c>
      <c r="B2142" s="5">
        <v>44747.0</v>
      </c>
      <c r="C2142" s="6">
        <v>39.54</v>
      </c>
      <c r="D2142" s="11">
        <v>-0.31</v>
      </c>
      <c r="E2142" s="12">
        <v>-0.0078</v>
      </c>
      <c r="F2142" s="6">
        <v>39.03</v>
      </c>
      <c r="G2142" s="6">
        <v>38.87</v>
      </c>
      <c r="H2142" s="6">
        <v>39.54</v>
      </c>
      <c r="I2142" s="9">
        <v>4.9452627E7</v>
      </c>
      <c r="J2142" s="6">
        <v>1.935912962E9</v>
      </c>
    </row>
    <row r="2143">
      <c r="A2143" s="15" t="s">
        <v>10</v>
      </c>
      <c r="B2143" s="5">
        <v>44748.0</v>
      </c>
      <c r="C2143" s="6">
        <v>39.3</v>
      </c>
      <c r="D2143" s="11">
        <v>-0.24</v>
      </c>
      <c r="E2143" s="12">
        <v>-0.0061</v>
      </c>
      <c r="F2143" s="6">
        <v>39.25</v>
      </c>
      <c r="G2143" s="6">
        <v>38.96</v>
      </c>
      <c r="H2143" s="6">
        <v>39.41</v>
      </c>
      <c r="I2143" s="9">
        <v>3.6060276E7</v>
      </c>
      <c r="J2143" s="6">
        <v>1.412101806E9</v>
      </c>
    </row>
    <row r="2144">
      <c r="A2144" s="15" t="s">
        <v>10</v>
      </c>
      <c r="B2144" s="5">
        <v>44749.0</v>
      </c>
      <c r="C2144" s="6">
        <v>40.09</v>
      </c>
      <c r="D2144" s="13">
        <f>+0.79</f>
        <v>0.79</v>
      </c>
      <c r="E2144" s="14">
        <f>+2.01%</f>
        <v>0.0201</v>
      </c>
      <c r="F2144" s="6">
        <v>39.84</v>
      </c>
      <c r="G2144" s="6">
        <v>39.83</v>
      </c>
      <c r="H2144" s="6">
        <v>40.27</v>
      </c>
      <c r="I2144" s="9">
        <v>5.6831508E7</v>
      </c>
      <c r="J2144" s="6">
        <v>2.281620323E9</v>
      </c>
    </row>
    <row r="2145">
      <c r="A2145" s="15" t="s">
        <v>10</v>
      </c>
      <c r="B2145" s="5">
        <v>44750.0</v>
      </c>
      <c r="C2145" s="6">
        <v>40.09</v>
      </c>
      <c r="D2145" s="11">
        <v>0.0</v>
      </c>
      <c r="E2145" s="12">
        <v>0.0</v>
      </c>
      <c r="F2145" s="6">
        <v>39.96</v>
      </c>
      <c r="G2145" s="6">
        <v>39.81</v>
      </c>
      <c r="H2145" s="6">
        <v>40.26</v>
      </c>
      <c r="I2145" s="9">
        <v>2.0993464E7</v>
      </c>
      <c r="J2145" s="6">
        <v>8.40834287E8</v>
      </c>
    </row>
    <row r="2146">
      <c r="A2146" s="15" t="s">
        <v>10</v>
      </c>
      <c r="B2146" s="5">
        <v>44753.0</v>
      </c>
      <c r="C2146" s="6">
        <v>39.02</v>
      </c>
      <c r="D2146" s="11">
        <v>-1.07</v>
      </c>
      <c r="E2146" s="12">
        <v>-0.0267</v>
      </c>
      <c r="F2146" s="6">
        <v>39.18</v>
      </c>
      <c r="G2146" s="6">
        <v>38.86</v>
      </c>
      <c r="H2146" s="6">
        <v>39.23</v>
      </c>
      <c r="I2146" s="9">
        <v>5.2682483E7</v>
      </c>
      <c r="J2146" s="6">
        <v>2.056418086E9</v>
      </c>
    </row>
    <row r="2147">
      <c r="A2147" s="15" t="s">
        <v>10</v>
      </c>
      <c r="B2147" s="5">
        <v>44754.0</v>
      </c>
      <c r="C2147" s="6">
        <v>38.87</v>
      </c>
      <c r="D2147" s="11">
        <v>-0.15</v>
      </c>
      <c r="E2147" s="12">
        <v>-0.0038</v>
      </c>
      <c r="F2147" s="6">
        <v>38.86</v>
      </c>
      <c r="G2147" s="6">
        <v>38.68</v>
      </c>
      <c r="H2147" s="6">
        <v>39.07</v>
      </c>
      <c r="I2147" s="9">
        <v>2.4669741E7</v>
      </c>
      <c r="J2147" s="6">
        <v>9.59324296E8</v>
      </c>
    </row>
    <row r="2148">
      <c r="A2148" s="15" t="s">
        <v>10</v>
      </c>
      <c r="B2148" s="5">
        <v>44755.0</v>
      </c>
      <c r="C2148" s="6">
        <v>38.78</v>
      </c>
      <c r="D2148" s="11">
        <v>-0.09</v>
      </c>
      <c r="E2148" s="12">
        <v>-0.0023</v>
      </c>
      <c r="F2148" s="6">
        <v>38.3</v>
      </c>
      <c r="G2148" s="6">
        <v>38.3</v>
      </c>
      <c r="H2148" s="6">
        <v>38.99</v>
      </c>
      <c r="I2148" s="9">
        <v>3.9415686E7</v>
      </c>
      <c r="J2148" s="6">
        <v>1.526992351E9</v>
      </c>
    </row>
    <row r="2149">
      <c r="A2149" s="15" t="s">
        <v>10</v>
      </c>
      <c r="B2149" s="5">
        <v>44756.0</v>
      </c>
      <c r="C2149" s="6">
        <v>38.43</v>
      </c>
      <c r="D2149" s="11">
        <v>-0.35</v>
      </c>
      <c r="E2149" s="12">
        <v>-0.009</v>
      </c>
      <c r="F2149" s="6">
        <v>38.37</v>
      </c>
      <c r="G2149" s="6">
        <v>38.05</v>
      </c>
      <c r="H2149" s="6">
        <v>38.5</v>
      </c>
      <c r="I2149" s="9">
        <v>4.3245365E7</v>
      </c>
      <c r="J2149" s="6">
        <v>1.656769623E9</v>
      </c>
    </row>
    <row r="2150">
      <c r="A2150" s="15" t="s">
        <v>10</v>
      </c>
      <c r="B2150" s="5">
        <v>44757.0</v>
      </c>
      <c r="C2150" s="6">
        <v>38.63</v>
      </c>
      <c r="D2150" s="13">
        <f>+0.2</f>
        <v>0.2</v>
      </c>
      <c r="E2150" s="14">
        <f>+0.52%</f>
        <v>0.0052</v>
      </c>
      <c r="F2150" s="6">
        <v>38.45</v>
      </c>
      <c r="G2150" s="6">
        <v>38.12</v>
      </c>
      <c r="H2150" s="6">
        <v>38.67</v>
      </c>
      <c r="I2150" s="9">
        <v>4.4468404E7</v>
      </c>
      <c r="J2150" s="6">
        <v>1.71377293E9</v>
      </c>
    </row>
    <row r="2151">
      <c r="A2151" s="15" t="s">
        <v>10</v>
      </c>
      <c r="B2151" s="5">
        <v>44760.0</v>
      </c>
      <c r="C2151" s="6">
        <v>38.9</v>
      </c>
      <c r="D2151" s="13">
        <f>+0.27</f>
        <v>0.27</v>
      </c>
      <c r="E2151" s="14">
        <f>+0.7%</f>
        <v>0.007</v>
      </c>
      <c r="F2151" s="6">
        <v>39.24</v>
      </c>
      <c r="G2151" s="6">
        <v>38.84</v>
      </c>
      <c r="H2151" s="6">
        <v>39.44</v>
      </c>
      <c r="I2151" s="9">
        <v>3.8982916E7</v>
      </c>
      <c r="J2151" s="6">
        <v>1.526663441E9</v>
      </c>
    </row>
    <row r="2152">
      <c r="A2152" s="15" t="s">
        <v>10</v>
      </c>
      <c r="B2152" s="5">
        <v>44761.0</v>
      </c>
      <c r="C2152" s="6">
        <v>39.54</v>
      </c>
      <c r="D2152" s="13">
        <f>+0.64</f>
        <v>0.64</v>
      </c>
      <c r="E2152" s="14">
        <f>+1.65%</f>
        <v>0.0165</v>
      </c>
      <c r="F2152" s="6">
        <v>39.35</v>
      </c>
      <c r="G2152" s="6">
        <v>39.27</v>
      </c>
      <c r="H2152" s="6">
        <v>39.58</v>
      </c>
      <c r="I2152" s="9">
        <v>3.3006249E7</v>
      </c>
      <c r="J2152" s="6">
        <v>1.302528049E9</v>
      </c>
    </row>
    <row r="2153">
      <c r="A2153" s="15" t="s">
        <v>10</v>
      </c>
      <c r="B2153" s="5">
        <v>44762.0</v>
      </c>
      <c r="C2153" s="6">
        <v>39.37</v>
      </c>
      <c r="D2153" s="11">
        <v>-0.17</v>
      </c>
      <c r="E2153" s="12">
        <v>-0.0043</v>
      </c>
      <c r="F2153" s="6">
        <v>39.39</v>
      </c>
      <c r="G2153" s="6">
        <v>39.19</v>
      </c>
      <c r="H2153" s="6">
        <v>39.5</v>
      </c>
      <c r="I2153" s="9">
        <v>3.8969941E7</v>
      </c>
      <c r="J2153" s="6">
        <v>1.534552682E9</v>
      </c>
    </row>
    <row r="2154">
      <c r="A2154" s="15" t="s">
        <v>10</v>
      </c>
      <c r="B2154" s="5">
        <v>44763.0</v>
      </c>
      <c r="C2154" s="6">
        <v>39.82</v>
      </c>
      <c r="D2154" s="13">
        <f>+0.45</f>
        <v>0.45</v>
      </c>
      <c r="E2154" s="14">
        <f>+1.14%</f>
        <v>0.0114</v>
      </c>
      <c r="F2154" s="6">
        <v>39.5</v>
      </c>
      <c r="G2154" s="6">
        <v>39.43</v>
      </c>
      <c r="H2154" s="6">
        <v>39.84</v>
      </c>
      <c r="I2154" s="9">
        <v>3.6814897E7</v>
      </c>
      <c r="J2154" s="6">
        <v>1.459496847E9</v>
      </c>
    </row>
    <row r="2155">
      <c r="A2155" s="15" t="s">
        <v>10</v>
      </c>
      <c r="B2155" s="5">
        <v>44764.0</v>
      </c>
      <c r="C2155" s="6">
        <v>39.42</v>
      </c>
      <c r="D2155" s="11">
        <v>-0.4</v>
      </c>
      <c r="E2155" s="12">
        <v>-0.01</v>
      </c>
      <c r="F2155" s="6">
        <v>39.73</v>
      </c>
      <c r="G2155" s="6">
        <v>39.24</v>
      </c>
      <c r="H2155" s="6">
        <v>39.81</v>
      </c>
      <c r="I2155" s="9">
        <v>2.5611771E7</v>
      </c>
      <c r="J2155" s="6">
        <v>1.011866707E9</v>
      </c>
    </row>
    <row r="2156">
      <c r="A2156" s="15" t="s">
        <v>10</v>
      </c>
      <c r="B2156" s="5">
        <v>44767.0</v>
      </c>
      <c r="C2156" s="6">
        <v>39.56</v>
      </c>
      <c r="D2156" s="13">
        <f>+0.14</f>
        <v>0.14</v>
      </c>
      <c r="E2156" s="14">
        <f>+0.36%</f>
        <v>0.0036</v>
      </c>
      <c r="F2156" s="6">
        <v>39.49</v>
      </c>
      <c r="G2156" s="6">
        <v>39.39</v>
      </c>
      <c r="H2156" s="6">
        <v>39.6</v>
      </c>
      <c r="I2156" s="9">
        <v>2.1653232E7</v>
      </c>
      <c r="J2156" s="6">
        <v>8.55545567E8</v>
      </c>
    </row>
    <row r="2157">
      <c r="A2157" s="15" t="s">
        <v>10</v>
      </c>
      <c r="B2157" s="5">
        <v>44768.0</v>
      </c>
      <c r="C2157" s="6">
        <v>39.25</v>
      </c>
      <c r="D2157" s="11">
        <v>-0.31</v>
      </c>
      <c r="E2157" s="12">
        <v>-0.0078</v>
      </c>
      <c r="F2157" s="6">
        <v>39.57</v>
      </c>
      <c r="G2157" s="6">
        <v>39.18</v>
      </c>
      <c r="H2157" s="6">
        <v>39.67</v>
      </c>
      <c r="I2157" s="9">
        <v>2.2891384E7</v>
      </c>
      <c r="J2157" s="6">
        <v>9.01287191E8</v>
      </c>
    </row>
    <row r="2158">
      <c r="A2158" s="15" t="s">
        <v>10</v>
      </c>
      <c r="B2158" s="5">
        <v>44769.0</v>
      </c>
      <c r="C2158" s="6">
        <v>39.98</v>
      </c>
      <c r="D2158" s="13">
        <f>+0.73</f>
        <v>0.73</v>
      </c>
      <c r="E2158" s="14">
        <f>+1.86%</f>
        <v>0.0186</v>
      </c>
      <c r="F2158" s="6">
        <v>39.57</v>
      </c>
      <c r="G2158" s="6">
        <v>39.41</v>
      </c>
      <c r="H2158" s="6">
        <v>40.08</v>
      </c>
      <c r="I2158" s="9">
        <v>3.7678899E7</v>
      </c>
      <c r="J2158" s="6">
        <v>1.498220001E9</v>
      </c>
    </row>
    <row r="2159">
      <c r="A2159" s="15" t="s">
        <v>10</v>
      </c>
      <c r="B2159" s="5">
        <v>44770.0</v>
      </c>
      <c r="C2159" s="6">
        <v>40.15</v>
      </c>
      <c r="D2159" s="13">
        <f>+0.17</f>
        <v>0.17</v>
      </c>
      <c r="E2159" s="14">
        <f>+0.43%</f>
        <v>0.0043</v>
      </c>
      <c r="F2159" s="6">
        <v>40.04</v>
      </c>
      <c r="G2159" s="6">
        <v>39.59</v>
      </c>
      <c r="H2159" s="6">
        <v>40.21</v>
      </c>
      <c r="I2159" s="9">
        <v>3.7796675E7</v>
      </c>
      <c r="J2159" s="6">
        <v>1.510622562E9</v>
      </c>
    </row>
    <row r="2160">
      <c r="A2160" s="15" t="s">
        <v>10</v>
      </c>
      <c r="B2160" s="5">
        <v>44771.0</v>
      </c>
      <c r="C2160" s="6">
        <v>39.96</v>
      </c>
      <c r="D2160" s="11">
        <v>-0.19</v>
      </c>
      <c r="E2160" s="12">
        <v>-0.0047</v>
      </c>
      <c r="F2160" s="6">
        <v>39.63</v>
      </c>
      <c r="G2160" s="6">
        <v>39.45</v>
      </c>
      <c r="H2160" s="6">
        <v>39.99</v>
      </c>
      <c r="I2160" s="9">
        <v>5.4050655E7</v>
      </c>
      <c r="J2160" s="6">
        <v>2.148491352E9</v>
      </c>
    </row>
    <row r="2161">
      <c r="A2161" s="15" t="s">
        <v>10</v>
      </c>
      <c r="B2161" s="5">
        <v>44774.0</v>
      </c>
      <c r="C2161" s="6">
        <v>39.62</v>
      </c>
      <c r="D2161" s="11">
        <v>-0.34</v>
      </c>
      <c r="E2161" s="12">
        <v>-0.0085</v>
      </c>
      <c r="F2161" s="6">
        <v>39.55</v>
      </c>
      <c r="G2161" s="6">
        <v>39.31</v>
      </c>
      <c r="H2161" s="6">
        <v>39.91</v>
      </c>
      <c r="I2161" s="9">
        <v>3.4807952E7</v>
      </c>
      <c r="J2161" s="6">
        <v>1.379495258E9</v>
      </c>
    </row>
    <row r="2162">
      <c r="A2162" s="15" t="s">
        <v>10</v>
      </c>
      <c r="B2162" s="5">
        <v>44775.0</v>
      </c>
      <c r="C2162" s="6">
        <v>39.43</v>
      </c>
      <c r="D2162" s="11">
        <v>-0.19</v>
      </c>
      <c r="E2162" s="12">
        <v>-0.0048</v>
      </c>
      <c r="F2162" s="6">
        <v>39.27</v>
      </c>
      <c r="G2162" s="6">
        <v>39.18</v>
      </c>
      <c r="H2162" s="6">
        <v>39.85</v>
      </c>
      <c r="I2162" s="9">
        <v>4.1014352E7</v>
      </c>
      <c r="J2162" s="6">
        <v>1.619615444E9</v>
      </c>
    </row>
    <row r="2163">
      <c r="A2163" s="15" t="s">
        <v>10</v>
      </c>
      <c r="B2163" s="5">
        <v>44776.0</v>
      </c>
      <c r="C2163" s="6">
        <v>39.74</v>
      </c>
      <c r="D2163" s="13">
        <f>+0.31</f>
        <v>0.31</v>
      </c>
      <c r="E2163" s="14">
        <f>+0.79%</f>
        <v>0.0079</v>
      </c>
      <c r="F2163" s="6">
        <v>39.49</v>
      </c>
      <c r="G2163" s="6">
        <v>39.33</v>
      </c>
      <c r="H2163" s="6">
        <v>39.82</v>
      </c>
      <c r="I2163" s="9">
        <v>3.4939542E7</v>
      </c>
      <c r="J2163" s="6">
        <v>1.384218966E9</v>
      </c>
    </row>
    <row r="2164">
      <c r="A2164" s="15" t="s">
        <v>10</v>
      </c>
      <c r="B2164" s="5">
        <v>44777.0</v>
      </c>
      <c r="C2164" s="6">
        <v>40.02</v>
      </c>
      <c r="D2164" s="13">
        <f>+0.28</f>
        <v>0.28</v>
      </c>
      <c r="E2164" s="14">
        <f>+0.7%</f>
        <v>0.007</v>
      </c>
      <c r="F2164" s="6">
        <v>40.0</v>
      </c>
      <c r="G2164" s="6">
        <v>39.86</v>
      </c>
      <c r="H2164" s="6">
        <v>40.14</v>
      </c>
      <c r="I2164" s="9">
        <v>3.1865156E7</v>
      </c>
      <c r="J2164" s="6">
        <v>1.275628376E9</v>
      </c>
    </row>
    <row r="2165">
      <c r="A2165" s="15" t="s">
        <v>10</v>
      </c>
      <c r="B2165" s="5">
        <v>44778.0</v>
      </c>
      <c r="C2165" s="6">
        <v>40.06</v>
      </c>
      <c r="D2165" s="13">
        <f>+0.04</f>
        <v>0.04</v>
      </c>
      <c r="E2165" s="14">
        <f>+0.1%</f>
        <v>0.001</v>
      </c>
      <c r="F2165" s="6">
        <v>39.77</v>
      </c>
      <c r="G2165" s="6">
        <v>39.74</v>
      </c>
      <c r="H2165" s="6">
        <v>40.12</v>
      </c>
      <c r="I2165" s="9">
        <v>2.8488535E7</v>
      </c>
      <c r="J2165" s="6">
        <v>1.138698229E9</v>
      </c>
    </row>
    <row r="2166">
      <c r="A2166" s="15" t="s">
        <v>10</v>
      </c>
      <c r="B2166" s="5">
        <v>44781.0</v>
      </c>
      <c r="C2166" s="6">
        <v>40.11</v>
      </c>
      <c r="D2166" s="13">
        <f>+0.05</f>
        <v>0.05</v>
      </c>
      <c r="E2166" s="14">
        <f>+0.12%</f>
        <v>0.0012</v>
      </c>
      <c r="F2166" s="6">
        <v>40.13</v>
      </c>
      <c r="G2166" s="6">
        <v>40.02</v>
      </c>
      <c r="H2166" s="6">
        <v>40.35</v>
      </c>
      <c r="I2166" s="9">
        <v>3.9088068E7</v>
      </c>
      <c r="J2166" s="6">
        <v>1.569327951E9</v>
      </c>
    </row>
    <row r="2167">
      <c r="A2167" s="15" t="s">
        <v>10</v>
      </c>
      <c r="B2167" s="5">
        <v>44782.0</v>
      </c>
      <c r="C2167" s="6">
        <v>39.96</v>
      </c>
      <c r="D2167" s="11">
        <v>-0.15</v>
      </c>
      <c r="E2167" s="12">
        <v>-0.0037</v>
      </c>
      <c r="F2167" s="6">
        <v>40.15</v>
      </c>
      <c r="G2167" s="6">
        <v>39.88</v>
      </c>
      <c r="H2167" s="6">
        <v>40.21</v>
      </c>
      <c r="I2167" s="9">
        <v>2.282856E7</v>
      </c>
      <c r="J2167" s="6">
        <v>9.13118674E8</v>
      </c>
    </row>
    <row r="2168">
      <c r="A2168" s="15" t="s">
        <v>10</v>
      </c>
      <c r="B2168" s="5">
        <v>44783.0</v>
      </c>
      <c r="C2168" s="6">
        <v>40.46</v>
      </c>
      <c r="D2168" s="13">
        <f>+0.5</f>
        <v>0.5</v>
      </c>
      <c r="E2168" s="14">
        <f>+1.25%</f>
        <v>0.0125</v>
      </c>
      <c r="F2168" s="6">
        <v>40.23</v>
      </c>
      <c r="G2168" s="6">
        <v>40.08</v>
      </c>
      <c r="H2168" s="6">
        <v>40.5</v>
      </c>
      <c r="I2168" s="9">
        <v>2.702818E7</v>
      </c>
      <c r="J2168" s="6">
        <v>1.09136502E9</v>
      </c>
    </row>
    <row r="2169">
      <c r="A2169" s="15" t="s">
        <v>10</v>
      </c>
      <c r="B2169" s="5">
        <v>44784.0</v>
      </c>
      <c r="C2169" s="6">
        <v>40.62</v>
      </c>
      <c r="D2169" s="13">
        <f>+0.16</f>
        <v>0.16</v>
      </c>
      <c r="E2169" s="14">
        <f>+0.4%</f>
        <v>0.004</v>
      </c>
      <c r="F2169" s="6">
        <v>40.79</v>
      </c>
      <c r="G2169" s="6">
        <v>40.54</v>
      </c>
      <c r="H2169" s="6">
        <v>41.2</v>
      </c>
      <c r="I2169" s="9">
        <v>3.9235317E7</v>
      </c>
      <c r="J2169" s="6">
        <v>1.602977607E9</v>
      </c>
    </row>
    <row r="2170">
      <c r="A2170" s="15" t="s">
        <v>10</v>
      </c>
      <c r="B2170" s="5">
        <v>44785.0</v>
      </c>
      <c r="C2170" s="6">
        <v>41.05</v>
      </c>
      <c r="D2170" s="13">
        <f>+0.43</f>
        <v>0.43</v>
      </c>
      <c r="E2170" s="14">
        <f>+1.06%</f>
        <v>0.0106</v>
      </c>
      <c r="F2170" s="6">
        <v>40.62</v>
      </c>
      <c r="G2170" s="6">
        <v>40.61</v>
      </c>
      <c r="H2170" s="6">
        <v>41.07</v>
      </c>
      <c r="I2170" s="9">
        <v>2.4877884E7</v>
      </c>
      <c r="J2170" s="6">
        <v>1.016589325E9</v>
      </c>
    </row>
    <row r="2171">
      <c r="A2171" s="15" t="s">
        <v>10</v>
      </c>
      <c r="B2171" s="5">
        <v>44788.0</v>
      </c>
      <c r="C2171" s="6">
        <v>40.86</v>
      </c>
      <c r="D2171" s="11">
        <v>-0.19</v>
      </c>
      <c r="E2171" s="12">
        <v>-0.0046</v>
      </c>
      <c r="F2171" s="6">
        <v>40.69</v>
      </c>
      <c r="G2171" s="6">
        <v>40.66</v>
      </c>
      <c r="H2171" s="6">
        <v>40.94</v>
      </c>
      <c r="I2171" s="9">
        <v>2.9734516E7</v>
      </c>
      <c r="J2171" s="6">
        <v>1.213607118E9</v>
      </c>
    </row>
    <row r="2172">
      <c r="A2172" s="15" t="s">
        <v>10</v>
      </c>
      <c r="B2172" s="5">
        <v>44789.0</v>
      </c>
      <c r="C2172" s="6">
        <v>40.85</v>
      </c>
      <c r="D2172" s="11">
        <v>-0.01</v>
      </c>
      <c r="E2172" s="12">
        <v>-2.0E-4</v>
      </c>
      <c r="F2172" s="6">
        <v>40.76</v>
      </c>
      <c r="G2172" s="6">
        <v>40.72</v>
      </c>
      <c r="H2172" s="6">
        <v>40.96</v>
      </c>
      <c r="I2172" s="9">
        <v>2.0906967E7</v>
      </c>
      <c r="J2172" s="6">
        <v>8.53651039E8</v>
      </c>
    </row>
    <row r="2173">
      <c r="A2173" s="15" t="s">
        <v>10</v>
      </c>
      <c r="B2173" s="5">
        <v>44790.0</v>
      </c>
      <c r="C2173" s="6">
        <v>40.68</v>
      </c>
      <c r="D2173" s="11">
        <v>-0.17</v>
      </c>
      <c r="E2173" s="12">
        <v>-0.0042</v>
      </c>
      <c r="F2173" s="6">
        <v>40.65</v>
      </c>
      <c r="G2173" s="6">
        <v>40.56</v>
      </c>
      <c r="H2173" s="6">
        <v>40.88</v>
      </c>
      <c r="I2173" s="9">
        <v>3.4206675E7</v>
      </c>
      <c r="J2173" s="6">
        <v>1.391704944E9</v>
      </c>
    </row>
    <row r="2174">
      <c r="A2174" s="15" t="s">
        <v>10</v>
      </c>
      <c r="B2174" s="5">
        <v>44791.0</v>
      </c>
      <c r="C2174" s="6">
        <v>40.45</v>
      </c>
      <c r="D2174" s="11">
        <v>-0.23</v>
      </c>
      <c r="E2174" s="12">
        <v>-0.0057</v>
      </c>
      <c r="F2174" s="6">
        <v>40.53</v>
      </c>
      <c r="G2174" s="6">
        <v>40.26</v>
      </c>
      <c r="H2174" s="6">
        <v>40.56</v>
      </c>
      <c r="I2174" s="9">
        <v>3.0612065E7</v>
      </c>
      <c r="J2174" s="6">
        <v>1.236693794E9</v>
      </c>
    </row>
    <row r="2175">
      <c r="A2175" s="15" t="s">
        <v>10</v>
      </c>
      <c r="B2175" s="5">
        <v>44792.0</v>
      </c>
      <c r="C2175" s="6">
        <v>39.9</v>
      </c>
      <c r="D2175" s="11">
        <v>-0.55</v>
      </c>
      <c r="E2175" s="12">
        <v>-0.0136</v>
      </c>
      <c r="F2175" s="6">
        <v>40.08</v>
      </c>
      <c r="G2175" s="6">
        <v>39.78</v>
      </c>
      <c r="H2175" s="6">
        <v>40.12</v>
      </c>
      <c r="I2175" s="9">
        <v>3.6042864E7</v>
      </c>
      <c r="J2175" s="6">
        <v>1.437542172E9</v>
      </c>
    </row>
    <row r="2176">
      <c r="A2176" s="15" t="s">
        <v>10</v>
      </c>
      <c r="B2176" s="5">
        <v>44795.0</v>
      </c>
      <c r="C2176" s="6">
        <v>39.55</v>
      </c>
      <c r="D2176" s="11">
        <v>-0.35</v>
      </c>
      <c r="E2176" s="12">
        <v>-0.0088</v>
      </c>
      <c r="F2176" s="6">
        <v>39.58</v>
      </c>
      <c r="G2176" s="6">
        <v>39.51</v>
      </c>
      <c r="H2176" s="6">
        <v>39.7</v>
      </c>
      <c r="I2176" s="9">
        <v>2.6934138E7</v>
      </c>
      <c r="J2176" s="6">
        <v>1.065967962E9</v>
      </c>
    </row>
    <row r="2177">
      <c r="A2177" s="15" t="s">
        <v>10</v>
      </c>
      <c r="B2177" s="5">
        <v>44796.0</v>
      </c>
      <c r="C2177" s="6">
        <v>39.76</v>
      </c>
      <c r="D2177" s="13">
        <f>+0.21</f>
        <v>0.21</v>
      </c>
      <c r="E2177" s="14">
        <f>+0.53%</f>
        <v>0.0053</v>
      </c>
      <c r="F2177" s="6">
        <v>39.59</v>
      </c>
      <c r="G2177" s="6">
        <v>39.51</v>
      </c>
      <c r="H2177" s="6">
        <v>39.92</v>
      </c>
      <c r="I2177" s="9">
        <v>3.3028158E7</v>
      </c>
      <c r="J2177" s="6">
        <v>1.312476652E9</v>
      </c>
    </row>
    <row r="2178">
      <c r="A2178" s="15" t="s">
        <v>10</v>
      </c>
      <c r="B2178" s="5">
        <v>44797.0</v>
      </c>
      <c r="C2178" s="6">
        <v>39.75</v>
      </c>
      <c r="D2178" s="11">
        <v>-0.01</v>
      </c>
      <c r="E2178" s="12">
        <v>-3.0E-4</v>
      </c>
      <c r="F2178" s="6">
        <v>39.44</v>
      </c>
      <c r="G2178" s="6">
        <v>39.41</v>
      </c>
      <c r="H2178" s="6">
        <v>39.99</v>
      </c>
      <c r="I2178" s="9">
        <v>2.3561593E7</v>
      </c>
      <c r="J2178" s="6">
        <v>9.3728892E8</v>
      </c>
    </row>
    <row r="2179">
      <c r="A2179" s="15" t="s">
        <v>10</v>
      </c>
      <c r="B2179" s="5">
        <v>44798.0</v>
      </c>
      <c r="C2179" s="6">
        <v>40.61</v>
      </c>
      <c r="D2179" s="13">
        <f>+0.86</f>
        <v>0.86</v>
      </c>
      <c r="E2179" s="14">
        <f>+2.16%</f>
        <v>0.0216</v>
      </c>
      <c r="F2179" s="6">
        <v>40.18</v>
      </c>
      <c r="G2179" s="6">
        <v>40.1</v>
      </c>
      <c r="H2179" s="6">
        <v>40.62</v>
      </c>
      <c r="I2179" s="9">
        <v>4.4653066E7</v>
      </c>
      <c r="J2179" s="6">
        <v>1.807296721E9</v>
      </c>
    </row>
    <row r="2180">
      <c r="A2180" s="15" t="s">
        <v>10</v>
      </c>
      <c r="B2180" s="5">
        <v>44799.0</v>
      </c>
      <c r="C2180" s="6">
        <v>40.01</v>
      </c>
      <c r="D2180" s="11">
        <v>-0.6</v>
      </c>
      <c r="E2180" s="12">
        <v>-0.0148</v>
      </c>
      <c r="F2180" s="6">
        <v>40.92</v>
      </c>
      <c r="G2180" s="6">
        <v>39.97</v>
      </c>
      <c r="H2180" s="6">
        <v>40.96</v>
      </c>
      <c r="I2180" s="9">
        <v>4.1080902E7</v>
      </c>
      <c r="J2180" s="6">
        <v>1.658182731E9</v>
      </c>
    </row>
    <row r="2181">
      <c r="A2181" s="15" t="s">
        <v>10</v>
      </c>
      <c r="B2181" s="5">
        <v>44802.0</v>
      </c>
      <c r="C2181" s="6">
        <v>39.76</v>
      </c>
      <c r="D2181" s="11">
        <v>-0.25</v>
      </c>
      <c r="E2181" s="12">
        <v>-0.0062</v>
      </c>
      <c r="F2181" s="6">
        <v>39.83</v>
      </c>
      <c r="G2181" s="6">
        <v>39.75</v>
      </c>
      <c r="H2181" s="6">
        <v>40.07</v>
      </c>
      <c r="I2181" s="9">
        <v>2.2689805E7</v>
      </c>
      <c r="J2181" s="6">
        <v>9.04698191E8</v>
      </c>
    </row>
    <row r="2182">
      <c r="A2182" s="15" t="s">
        <v>10</v>
      </c>
      <c r="B2182" s="5">
        <v>44803.0</v>
      </c>
      <c r="C2182" s="6">
        <v>39.29</v>
      </c>
      <c r="D2182" s="11">
        <v>-0.47</v>
      </c>
      <c r="E2182" s="12">
        <v>-0.0118</v>
      </c>
      <c r="F2182" s="6">
        <v>39.89</v>
      </c>
      <c r="G2182" s="6">
        <v>39.14</v>
      </c>
      <c r="H2182" s="6">
        <v>39.9</v>
      </c>
      <c r="I2182" s="9">
        <v>3.4508591E7</v>
      </c>
      <c r="J2182" s="6">
        <v>1.359317387E9</v>
      </c>
    </row>
    <row r="2183">
      <c r="A2183" s="15" t="s">
        <v>10</v>
      </c>
      <c r="B2183" s="5">
        <v>44804.0</v>
      </c>
      <c r="C2183" s="6">
        <v>39.43</v>
      </c>
      <c r="D2183" s="13">
        <f>+0.14</f>
        <v>0.14</v>
      </c>
      <c r="E2183" s="14">
        <f>+0.36%</f>
        <v>0.0036</v>
      </c>
      <c r="F2183" s="6">
        <v>39.67</v>
      </c>
      <c r="G2183" s="6">
        <v>39.4</v>
      </c>
      <c r="H2183" s="6">
        <v>39.84</v>
      </c>
      <c r="I2183" s="9">
        <v>3.7142243E7</v>
      </c>
      <c r="J2183" s="6">
        <v>1.469329439E9</v>
      </c>
    </row>
    <row r="2184">
      <c r="A2184" s="15" t="s">
        <v>10</v>
      </c>
      <c r="B2184" s="5">
        <v>44805.0</v>
      </c>
      <c r="C2184" s="6">
        <v>39.12</v>
      </c>
      <c r="D2184" s="11">
        <v>-0.31</v>
      </c>
      <c r="E2184" s="12">
        <v>-0.0079</v>
      </c>
      <c r="F2184" s="6">
        <v>39.05</v>
      </c>
      <c r="G2184" s="6">
        <v>38.72</v>
      </c>
      <c r="H2184" s="6">
        <v>39.13</v>
      </c>
      <c r="I2184" s="9">
        <v>3.835338E7</v>
      </c>
      <c r="J2184" s="6">
        <v>1.493608922E9</v>
      </c>
    </row>
    <row r="2185">
      <c r="A2185" s="15" t="s">
        <v>10</v>
      </c>
      <c r="B2185" s="5">
        <v>44806.0</v>
      </c>
      <c r="C2185" s="6">
        <v>38.76</v>
      </c>
      <c r="D2185" s="11">
        <v>-0.36</v>
      </c>
      <c r="E2185" s="12">
        <v>-0.0092</v>
      </c>
      <c r="F2185" s="6">
        <v>39.05</v>
      </c>
      <c r="G2185" s="6">
        <v>38.67</v>
      </c>
      <c r="H2185" s="6">
        <v>39.22</v>
      </c>
      <c r="I2185" s="9">
        <v>3.5916945E7</v>
      </c>
      <c r="J2185" s="6">
        <v>1.397747949E9</v>
      </c>
    </row>
    <row r="2186">
      <c r="A2186" s="15" t="s">
        <v>10</v>
      </c>
      <c r="B2186" s="5">
        <v>44810.0</v>
      </c>
      <c r="C2186" s="6">
        <v>38.3</v>
      </c>
      <c r="D2186" s="11">
        <v>-0.46</v>
      </c>
      <c r="E2186" s="12">
        <v>-0.0119</v>
      </c>
      <c r="F2186" s="6">
        <v>38.62</v>
      </c>
      <c r="G2186" s="6">
        <v>38.27</v>
      </c>
      <c r="H2186" s="6">
        <v>38.68</v>
      </c>
      <c r="I2186" s="9">
        <v>5.0091481E7</v>
      </c>
      <c r="J2186" s="6">
        <v>1.9216699E9</v>
      </c>
    </row>
    <row r="2187">
      <c r="A2187" s="15" t="s">
        <v>10</v>
      </c>
      <c r="B2187" s="5">
        <v>44811.0</v>
      </c>
      <c r="C2187" s="6">
        <v>38.64</v>
      </c>
      <c r="D2187" s="13">
        <f>+0.34</f>
        <v>0.34</v>
      </c>
      <c r="E2187" s="14">
        <f>+0.89%</f>
        <v>0.0089</v>
      </c>
      <c r="F2187" s="6">
        <v>38.12</v>
      </c>
      <c r="G2187" s="6">
        <v>38.08</v>
      </c>
      <c r="H2187" s="6">
        <v>38.65</v>
      </c>
      <c r="I2187" s="9">
        <v>3.9074741E7</v>
      </c>
      <c r="J2187" s="6">
        <v>1.5012309E9</v>
      </c>
    </row>
    <row r="2188">
      <c r="A2188" s="15" t="s">
        <v>10</v>
      </c>
      <c r="B2188" s="5">
        <v>44812.0</v>
      </c>
      <c r="C2188" s="6">
        <v>38.43</v>
      </c>
      <c r="D2188" s="11">
        <v>-0.21</v>
      </c>
      <c r="E2188" s="12">
        <v>-0.0054</v>
      </c>
      <c r="F2188" s="6">
        <v>38.24</v>
      </c>
      <c r="G2188" s="6">
        <v>38.12</v>
      </c>
      <c r="H2188" s="6">
        <v>38.47</v>
      </c>
      <c r="I2188" s="9">
        <v>5.5415062E7</v>
      </c>
      <c r="J2188" s="6">
        <v>2.125474554E9</v>
      </c>
    </row>
    <row r="2189">
      <c r="A2189" s="15" t="s">
        <v>10</v>
      </c>
      <c r="B2189" s="5">
        <v>44813.0</v>
      </c>
      <c r="C2189" s="6">
        <v>39.0</v>
      </c>
      <c r="D2189" s="13">
        <f>+0.57</f>
        <v>0.57</v>
      </c>
      <c r="E2189" s="14">
        <f>+1.48%</f>
        <v>0.0148</v>
      </c>
      <c r="F2189" s="6">
        <v>38.78</v>
      </c>
      <c r="G2189" s="6">
        <v>38.77</v>
      </c>
      <c r="H2189" s="6">
        <v>39.09</v>
      </c>
      <c r="I2189" s="9">
        <v>2.6119615E7</v>
      </c>
      <c r="J2189" s="6">
        <v>1.018240861E9</v>
      </c>
    </row>
    <row r="2190">
      <c r="A2190" s="15" t="s">
        <v>10</v>
      </c>
      <c r="B2190" s="5">
        <v>44816.0</v>
      </c>
      <c r="C2190" s="6">
        <v>39.58</v>
      </c>
      <c r="D2190" s="13">
        <f>+0.58</f>
        <v>0.58</v>
      </c>
      <c r="E2190" s="14">
        <f>+1.49%</f>
        <v>0.0149</v>
      </c>
      <c r="F2190" s="6">
        <v>39.37</v>
      </c>
      <c r="G2190" s="6">
        <v>39.27</v>
      </c>
      <c r="H2190" s="6">
        <v>39.64</v>
      </c>
      <c r="I2190" s="9">
        <v>4.1791003E7</v>
      </c>
      <c r="J2190" s="6">
        <v>1.652416975E9</v>
      </c>
    </row>
    <row r="2191">
      <c r="A2191" s="15" t="s">
        <v>10</v>
      </c>
      <c r="B2191" s="5">
        <v>44817.0</v>
      </c>
      <c r="C2191" s="6">
        <v>38.36</v>
      </c>
      <c r="D2191" s="11">
        <v>-1.22</v>
      </c>
      <c r="E2191" s="12">
        <v>-0.0308</v>
      </c>
      <c r="F2191" s="6">
        <v>38.81</v>
      </c>
      <c r="G2191" s="6">
        <v>38.29</v>
      </c>
      <c r="H2191" s="6">
        <v>38.97</v>
      </c>
      <c r="I2191" s="9">
        <v>4.4191487E7</v>
      </c>
      <c r="J2191" s="6">
        <v>1.707019268E9</v>
      </c>
    </row>
    <row r="2192">
      <c r="A2192" s="15" t="s">
        <v>10</v>
      </c>
      <c r="B2192" s="5">
        <v>44818.0</v>
      </c>
      <c r="C2192" s="6">
        <v>38.55</v>
      </c>
      <c r="D2192" s="13">
        <f>+0.19</f>
        <v>0.19</v>
      </c>
      <c r="E2192" s="14">
        <f>+0.5%</f>
        <v>0.005</v>
      </c>
      <c r="F2192" s="6">
        <v>38.6</v>
      </c>
      <c r="G2192" s="6">
        <v>38.39</v>
      </c>
      <c r="H2192" s="6">
        <v>38.67</v>
      </c>
      <c r="I2192" s="9">
        <v>3.7146249E7</v>
      </c>
      <c r="J2192" s="6">
        <v>1.431907113E9</v>
      </c>
    </row>
    <row r="2193">
      <c r="A2193" s="15" t="s">
        <v>10</v>
      </c>
      <c r="B2193" s="5">
        <v>44819.0</v>
      </c>
      <c r="C2193" s="6">
        <v>38.14</v>
      </c>
      <c r="D2193" s="11">
        <v>-0.41</v>
      </c>
      <c r="E2193" s="12">
        <v>-0.0106</v>
      </c>
      <c r="F2193" s="6">
        <v>38.27</v>
      </c>
      <c r="G2193" s="6">
        <v>38.07</v>
      </c>
      <c r="H2193" s="6">
        <v>38.52</v>
      </c>
      <c r="I2193" s="9">
        <v>4.7618877E7</v>
      </c>
      <c r="J2193" s="6">
        <v>1.82166242E9</v>
      </c>
    </row>
    <row r="2194">
      <c r="A2194" s="15" t="s">
        <v>10</v>
      </c>
      <c r="B2194" s="5">
        <v>44820.0</v>
      </c>
      <c r="C2194" s="6">
        <v>37.79</v>
      </c>
      <c r="D2194" s="11">
        <v>-0.35</v>
      </c>
      <c r="E2194" s="12">
        <v>-0.0092</v>
      </c>
      <c r="F2194" s="6">
        <v>37.78</v>
      </c>
      <c r="G2194" s="6">
        <v>37.61</v>
      </c>
      <c r="H2194" s="6">
        <v>37.91</v>
      </c>
      <c r="I2194" s="9">
        <v>6.7124965E7</v>
      </c>
      <c r="J2194" s="6">
        <v>2.53492243E9</v>
      </c>
    </row>
    <row r="2195">
      <c r="A2195" s="15" t="s">
        <v>10</v>
      </c>
      <c r="B2195" s="5">
        <v>44823.0</v>
      </c>
      <c r="C2195" s="6">
        <v>37.91</v>
      </c>
      <c r="D2195" s="13">
        <f>+0.12</f>
        <v>0.12</v>
      </c>
      <c r="E2195" s="14">
        <f>+0.32%</f>
        <v>0.0032</v>
      </c>
      <c r="F2195" s="6">
        <v>37.48</v>
      </c>
      <c r="G2195" s="6">
        <v>37.46</v>
      </c>
      <c r="H2195" s="6">
        <v>37.94</v>
      </c>
      <c r="I2195" s="9">
        <v>3.3531661E7</v>
      </c>
      <c r="J2195" s="6">
        <v>1.265840046E9</v>
      </c>
    </row>
    <row r="2196">
      <c r="A2196" s="15" t="s">
        <v>10</v>
      </c>
      <c r="B2196" s="5">
        <v>44824.0</v>
      </c>
      <c r="C2196" s="6">
        <v>37.7</v>
      </c>
      <c r="D2196" s="11">
        <v>-0.21</v>
      </c>
      <c r="E2196" s="12">
        <v>-0.0055</v>
      </c>
      <c r="F2196" s="6">
        <v>37.73</v>
      </c>
      <c r="G2196" s="6">
        <v>37.56</v>
      </c>
      <c r="H2196" s="6">
        <v>37.87</v>
      </c>
      <c r="I2196" s="9">
        <v>3.6967528E7</v>
      </c>
      <c r="J2196" s="6">
        <v>1.394996384E9</v>
      </c>
    </row>
    <row r="2197">
      <c r="A2197" s="15" t="s">
        <v>10</v>
      </c>
      <c r="B2197" s="5">
        <v>44825.0</v>
      </c>
      <c r="C2197" s="6">
        <v>37.07</v>
      </c>
      <c r="D2197" s="11">
        <v>-0.63</v>
      </c>
      <c r="E2197" s="12">
        <v>-0.0167</v>
      </c>
      <c r="F2197" s="6">
        <v>37.48</v>
      </c>
      <c r="G2197" s="6">
        <v>37.02</v>
      </c>
      <c r="H2197" s="6">
        <v>37.72</v>
      </c>
      <c r="I2197" s="9">
        <v>6.2370483E7</v>
      </c>
      <c r="J2197" s="6">
        <v>2.327588121E9</v>
      </c>
    </row>
    <row r="2198">
      <c r="A2198" s="15" t="s">
        <v>10</v>
      </c>
      <c r="B2198" s="5">
        <v>44826.0</v>
      </c>
      <c r="C2198" s="6">
        <v>36.89</v>
      </c>
      <c r="D2198" s="11">
        <v>-0.18</v>
      </c>
      <c r="E2198" s="12">
        <v>-0.0049</v>
      </c>
      <c r="F2198" s="6">
        <v>37.05</v>
      </c>
      <c r="G2198" s="6">
        <v>36.81</v>
      </c>
      <c r="H2198" s="6">
        <v>37.15</v>
      </c>
      <c r="I2198" s="9">
        <v>4.1989221E7</v>
      </c>
      <c r="J2198" s="6">
        <v>1.550588938E9</v>
      </c>
    </row>
    <row r="2199">
      <c r="A2199" s="15" t="s">
        <v>10</v>
      </c>
      <c r="B2199" s="5">
        <v>44827.0</v>
      </c>
      <c r="C2199" s="6">
        <v>35.98</v>
      </c>
      <c r="D2199" s="11">
        <v>-0.91</v>
      </c>
      <c r="E2199" s="12">
        <v>-0.0247</v>
      </c>
      <c r="F2199" s="6">
        <v>36.21</v>
      </c>
      <c r="G2199" s="6">
        <v>35.8</v>
      </c>
      <c r="H2199" s="6">
        <v>36.26</v>
      </c>
      <c r="I2199" s="9">
        <v>4.9807147E7</v>
      </c>
      <c r="J2199" s="6">
        <v>1.792209884E9</v>
      </c>
    </row>
    <row r="2200">
      <c r="A2200" s="15" t="s">
        <v>10</v>
      </c>
      <c r="B2200" s="5">
        <v>44830.0</v>
      </c>
      <c r="C2200" s="6">
        <v>35.54</v>
      </c>
      <c r="D2200" s="11">
        <v>-0.44</v>
      </c>
      <c r="E2200" s="12">
        <v>-0.0122</v>
      </c>
      <c r="F2200" s="6">
        <v>35.76</v>
      </c>
      <c r="G2200" s="6">
        <v>35.47</v>
      </c>
      <c r="H2200" s="6">
        <v>35.96</v>
      </c>
      <c r="I2200" s="9">
        <v>5.301192E7</v>
      </c>
      <c r="J2200" s="6">
        <v>1.89051563E9</v>
      </c>
    </row>
    <row r="2201">
      <c r="A2201" s="15" t="s">
        <v>10</v>
      </c>
      <c r="B2201" s="5">
        <v>44831.0</v>
      </c>
      <c r="C2201" s="6">
        <v>35.5</v>
      </c>
      <c r="D2201" s="11">
        <v>-0.04</v>
      </c>
      <c r="E2201" s="12">
        <v>-0.0011</v>
      </c>
      <c r="F2201" s="6">
        <v>35.78</v>
      </c>
      <c r="G2201" s="6">
        <v>35.34</v>
      </c>
      <c r="H2201" s="6">
        <v>36.03</v>
      </c>
      <c r="I2201" s="9">
        <v>4.7114146E7</v>
      </c>
      <c r="J2201" s="6">
        <v>1.679785289E9</v>
      </c>
    </row>
    <row r="2202">
      <c r="A2202" s="15" t="s">
        <v>10</v>
      </c>
      <c r="B2202" s="5">
        <v>44832.0</v>
      </c>
      <c r="C2202" s="6">
        <v>35.81</v>
      </c>
      <c r="D2202" s="13">
        <f>+0.31</f>
        <v>0.31</v>
      </c>
      <c r="E2202" s="14">
        <f>+0.87%</f>
        <v>0.0087</v>
      </c>
      <c r="F2202" s="6">
        <v>35.27</v>
      </c>
      <c r="G2202" s="6">
        <v>35.19</v>
      </c>
      <c r="H2202" s="6">
        <v>35.9</v>
      </c>
      <c r="I2202" s="9">
        <v>4.9946846E7</v>
      </c>
      <c r="J2202" s="6">
        <v>1.780670182E9</v>
      </c>
    </row>
    <row r="2203">
      <c r="A2203" s="15" t="s">
        <v>10</v>
      </c>
      <c r="B2203" s="5">
        <v>44833.0</v>
      </c>
      <c r="C2203" s="6">
        <v>35.01</v>
      </c>
      <c r="D2203" s="11">
        <v>-0.8</v>
      </c>
      <c r="E2203" s="12">
        <v>-0.0223</v>
      </c>
      <c r="F2203" s="6">
        <v>35.18</v>
      </c>
      <c r="G2203" s="6">
        <v>34.72</v>
      </c>
      <c r="H2203" s="6">
        <v>35.2</v>
      </c>
      <c r="I2203" s="9">
        <v>4.3114064E7</v>
      </c>
      <c r="J2203" s="6">
        <v>1.507649112E9</v>
      </c>
    </row>
    <row r="2204">
      <c r="A2204" s="15" t="s">
        <v>10</v>
      </c>
      <c r="B2204" s="5">
        <v>44834.0</v>
      </c>
      <c r="C2204" s="6">
        <v>34.88</v>
      </c>
      <c r="D2204" s="11">
        <v>-0.13</v>
      </c>
      <c r="E2204" s="12">
        <v>-0.0037</v>
      </c>
      <c r="F2204" s="6">
        <v>34.92</v>
      </c>
      <c r="G2204" s="6">
        <v>34.85</v>
      </c>
      <c r="H2204" s="6">
        <v>35.25</v>
      </c>
      <c r="I2204" s="9">
        <v>5.008235E7</v>
      </c>
      <c r="J2204" s="6">
        <v>1.754725386E9</v>
      </c>
    </row>
    <row r="2205">
      <c r="A2205" s="15" t="s">
        <v>10</v>
      </c>
      <c r="B2205" s="5">
        <v>44837.0</v>
      </c>
      <c r="C2205" s="6">
        <v>35.45</v>
      </c>
      <c r="D2205" s="13">
        <f>+0.57</f>
        <v>0.57</v>
      </c>
      <c r="E2205" s="14">
        <f>+1.63%</f>
        <v>0.0163</v>
      </c>
      <c r="F2205" s="6">
        <v>35.12</v>
      </c>
      <c r="G2205" s="6">
        <v>34.96</v>
      </c>
      <c r="H2205" s="6">
        <v>35.54</v>
      </c>
      <c r="I2205" s="9">
        <v>4.1489691E7</v>
      </c>
      <c r="J2205" s="6">
        <v>1.468298326E9</v>
      </c>
    </row>
    <row r="2206">
      <c r="A2206" s="15" t="s">
        <v>10</v>
      </c>
      <c r="B2206" s="5">
        <v>44838.0</v>
      </c>
      <c r="C2206" s="6">
        <v>36.61</v>
      </c>
      <c r="D2206" s="13">
        <f>+1.16</f>
        <v>1.16</v>
      </c>
      <c r="E2206" s="14">
        <f>+3.27%</f>
        <v>0.0327</v>
      </c>
      <c r="F2206" s="6">
        <v>36.2</v>
      </c>
      <c r="G2206" s="6">
        <v>36.18</v>
      </c>
      <c r="H2206" s="6">
        <v>36.72</v>
      </c>
      <c r="I2206" s="9">
        <v>5.1598591E7</v>
      </c>
      <c r="J2206" s="6">
        <v>1.885046581E9</v>
      </c>
    </row>
    <row r="2207">
      <c r="A2207" s="15" t="s">
        <v>10</v>
      </c>
      <c r="B2207" s="5">
        <v>44839.0</v>
      </c>
      <c r="C2207" s="6">
        <v>36.63</v>
      </c>
      <c r="D2207" s="13">
        <f>+0.02</f>
        <v>0.02</v>
      </c>
      <c r="E2207" s="14">
        <f>+0.05%</f>
        <v>0.0005</v>
      </c>
      <c r="F2207" s="6">
        <v>36.51</v>
      </c>
      <c r="G2207" s="6">
        <v>36.25</v>
      </c>
      <c r="H2207" s="6">
        <v>36.76</v>
      </c>
      <c r="I2207" s="9">
        <v>3.0037225E7</v>
      </c>
      <c r="J2207" s="6">
        <v>1.096876851E9</v>
      </c>
    </row>
    <row r="2208">
      <c r="A2208" s="15" t="s">
        <v>10</v>
      </c>
      <c r="B2208" s="5">
        <v>44840.0</v>
      </c>
      <c r="C2208" s="6">
        <v>36.41</v>
      </c>
      <c r="D2208" s="11">
        <v>-0.22</v>
      </c>
      <c r="E2208" s="12">
        <v>-0.006</v>
      </c>
      <c r="F2208" s="6">
        <v>36.51</v>
      </c>
      <c r="G2208" s="6">
        <v>36.38</v>
      </c>
      <c r="H2208" s="6">
        <v>36.72</v>
      </c>
      <c r="I2208" s="9">
        <v>2.9747195E7</v>
      </c>
      <c r="J2208" s="6">
        <v>1.085157201E9</v>
      </c>
    </row>
    <row r="2209">
      <c r="A2209" s="15" t="s">
        <v>10</v>
      </c>
      <c r="B2209" s="5">
        <v>44841.0</v>
      </c>
      <c r="C2209" s="6">
        <v>35.65</v>
      </c>
      <c r="D2209" s="11">
        <v>-0.76</v>
      </c>
      <c r="E2209" s="12">
        <v>-0.0209</v>
      </c>
      <c r="F2209" s="6">
        <v>36.07</v>
      </c>
      <c r="G2209" s="6">
        <v>35.59</v>
      </c>
      <c r="H2209" s="6">
        <v>36.13</v>
      </c>
      <c r="I2209" s="9">
        <v>3.5957596E7</v>
      </c>
      <c r="J2209" s="6">
        <v>1.286008263E9</v>
      </c>
    </row>
    <row r="2210">
      <c r="A2210" s="15" t="s">
        <v>10</v>
      </c>
      <c r="B2210" s="5">
        <v>44844.0</v>
      </c>
      <c r="C2210" s="6">
        <v>35.15</v>
      </c>
      <c r="D2210" s="11">
        <v>-0.5</v>
      </c>
      <c r="E2210" s="12">
        <v>-0.014</v>
      </c>
      <c r="F2210" s="6">
        <v>35.42</v>
      </c>
      <c r="G2210" s="6">
        <v>35.02</v>
      </c>
      <c r="H2210" s="6">
        <v>35.44</v>
      </c>
      <c r="I2210" s="9">
        <v>3.1109865E7</v>
      </c>
      <c r="J2210" s="6">
        <v>1.095113544E9</v>
      </c>
    </row>
    <row r="2211">
      <c r="A2211" s="15" t="s">
        <v>10</v>
      </c>
      <c r="B2211" s="5">
        <v>44845.0</v>
      </c>
      <c r="C2211" s="6">
        <v>34.59</v>
      </c>
      <c r="D2211" s="11">
        <v>-0.56</v>
      </c>
      <c r="E2211" s="12">
        <v>-0.0159</v>
      </c>
      <c r="F2211" s="6">
        <v>34.76</v>
      </c>
      <c r="G2211" s="6">
        <v>34.48</v>
      </c>
      <c r="H2211" s="6">
        <v>35.01</v>
      </c>
      <c r="I2211" s="9">
        <v>4.6679013E7</v>
      </c>
      <c r="J2211" s="6">
        <v>1.621369778E9</v>
      </c>
    </row>
    <row r="2212">
      <c r="A2212" s="15" t="s">
        <v>10</v>
      </c>
      <c r="B2212" s="5">
        <v>44846.0</v>
      </c>
      <c r="C2212" s="6">
        <v>34.63</v>
      </c>
      <c r="D2212" s="13">
        <f>+0.04</f>
        <v>0.04</v>
      </c>
      <c r="E2212" s="14">
        <f>+0.12%</f>
        <v>0.0012</v>
      </c>
      <c r="F2212" s="6">
        <v>34.62</v>
      </c>
      <c r="G2212" s="6">
        <v>34.51</v>
      </c>
      <c r="H2212" s="6">
        <v>34.81</v>
      </c>
      <c r="I2212" s="9">
        <v>4.2471896E7</v>
      </c>
      <c r="J2212" s="6">
        <v>1.471625616E9</v>
      </c>
    </row>
    <row r="2213">
      <c r="A2213" s="15" t="s">
        <v>10</v>
      </c>
      <c r="B2213" s="5">
        <v>44847.0</v>
      </c>
      <c r="C2213" s="6">
        <v>34.73</v>
      </c>
      <c r="D2213" s="13">
        <f>+0.1</f>
        <v>0.1</v>
      </c>
      <c r="E2213" s="14">
        <f>+0.29%</f>
        <v>0.0029</v>
      </c>
      <c r="F2213" s="6">
        <v>33.75</v>
      </c>
      <c r="G2213" s="6">
        <v>33.67</v>
      </c>
      <c r="H2213" s="6">
        <v>34.93</v>
      </c>
      <c r="I2213" s="9">
        <v>5.1431223E7</v>
      </c>
      <c r="J2213" s="6">
        <v>1.774059957E9</v>
      </c>
    </row>
    <row r="2214">
      <c r="A2214" s="15" t="s">
        <v>10</v>
      </c>
      <c r="B2214" s="5">
        <v>44848.0</v>
      </c>
      <c r="C2214" s="6">
        <v>34.21</v>
      </c>
      <c r="D2214" s="11">
        <v>-0.52</v>
      </c>
      <c r="E2214" s="12">
        <v>-0.015</v>
      </c>
      <c r="F2214" s="6">
        <v>34.95</v>
      </c>
      <c r="G2214" s="6">
        <v>34.18</v>
      </c>
      <c r="H2214" s="6">
        <v>34.96</v>
      </c>
      <c r="I2214" s="9">
        <v>3.3384589E7</v>
      </c>
      <c r="J2214" s="6">
        <v>1.150395858E9</v>
      </c>
    </row>
    <row r="2215">
      <c r="A2215" s="15" t="s">
        <v>10</v>
      </c>
      <c r="B2215" s="5">
        <v>44851.0</v>
      </c>
      <c r="C2215" s="6">
        <v>35.15</v>
      </c>
      <c r="D2215" s="13">
        <f>+0.94</f>
        <v>0.94</v>
      </c>
      <c r="E2215" s="14">
        <f>+2.75%</f>
        <v>0.0275</v>
      </c>
      <c r="F2215" s="6">
        <v>34.91</v>
      </c>
      <c r="G2215" s="6">
        <v>34.91</v>
      </c>
      <c r="H2215" s="6">
        <v>35.27</v>
      </c>
      <c r="I2215" s="9">
        <v>5.112206E7</v>
      </c>
      <c r="J2215" s="6">
        <v>1.796645499E9</v>
      </c>
    </row>
    <row r="2216">
      <c r="A2216" s="15" t="s">
        <v>10</v>
      </c>
      <c r="B2216" s="5">
        <v>44852.0</v>
      </c>
      <c r="C2216" s="6">
        <v>35.16</v>
      </c>
      <c r="D2216" s="13">
        <f>+0.01</f>
        <v>0.01</v>
      </c>
      <c r="E2216" s="14">
        <f>+0.03%</f>
        <v>0.0003</v>
      </c>
      <c r="F2216" s="6">
        <v>35.49</v>
      </c>
      <c r="G2216" s="6">
        <v>34.9</v>
      </c>
      <c r="H2216" s="6">
        <v>35.57</v>
      </c>
      <c r="I2216" s="9">
        <v>3.3911113E7</v>
      </c>
      <c r="J2216" s="6">
        <v>1.192701972E9</v>
      </c>
    </row>
    <row r="2217">
      <c r="A2217" s="15" t="s">
        <v>10</v>
      </c>
      <c r="B2217" s="5">
        <v>44853.0</v>
      </c>
      <c r="C2217" s="6">
        <v>34.52</v>
      </c>
      <c r="D2217" s="11">
        <v>-0.64</v>
      </c>
      <c r="E2217" s="12">
        <v>-0.0182</v>
      </c>
      <c r="F2217" s="6">
        <v>34.61</v>
      </c>
      <c r="G2217" s="6">
        <v>34.39</v>
      </c>
      <c r="H2217" s="6">
        <v>34.81</v>
      </c>
      <c r="I2217" s="9">
        <v>3.1393747E7</v>
      </c>
      <c r="J2217" s="6">
        <v>1.084059314E9</v>
      </c>
    </row>
    <row r="2218">
      <c r="A2218" s="15" t="s">
        <v>10</v>
      </c>
      <c r="B2218" s="5">
        <v>44854.0</v>
      </c>
      <c r="C2218" s="6">
        <v>34.74</v>
      </c>
      <c r="D2218" s="13">
        <f>+0.22</f>
        <v>0.22</v>
      </c>
      <c r="E2218" s="14">
        <f>+0.64%</f>
        <v>0.0064</v>
      </c>
      <c r="F2218" s="6">
        <v>34.77</v>
      </c>
      <c r="G2218" s="6">
        <v>34.7</v>
      </c>
      <c r="H2218" s="6">
        <v>35.29</v>
      </c>
      <c r="I2218" s="9">
        <v>4.4239968E7</v>
      </c>
      <c r="J2218" s="6">
        <v>1.544861416E9</v>
      </c>
    </row>
    <row r="2219">
      <c r="A2219" s="15" t="s">
        <v>10</v>
      </c>
      <c r="B2219" s="5">
        <v>44855.0</v>
      </c>
      <c r="C2219" s="6">
        <v>35.27</v>
      </c>
      <c r="D2219" s="13">
        <f>+0.53</f>
        <v>0.53</v>
      </c>
      <c r="E2219" s="14">
        <f>+1.53%</f>
        <v>0.0153</v>
      </c>
      <c r="F2219" s="6">
        <v>34.66</v>
      </c>
      <c r="G2219" s="6">
        <v>34.53</v>
      </c>
      <c r="H2219" s="6">
        <v>35.31</v>
      </c>
      <c r="I2219" s="9">
        <v>4.387954E7</v>
      </c>
      <c r="J2219" s="6">
        <v>1.537606413E9</v>
      </c>
    </row>
    <row r="2220">
      <c r="A2220" s="15" t="s">
        <v>10</v>
      </c>
      <c r="B2220" s="5">
        <v>44858.0</v>
      </c>
      <c r="C2220" s="6">
        <v>33.93</v>
      </c>
      <c r="D2220" s="11">
        <v>-1.34</v>
      </c>
      <c r="E2220" s="12">
        <v>-0.038</v>
      </c>
      <c r="F2220" s="6">
        <v>33.97</v>
      </c>
      <c r="G2220" s="6">
        <v>33.49</v>
      </c>
      <c r="H2220" s="6">
        <v>34.01</v>
      </c>
      <c r="I2220" s="9">
        <v>5.5046002E7</v>
      </c>
      <c r="J2220" s="6">
        <v>1.862680161E9</v>
      </c>
    </row>
    <row r="2221">
      <c r="A2221" s="15" t="s">
        <v>10</v>
      </c>
      <c r="B2221" s="5">
        <v>44859.0</v>
      </c>
      <c r="C2221" s="6">
        <v>34.21</v>
      </c>
      <c r="D2221" s="13">
        <f>+0.28</f>
        <v>0.28</v>
      </c>
      <c r="E2221" s="14">
        <f>+0.83%</f>
        <v>0.0083</v>
      </c>
      <c r="F2221" s="6">
        <v>33.98</v>
      </c>
      <c r="G2221" s="6">
        <v>33.95</v>
      </c>
      <c r="H2221" s="6">
        <v>34.28</v>
      </c>
      <c r="I2221" s="9">
        <v>3.1871488E7</v>
      </c>
      <c r="J2221" s="6">
        <v>1.088734634E9</v>
      </c>
    </row>
    <row r="2222">
      <c r="A2222" s="15" t="s">
        <v>10</v>
      </c>
      <c r="B2222" s="5">
        <v>44860.0</v>
      </c>
      <c r="C2222" s="6">
        <v>34.77</v>
      </c>
      <c r="D2222" s="13">
        <f>+0.56</f>
        <v>0.56</v>
      </c>
      <c r="E2222" s="14">
        <f>+1.64%</f>
        <v>0.0164</v>
      </c>
      <c r="F2222" s="6">
        <v>34.31</v>
      </c>
      <c r="G2222" s="6">
        <v>34.31</v>
      </c>
      <c r="H2222" s="6">
        <v>35.08</v>
      </c>
      <c r="I2222" s="9">
        <v>3.7978149E7</v>
      </c>
      <c r="J2222" s="6">
        <v>1.320318394E9</v>
      </c>
    </row>
    <row r="2223">
      <c r="A2223" s="15" t="s">
        <v>10</v>
      </c>
      <c r="B2223" s="5">
        <v>44861.0</v>
      </c>
      <c r="C2223" s="6">
        <v>34.5</v>
      </c>
      <c r="D2223" s="11">
        <v>-0.27</v>
      </c>
      <c r="E2223" s="12">
        <v>-0.0078</v>
      </c>
      <c r="F2223" s="6">
        <v>34.53</v>
      </c>
      <c r="G2223" s="6">
        <v>34.46</v>
      </c>
      <c r="H2223" s="6">
        <v>34.86</v>
      </c>
      <c r="I2223" s="9">
        <v>3.4227602E7</v>
      </c>
      <c r="J2223" s="6">
        <v>1.185229218E9</v>
      </c>
    </row>
    <row r="2224">
      <c r="A2224" s="15" t="s">
        <v>10</v>
      </c>
      <c r="B2224" s="5">
        <v>44862.0</v>
      </c>
      <c r="C2224" s="6">
        <v>34.29</v>
      </c>
      <c r="D2224" s="11">
        <v>-0.21</v>
      </c>
      <c r="E2224" s="12">
        <v>-0.0061</v>
      </c>
      <c r="F2224" s="6">
        <v>34.03</v>
      </c>
      <c r="G2224" s="6">
        <v>33.95</v>
      </c>
      <c r="H2224" s="6">
        <v>34.33</v>
      </c>
      <c r="I2224" s="9">
        <v>4.6296731E7</v>
      </c>
      <c r="J2224" s="6">
        <v>1.582656806E9</v>
      </c>
    </row>
    <row r="2225">
      <c r="A2225" s="15" t="s">
        <v>10</v>
      </c>
      <c r="B2225" s="5">
        <v>44865.0</v>
      </c>
      <c r="C2225" s="6">
        <v>34.19</v>
      </c>
      <c r="D2225" s="11">
        <v>-0.1</v>
      </c>
      <c r="E2225" s="12">
        <v>-0.0029</v>
      </c>
      <c r="F2225" s="6">
        <v>33.92</v>
      </c>
      <c r="G2225" s="6">
        <v>33.92</v>
      </c>
      <c r="H2225" s="6">
        <v>34.27</v>
      </c>
      <c r="I2225" s="9">
        <v>4.4107389E7</v>
      </c>
      <c r="J2225" s="6">
        <v>1.507055938E9</v>
      </c>
    </row>
    <row r="2226">
      <c r="A2226" s="15" t="s">
        <v>10</v>
      </c>
      <c r="B2226" s="5">
        <v>44866.0</v>
      </c>
      <c r="C2226" s="6">
        <v>34.82</v>
      </c>
      <c r="D2226" s="13">
        <f>+0.63</f>
        <v>0.63</v>
      </c>
      <c r="E2226" s="14">
        <f>+1.84%</f>
        <v>0.0184</v>
      </c>
      <c r="F2226" s="6">
        <v>35.1</v>
      </c>
      <c r="G2226" s="6">
        <v>34.7</v>
      </c>
      <c r="H2226" s="6">
        <v>35.15</v>
      </c>
      <c r="I2226" s="9">
        <v>5.0932843E7</v>
      </c>
      <c r="J2226" s="6">
        <v>1.777014845E9</v>
      </c>
    </row>
    <row r="2227">
      <c r="A2227" s="15" t="s">
        <v>10</v>
      </c>
      <c r="B2227" s="5">
        <v>44867.0</v>
      </c>
      <c r="C2227" s="6">
        <v>34.53</v>
      </c>
      <c r="D2227" s="11">
        <v>-0.29</v>
      </c>
      <c r="E2227" s="12">
        <v>-0.0083</v>
      </c>
      <c r="F2227" s="6">
        <v>34.9</v>
      </c>
      <c r="G2227" s="6">
        <v>34.5</v>
      </c>
      <c r="H2227" s="6">
        <v>35.32</v>
      </c>
      <c r="I2227" s="9">
        <v>4.7646752E7</v>
      </c>
      <c r="J2227" s="6">
        <v>1.661456009E9</v>
      </c>
    </row>
    <row r="2228">
      <c r="A2228" s="15" t="s">
        <v>10</v>
      </c>
      <c r="B2228" s="5">
        <v>44868.0</v>
      </c>
      <c r="C2228" s="6">
        <v>34.73</v>
      </c>
      <c r="D2228" s="13">
        <f>+0.2</f>
        <v>0.2</v>
      </c>
      <c r="E2228" s="14">
        <f>+0.58%</f>
        <v>0.0058</v>
      </c>
      <c r="F2228" s="6">
        <v>34.3</v>
      </c>
      <c r="G2228" s="6">
        <v>34.28</v>
      </c>
      <c r="H2228" s="6">
        <v>34.84</v>
      </c>
      <c r="I2228" s="9">
        <v>3.8319265E7</v>
      </c>
      <c r="J2228" s="6">
        <v>1.328625591E9</v>
      </c>
    </row>
    <row r="2229">
      <c r="A2229" s="15" t="s">
        <v>10</v>
      </c>
      <c r="B2229" s="5">
        <v>44869.0</v>
      </c>
      <c r="C2229" s="6">
        <v>36.2</v>
      </c>
      <c r="D2229" s="13">
        <f>+1.47</f>
        <v>1.47</v>
      </c>
      <c r="E2229" s="14">
        <f>+4.23%</f>
        <v>0.0423</v>
      </c>
      <c r="F2229" s="6">
        <v>36.03</v>
      </c>
      <c r="G2229" s="6">
        <v>35.67</v>
      </c>
      <c r="H2229" s="6">
        <v>36.2</v>
      </c>
      <c r="I2229" s="9">
        <v>7.0533628E7</v>
      </c>
      <c r="J2229" s="6">
        <v>2.540115284E9</v>
      </c>
    </row>
    <row r="2230">
      <c r="A2230" s="15" t="s">
        <v>10</v>
      </c>
      <c r="B2230" s="5">
        <v>44872.0</v>
      </c>
      <c r="C2230" s="6">
        <v>36.22</v>
      </c>
      <c r="D2230" s="13">
        <f>+0.02</f>
        <v>0.02</v>
      </c>
      <c r="E2230" s="14">
        <f>+0.06%</f>
        <v>0.0006</v>
      </c>
      <c r="F2230" s="6">
        <v>36.43</v>
      </c>
      <c r="G2230" s="6">
        <v>36.09</v>
      </c>
      <c r="H2230" s="6">
        <v>36.51</v>
      </c>
      <c r="I2230" s="9">
        <v>3.8404823E7</v>
      </c>
      <c r="J2230" s="6">
        <v>1.391784118E9</v>
      </c>
    </row>
    <row r="2231">
      <c r="A2231" s="15" t="s">
        <v>10</v>
      </c>
      <c r="B2231" s="5">
        <v>44873.0</v>
      </c>
      <c r="C2231" s="6">
        <v>36.48</v>
      </c>
      <c r="D2231" s="13">
        <f>+0.26</f>
        <v>0.26</v>
      </c>
      <c r="E2231" s="14">
        <f>+0.72%</f>
        <v>0.0072</v>
      </c>
      <c r="F2231" s="6">
        <v>36.29</v>
      </c>
      <c r="G2231" s="6">
        <v>36.16</v>
      </c>
      <c r="H2231" s="6">
        <v>36.67</v>
      </c>
      <c r="I2231" s="9">
        <v>3.6282359E7</v>
      </c>
      <c r="J2231" s="6">
        <v>1.323013575E9</v>
      </c>
    </row>
    <row r="2232">
      <c r="A2232" s="15" t="s">
        <v>10</v>
      </c>
      <c r="B2232" s="5">
        <v>44874.0</v>
      </c>
      <c r="C2232" s="6">
        <v>35.85</v>
      </c>
      <c r="D2232" s="11">
        <v>-0.63</v>
      </c>
      <c r="E2232" s="12">
        <v>-0.0173</v>
      </c>
      <c r="F2232" s="6">
        <v>36.21</v>
      </c>
      <c r="G2232" s="6">
        <v>35.8</v>
      </c>
      <c r="H2232" s="6">
        <v>36.38</v>
      </c>
      <c r="I2232" s="9">
        <v>3.4148663E7</v>
      </c>
      <c r="J2232" s="6">
        <v>1.231022277E9</v>
      </c>
    </row>
    <row r="2233">
      <c r="A2233" s="15" t="s">
        <v>10</v>
      </c>
      <c r="B2233" s="5">
        <v>44875.0</v>
      </c>
      <c r="C2233" s="6">
        <v>37.15</v>
      </c>
      <c r="D2233" s="13">
        <f>+1.3</f>
        <v>1.3</v>
      </c>
      <c r="E2233" s="14">
        <f>+3.63%</f>
        <v>0.0363</v>
      </c>
      <c r="F2233" s="6">
        <v>36.82</v>
      </c>
      <c r="G2233" s="6">
        <v>36.67</v>
      </c>
      <c r="H2233" s="6">
        <v>37.18</v>
      </c>
      <c r="I2233" s="9">
        <v>5.3986881E7</v>
      </c>
      <c r="J2233" s="6">
        <v>1.996808567E9</v>
      </c>
    </row>
    <row r="2234">
      <c r="A2234" s="15" t="s">
        <v>10</v>
      </c>
      <c r="B2234" s="5">
        <v>44876.0</v>
      </c>
      <c r="C2234" s="6">
        <v>38.16</v>
      </c>
      <c r="D2234" s="13">
        <f>+1.01</f>
        <v>1.01</v>
      </c>
      <c r="E2234" s="14">
        <f>+2.72%</f>
        <v>0.0272</v>
      </c>
      <c r="F2234" s="6">
        <v>37.87</v>
      </c>
      <c r="G2234" s="6">
        <v>37.78</v>
      </c>
      <c r="H2234" s="6">
        <v>38.21</v>
      </c>
      <c r="I2234" s="9">
        <v>5.2270396E7</v>
      </c>
      <c r="J2234" s="6">
        <v>1.988638779E9</v>
      </c>
    </row>
    <row r="2235">
      <c r="A2235" s="15" t="s">
        <v>10</v>
      </c>
      <c r="B2235" s="5">
        <v>44879.0</v>
      </c>
      <c r="C2235" s="6">
        <v>37.93</v>
      </c>
      <c r="D2235" s="11">
        <v>-0.23</v>
      </c>
      <c r="E2235" s="12">
        <v>-0.006</v>
      </c>
      <c r="F2235" s="6">
        <v>37.95</v>
      </c>
      <c r="G2235" s="6">
        <v>37.79</v>
      </c>
      <c r="H2235" s="6">
        <v>38.2</v>
      </c>
      <c r="I2235" s="9">
        <v>4.2158218E7</v>
      </c>
      <c r="J2235" s="6">
        <v>1.603694821E9</v>
      </c>
    </row>
    <row r="2236">
      <c r="A2236" s="15" t="s">
        <v>10</v>
      </c>
      <c r="B2236" s="5">
        <v>44880.0</v>
      </c>
      <c r="C2236" s="6">
        <v>38.8</v>
      </c>
      <c r="D2236" s="13">
        <f>+0.87</f>
        <v>0.87</v>
      </c>
      <c r="E2236" s="14">
        <f>+2.29%</f>
        <v>0.0229</v>
      </c>
      <c r="F2236" s="6">
        <v>39.12</v>
      </c>
      <c r="G2236" s="6">
        <v>38.54</v>
      </c>
      <c r="H2236" s="6">
        <v>39.16</v>
      </c>
      <c r="I2236" s="9">
        <v>7.7069271E7</v>
      </c>
      <c r="J2236" s="6">
        <v>2.997530999E9</v>
      </c>
    </row>
    <row r="2237">
      <c r="A2237" s="15" t="s">
        <v>10</v>
      </c>
      <c r="B2237" s="5">
        <v>44881.0</v>
      </c>
      <c r="C2237" s="6">
        <v>38.18</v>
      </c>
      <c r="D2237" s="11">
        <v>-0.62</v>
      </c>
      <c r="E2237" s="12">
        <v>-0.016</v>
      </c>
      <c r="F2237" s="6">
        <v>38.47</v>
      </c>
      <c r="G2237" s="6">
        <v>38.12</v>
      </c>
      <c r="H2237" s="6">
        <v>38.52</v>
      </c>
      <c r="I2237" s="9">
        <v>4.9376531E7</v>
      </c>
      <c r="J2237" s="6">
        <v>1.887494407E9</v>
      </c>
    </row>
    <row r="2238">
      <c r="A2238" s="15" t="s">
        <v>10</v>
      </c>
      <c r="B2238" s="5">
        <v>44882.0</v>
      </c>
      <c r="C2238" s="6">
        <v>38.25</v>
      </c>
      <c r="D2238" s="13">
        <f>+0.07</f>
        <v>0.07</v>
      </c>
      <c r="E2238" s="14">
        <f>+0.18%</f>
        <v>0.0018</v>
      </c>
      <c r="F2238" s="6">
        <v>37.49</v>
      </c>
      <c r="G2238" s="6">
        <v>37.48</v>
      </c>
      <c r="H2238" s="6">
        <v>38.3</v>
      </c>
      <c r="I2238" s="9">
        <v>5.6473763E7</v>
      </c>
      <c r="J2238" s="6">
        <v>2.149046322E9</v>
      </c>
    </row>
    <row r="2239">
      <c r="A2239" s="15" t="s">
        <v>10</v>
      </c>
      <c r="B2239" s="5">
        <v>44883.0</v>
      </c>
      <c r="C2239" s="6">
        <v>38.03</v>
      </c>
      <c r="D2239" s="11">
        <v>-0.22</v>
      </c>
      <c r="E2239" s="12">
        <v>-0.0058</v>
      </c>
      <c r="F2239" s="6">
        <v>38.14</v>
      </c>
      <c r="G2239" s="6">
        <v>37.85</v>
      </c>
      <c r="H2239" s="6">
        <v>38.15</v>
      </c>
      <c r="I2239" s="9">
        <v>4.5040239E7</v>
      </c>
      <c r="J2239" s="6">
        <v>1.711623638E9</v>
      </c>
    </row>
    <row r="2240">
      <c r="A2240" s="15" t="s">
        <v>10</v>
      </c>
      <c r="B2240" s="5">
        <v>44886.0</v>
      </c>
      <c r="C2240" s="6">
        <v>37.55</v>
      </c>
      <c r="D2240" s="11">
        <v>-0.48</v>
      </c>
      <c r="E2240" s="12">
        <v>-0.0126</v>
      </c>
      <c r="F2240" s="6">
        <v>37.54</v>
      </c>
      <c r="G2240" s="6">
        <v>37.35</v>
      </c>
      <c r="H2240" s="6">
        <v>37.63</v>
      </c>
      <c r="I2240" s="9">
        <v>2.9250898E7</v>
      </c>
      <c r="J2240" s="6">
        <v>1.096796201E9</v>
      </c>
    </row>
    <row r="2241">
      <c r="A2241" s="15" t="s">
        <v>10</v>
      </c>
      <c r="B2241" s="5">
        <v>44887.0</v>
      </c>
      <c r="C2241" s="6">
        <v>37.64</v>
      </c>
      <c r="D2241" s="13">
        <f>+0.09</f>
        <v>0.09</v>
      </c>
      <c r="E2241" s="14">
        <f>+0.24%</f>
        <v>0.0024</v>
      </c>
      <c r="F2241" s="6">
        <v>37.46</v>
      </c>
      <c r="G2241" s="6">
        <v>37.39</v>
      </c>
      <c r="H2241" s="6">
        <v>37.65</v>
      </c>
      <c r="I2241" s="9">
        <v>3.3677926E7</v>
      </c>
      <c r="J2241" s="6">
        <v>1.265145402E9</v>
      </c>
    </row>
    <row r="2242">
      <c r="A2242" s="15" t="s">
        <v>10</v>
      </c>
      <c r="B2242" s="5">
        <v>44888.0</v>
      </c>
      <c r="C2242" s="6">
        <v>37.95</v>
      </c>
      <c r="D2242" s="13">
        <f>+0.31</f>
        <v>0.31</v>
      </c>
      <c r="E2242" s="14">
        <f>+0.82%</f>
        <v>0.0082</v>
      </c>
      <c r="F2242" s="6">
        <v>37.69</v>
      </c>
      <c r="G2242" s="6">
        <v>37.68</v>
      </c>
      <c r="H2242" s="6">
        <v>37.98</v>
      </c>
      <c r="I2242" s="9">
        <v>4.3490574E7</v>
      </c>
      <c r="J2242" s="6">
        <v>1.6448831E9</v>
      </c>
    </row>
    <row r="2243">
      <c r="A2243" s="15" t="s">
        <v>10</v>
      </c>
      <c r="B2243" s="5">
        <v>44890.0</v>
      </c>
      <c r="C2243" s="6">
        <v>37.77</v>
      </c>
      <c r="D2243" s="11">
        <v>-0.18</v>
      </c>
      <c r="E2243" s="12">
        <v>-0.0047</v>
      </c>
      <c r="F2243" s="6">
        <v>37.84</v>
      </c>
      <c r="G2243" s="6">
        <v>37.74</v>
      </c>
      <c r="H2243" s="6">
        <v>37.88</v>
      </c>
      <c r="I2243" s="9">
        <v>1.9986866E7</v>
      </c>
      <c r="J2243" s="6">
        <v>7.55437577E8</v>
      </c>
    </row>
    <row r="2244">
      <c r="A2244" s="15" t="s">
        <v>10</v>
      </c>
      <c r="B2244" s="5">
        <v>44893.0</v>
      </c>
      <c r="C2244" s="6">
        <v>37.6</v>
      </c>
      <c r="D2244" s="11">
        <v>-0.17</v>
      </c>
      <c r="E2244" s="12">
        <v>-0.0045</v>
      </c>
      <c r="F2244" s="6">
        <v>37.59</v>
      </c>
      <c r="G2244" s="6">
        <v>37.59</v>
      </c>
      <c r="H2244" s="6">
        <v>38.0</v>
      </c>
      <c r="I2244" s="9">
        <v>4.5016029E7</v>
      </c>
      <c r="J2244" s="6">
        <v>1.699419792E9</v>
      </c>
    </row>
    <row r="2245">
      <c r="A2245" s="15" t="s">
        <v>10</v>
      </c>
      <c r="B2245" s="5">
        <v>44894.0</v>
      </c>
      <c r="C2245" s="6">
        <v>38.41</v>
      </c>
      <c r="D2245" s="13">
        <f>+0.81</f>
        <v>0.81</v>
      </c>
      <c r="E2245" s="14">
        <f>+2.15%</f>
        <v>0.0215</v>
      </c>
      <c r="F2245" s="6">
        <v>38.4</v>
      </c>
      <c r="G2245" s="6">
        <v>38.31</v>
      </c>
      <c r="H2245" s="6">
        <v>38.58</v>
      </c>
      <c r="I2245" s="9">
        <v>5.0909515E7</v>
      </c>
      <c r="J2245" s="6">
        <v>1.956213032E9</v>
      </c>
    </row>
    <row r="2246">
      <c r="A2246" s="15" t="s">
        <v>10</v>
      </c>
      <c r="B2246" s="5">
        <v>44895.0</v>
      </c>
      <c r="C2246" s="6">
        <v>39.52</v>
      </c>
      <c r="D2246" s="13">
        <f>+1.11</f>
        <v>1.11</v>
      </c>
      <c r="E2246" s="14">
        <f>+2.89%</f>
        <v>0.0289</v>
      </c>
      <c r="F2246" s="6">
        <v>39.24</v>
      </c>
      <c r="G2246" s="6">
        <v>38.98</v>
      </c>
      <c r="H2246" s="6">
        <v>39.68</v>
      </c>
      <c r="I2246" s="9">
        <v>1.03403394E8</v>
      </c>
      <c r="J2246" s="6">
        <v>4.071378052E9</v>
      </c>
    </row>
    <row r="2247">
      <c r="A2247" s="15" t="s">
        <v>10</v>
      </c>
      <c r="B2247" s="5">
        <v>44896.0</v>
      </c>
      <c r="C2247" s="6">
        <v>39.39</v>
      </c>
      <c r="D2247" s="11">
        <v>-0.13</v>
      </c>
      <c r="E2247" s="12">
        <v>-0.0033</v>
      </c>
      <c r="F2247" s="6">
        <v>39.63</v>
      </c>
      <c r="G2247" s="6">
        <v>39.25</v>
      </c>
      <c r="H2247" s="6">
        <v>39.71</v>
      </c>
      <c r="I2247" s="9">
        <v>5.0195887E7</v>
      </c>
      <c r="J2247" s="6">
        <v>1.979207466E9</v>
      </c>
    </row>
    <row r="2248">
      <c r="A2248" s="15" t="s">
        <v>10</v>
      </c>
      <c r="B2248" s="5">
        <v>44897.0</v>
      </c>
      <c r="C2248" s="6">
        <v>39.54</v>
      </c>
      <c r="D2248" s="13">
        <f>+0.15</f>
        <v>0.15</v>
      </c>
      <c r="E2248" s="14">
        <f>+0.38%</f>
        <v>0.0038</v>
      </c>
      <c r="F2248" s="6">
        <v>39.01</v>
      </c>
      <c r="G2248" s="6">
        <v>39.01</v>
      </c>
      <c r="H2248" s="6">
        <v>39.66</v>
      </c>
      <c r="I2248" s="9">
        <v>4.7593698E7</v>
      </c>
      <c r="J2248" s="6">
        <v>1.879430523E9</v>
      </c>
    </row>
    <row r="2249">
      <c r="A2249" s="15" t="s">
        <v>10</v>
      </c>
      <c r="B2249" s="5">
        <v>44900.0</v>
      </c>
      <c r="C2249" s="6">
        <v>39.09</v>
      </c>
      <c r="D2249" s="11">
        <v>-0.45</v>
      </c>
      <c r="E2249" s="12">
        <v>-0.0114</v>
      </c>
      <c r="F2249" s="6">
        <v>39.53</v>
      </c>
      <c r="G2249" s="6">
        <v>38.99</v>
      </c>
      <c r="H2249" s="6">
        <v>39.55</v>
      </c>
      <c r="I2249" s="9">
        <v>6.226882E7</v>
      </c>
      <c r="J2249" s="6">
        <v>2.441887989E9</v>
      </c>
    </row>
    <row r="2250">
      <c r="A2250" s="15" t="s">
        <v>10</v>
      </c>
      <c r="B2250" s="5">
        <v>44901.0</v>
      </c>
      <c r="C2250" s="6">
        <v>39.04</v>
      </c>
      <c r="D2250" s="11">
        <v>-0.05</v>
      </c>
      <c r="E2250" s="12">
        <v>-0.0013</v>
      </c>
      <c r="F2250" s="6">
        <v>39.24</v>
      </c>
      <c r="G2250" s="6">
        <v>38.94</v>
      </c>
      <c r="H2250" s="6">
        <v>39.29</v>
      </c>
      <c r="I2250" s="9">
        <v>3.1558232E7</v>
      </c>
      <c r="J2250" s="6">
        <v>1.233595644E9</v>
      </c>
    </row>
    <row r="2251">
      <c r="A2251" s="15" t="s">
        <v>10</v>
      </c>
      <c r="B2251" s="5">
        <v>44902.0</v>
      </c>
      <c r="C2251" s="6">
        <v>38.81</v>
      </c>
      <c r="D2251" s="11">
        <v>-0.23</v>
      </c>
      <c r="E2251" s="12">
        <v>-0.0059</v>
      </c>
      <c r="F2251" s="6">
        <v>38.75</v>
      </c>
      <c r="G2251" s="6">
        <v>38.68</v>
      </c>
      <c r="H2251" s="6">
        <v>38.96</v>
      </c>
      <c r="I2251" s="9">
        <v>4.6263421E7</v>
      </c>
      <c r="J2251" s="6">
        <v>1.796780568E9</v>
      </c>
    </row>
    <row r="2252">
      <c r="A2252" s="15" t="s">
        <v>10</v>
      </c>
      <c r="B2252" s="5">
        <v>44903.0</v>
      </c>
      <c r="C2252" s="6">
        <v>39.28</v>
      </c>
      <c r="D2252" s="13">
        <f>+0.47</f>
        <v>0.47</v>
      </c>
      <c r="E2252" s="14">
        <f>+1.21%</f>
        <v>0.0121</v>
      </c>
      <c r="F2252" s="6">
        <v>39.19</v>
      </c>
      <c r="G2252" s="6">
        <v>39.06</v>
      </c>
      <c r="H2252" s="6">
        <v>39.4</v>
      </c>
      <c r="I2252" s="9">
        <v>4.1138161E7</v>
      </c>
      <c r="J2252" s="6">
        <v>1.614949403E9</v>
      </c>
    </row>
    <row r="2253">
      <c r="A2253" s="15" t="s">
        <v>10</v>
      </c>
      <c r="B2253" s="5">
        <v>44904.0</v>
      </c>
      <c r="C2253" s="6">
        <v>39.02</v>
      </c>
      <c r="D2253" s="11">
        <v>-0.26</v>
      </c>
      <c r="E2253" s="12">
        <v>-0.0066</v>
      </c>
      <c r="F2253" s="6">
        <v>39.35</v>
      </c>
      <c r="G2253" s="6">
        <v>39.02</v>
      </c>
      <c r="H2253" s="6">
        <v>39.41</v>
      </c>
      <c r="I2253" s="9">
        <v>4.8742711E7</v>
      </c>
      <c r="J2253" s="6">
        <v>1.91212824E9</v>
      </c>
    </row>
    <row r="2254">
      <c r="A2254" s="15" t="s">
        <v>10</v>
      </c>
      <c r="B2254" s="5">
        <v>44907.0</v>
      </c>
      <c r="C2254" s="6">
        <v>38.9</v>
      </c>
      <c r="D2254" s="11">
        <v>-0.12</v>
      </c>
      <c r="E2254" s="12">
        <v>-0.0031</v>
      </c>
      <c r="F2254" s="6">
        <v>38.88</v>
      </c>
      <c r="G2254" s="6">
        <v>38.57</v>
      </c>
      <c r="H2254" s="6">
        <v>38.9</v>
      </c>
      <c r="I2254" s="9">
        <v>4.1524592E7</v>
      </c>
      <c r="J2254" s="6">
        <v>1.608584768E9</v>
      </c>
    </row>
    <row r="2255">
      <c r="A2255" s="15" t="s">
        <v>10</v>
      </c>
      <c r="B2255" s="5">
        <v>44908.0</v>
      </c>
      <c r="C2255" s="6">
        <v>38.59</v>
      </c>
      <c r="D2255" s="11">
        <v>-0.31</v>
      </c>
      <c r="E2255" s="12">
        <v>-0.008</v>
      </c>
      <c r="F2255" s="6">
        <v>39.11</v>
      </c>
      <c r="G2255" s="6">
        <v>38.51</v>
      </c>
      <c r="H2255" s="6">
        <v>39.21</v>
      </c>
      <c r="I2255" s="9">
        <v>6.0886936E7</v>
      </c>
      <c r="J2255" s="6">
        <v>2.359518923E9</v>
      </c>
    </row>
    <row r="2256">
      <c r="A2256" s="15" t="s">
        <v>10</v>
      </c>
      <c r="B2256" s="5">
        <v>44909.0</v>
      </c>
      <c r="C2256" s="6">
        <v>38.61</v>
      </c>
      <c r="D2256" s="13">
        <f>+0.02</f>
        <v>0.02</v>
      </c>
      <c r="E2256" s="14">
        <f>+0.05%</f>
        <v>0.0005</v>
      </c>
      <c r="F2256" s="6">
        <v>38.6</v>
      </c>
      <c r="G2256" s="6">
        <v>38.31</v>
      </c>
      <c r="H2256" s="6">
        <v>38.8</v>
      </c>
      <c r="I2256" s="9">
        <v>6.2300912E7</v>
      </c>
      <c r="J2256" s="6">
        <v>2.405099241E9</v>
      </c>
    </row>
    <row r="2257">
      <c r="A2257" s="15" t="s">
        <v>10</v>
      </c>
      <c r="B2257" s="5">
        <v>44910.0</v>
      </c>
      <c r="C2257" s="6">
        <v>37.72</v>
      </c>
      <c r="D2257" s="11">
        <v>-0.89</v>
      </c>
      <c r="E2257" s="12">
        <v>-0.0231</v>
      </c>
      <c r="F2257" s="6">
        <v>38.32</v>
      </c>
      <c r="G2257" s="6">
        <v>37.69</v>
      </c>
      <c r="H2257" s="6">
        <v>38.45</v>
      </c>
      <c r="I2257" s="9">
        <v>4.8081332E7</v>
      </c>
      <c r="J2257" s="6">
        <v>1.819950138E9</v>
      </c>
    </row>
    <row r="2258">
      <c r="A2258" s="15" t="s">
        <v>10</v>
      </c>
      <c r="B2258" s="5">
        <v>44911.0</v>
      </c>
      <c r="C2258" s="6">
        <v>37.83</v>
      </c>
      <c r="D2258" s="13">
        <f>+0.11</f>
        <v>0.11</v>
      </c>
      <c r="E2258" s="14">
        <f>+0.29%</f>
        <v>0.0029</v>
      </c>
      <c r="F2258" s="6">
        <v>37.9</v>
      </c>
      <c r="G2258" s="6">
        <v>37.77</v>
      </c>
      <c r="H2258" s="6">
        <v>38.07</v>
      </c>
      <c r="I2258" s="9">
        <v>4.8065155E7</v>
      </c>
      <c r="J2258" s="6">
        <v>1.820432623E9</v>
      </c>
    </row>
    <row r="2259">
      <c r="A2259" s="15" t="s">
        <v>10</v>
      </c>
      <c r="B2259" s="5">
        <v>44914.0</v>
      </c>
      <c r="C2259" s="6">
        <v>37.86</v>
      </c>
      <c r="D2259" s="13">
        <f>+0.03</f>
        <v>0.03</v>
      </c>
      <c r="E2259" s="14">
        <f>+0.08%</f>
        <v>0.0008</v>
      </c>
      <c r="F2259" s="6">
        <v>38.11</v>
      </c>
      <c r="G2259" s="6">
        <v>37.79</v>
      </c>
      <c r="H2259" s="6">
        <v>38.11</v>
      </c>
      <c r="I2259" s="9">
        <v>2.2995332E7</v>
      </c>
      <c r="J2259" s="6">
        <v>8.7140279E8</v>
      </c>
    </row>
    <row r="2260">
      <c r="A2260" s="15" t="s">
        <v>10</v>
      </c>
      <c r="B2260" s="5">
        <v>44915.0</v>
      </c>
      <c r="C2260" s="6">
        <v>37.85</v>
      </c>
      <c r="D2260" s="11">
        <v>-0.01</v>
      </c>
      <c r="E2260" s="12">
        <v>-3.0E-4</v>
      </c>
      <c r="F2260" s="6">
        <v>37.73</v>
      </c>
      <c r="G2260" s="6">
        <v>37.69</v>
      </c>
      <c r="H2260" s="6">
        <v>38.0</v>
      </c>
      <c r="I2260" s="9">
        <v>2.5688184E7</v>
      </c>
      <c r="J2260" s="6">
        <v>9.72338875E8</v>
      </c>
    </row>
    <row r="2261">
      <c r="A2261" s="15" t="s">
        <v>10</v>
      </c>
      <c r="B2261" s="5">
        <v>44916.0</v>
      </c>
      <c r="C2261" s="6">
        <v>38.19</v>
      </c>
      <c r="D2261" s="13">
        <f>+0.34</f>
        <v>0.34</v>
      </c>
      <c r="E2261" s="14">
        <f>+0.9%</f>
        <v>0.009</v>
      </c>
      <c r="F2261" s="6">
        <v>37.79</v>
      </c>
      <c r="G2261" s="6">
        <v>37.71</v>
      </c>
      <c r="H2261" s="6">
        <v>38.19</v>
      </c>
      <c r="I2261" s="9">
        <v>2.360771E7</v>
      </c>
      <c r="J2261" s="6">
        <v>8.97728004E8</v>
      </c>
    </row>
    <row r="2262">
      <c r="A2262" s="15" t="s">
        <v>10</v>
      </c>
      <c r="B2262" s="5">
        <v>44917.0</v>
      </c>
      <c r="C2262" s="6">
        <v>37.85</v>
      </c>
      <c r="D2262" s="11">
        <v>-0.34</v>
      </c>
      <c r="E2262" s="12">
        <v>-0.0089</v>
      </c>
      <c r="F2262" s="6">
        <v>38.08</v>
      </c>
      <c r="G2262" s="6">
        <v>37.57</v>
      </c>
      <c r="H2262" s="6">
        <v>38.11</v>
      </c>
      <c r="I2262" s="9">
        <v>2.7012428E7</v>
      </c>
      <c r="J2262" s="6">
        <v>1.020634452E9</v>
      </c>
    </row>
    <row r="2263">
      <c r="A2263" s="15" t="s">
        <v>10</v>
      </c>
      <c r="B2263" s="5">
        <v>44918.0</v>
      </c>
      <c r="C2263" s="6">
        <v>37.8</v>
      </c>
      <c r="D2263" s="11">
        <v>-0.05</v>
      </c>
      <c r="E2263" s="12">
        <v>-0.0013</v>
      </c>
      <c r="F2263" s="6">
        <v>37.79</v>
      </c>
      <c r="G2263" s="6">
        <v>37.61</v>
      </c>
      <c r="H2263" s="6">
        <v>37.91</v>
      </c>
      <c r="I2263" s="9">
        <v>1.9543302E7</v>
      </c>
      <c r="J2263" s="6">
        <v>7.38317342E8</v>
      </c>
    </row>
    <row r="2264">
      <c r="A2264" s="15" t="s">
        <v>10</v>
      </c>
      <c r="B2264" s="5">
        <v>44922.0</v>
      </c>
      <c r="C2264" s="6">
        <v>38.36</v>
      </c>
      <c r="D2264" s="13">
        <f>+0.56</f>
        <v>0.56</v>
      </c>
      <c r="E2264" s="14">
        <f>+1.48%</f>
        <v>0.0148</v>
      </c>
      <c r="F2264" s="6">
        <v>38.13</v>
      </c>
      <c r="G2264" s="6">
        <v>38.08</v>
      </c>
      <c r="H2264" s="6">
        <v>38.56</v>
      </c>
      <c r="I2264" s="9">
        <v>4.2338892E7</v>
      </c>
      <c r="J2264" s="6">
        <v>1.62397873E9</v>
      </c>
    </row>
    <row r="2265">
      <c r="A2265" s="15" t="s">
        <v>10</v>
      </c>
      <c r="B2265" s="5">
        <v>44923.0</v>
      </c>
      <c r="C2265" s="6">
        <v>37.8</v>
      </c>
      <c r="D2265" s="11">
        <v>-0.56</v>
      </c>
      <c r="E2265" s="12">
        <v>-0.0146</v>
      </c>
      <c r="F2265" s="6">
        <v>38.26</v>
      </c>
      <c r="G2265" s="6">
        <v>37.78</v>
      </c>
      <c r="H2265" s="6">
        <v>38.3</v>
      </c>
      <c r="I2265" s="9">
        <v>3.1813851E7</v>
      </c>
      <c r="J2265" s="6">
        <v>1.206861219E9</v>
      </c>
    </row>
    <row r="2266">
      <c r="A2266" s="15" t="s">
        <v>10</v>
      </c>
      <c r="B2266" s="5">
        <v>44924.0</v>
      </c>
      <c r="C2266" s="6">
        <v>38.43</v>
      </c>
      <c r="D2266" s="13">
        <f>+0.63</f>
        <v>0.63</v>
      </c>
      <c r="E2266" s="14">
        <f>+1.67%</f>
        <v>0.0167</v>
      </c>
      <c r="F2266" s="6">
        <v>38.23</v>
      </c>
      <c r="G2266" s="6">
        <v>38.18</v>
      </c>
      <c r="H2266" s="6">
        <v>38.49</v>
      </c>
      <c r="I2266" s="9">
        <v>2.7088685E7</v>
      </c>
      <c r="J2266" s="6">
        <v>1.04048381E9</v>
      </c>
    </row>
    <row r="2267">
      <c r="A2267" s="15" t="s">
        <v>10</v>
      </c>
      <c r="B2267" s="5">
        <v>44925.0</v>
      </c>
      <c r="C2267" s="6">
        <v>37.9</v>
      </c>
      <c r="D2267" s="11">
        <v>-0.53</v>
      </c>
      <c r="E2267" s="12">
        <v>-0.0138</v>
      </c>
      <c r="F2267" s="6">
        <v>38.14</v>
      </c>
      <c r="G2267" s="6">
        <v>37.76</v>
      </c>
      <c r="H2267" s="6">
        <v>38.31</v>
      </c>
      <c r="I2267" s="9">
        <v>3.8297786E7</v>
      </c>
      <c r="J2267" s="6">
        <v>1.452809719E9</v>
      </c>
    </row>
  </sheetData>
  <drawing r:id="rId1"/>
</worksheet>
</file>